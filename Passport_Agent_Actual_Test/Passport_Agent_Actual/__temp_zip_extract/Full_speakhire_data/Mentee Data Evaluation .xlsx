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AK Mentorship Foundational Y" sheetId="1" r:id="rId4"/>
    <sheet state="visible" name="Mentoring Round Exits" sheetId="2" r:id="rId5"/>
    <sheet state="visible" name="Mentee Applications 2017 - 2018" sheetId="3" r:id="rId6"/>
    <sheet state="visible" name="Program Exit Survey" sheetId="4" r:id="rId7"/>
    <sheet state="visible" name="Evaluation Buckets" sheetId="5" r:id="rId8"/>
    <sheet state="visible" name="Mentee Development" sheetId="6" r:id="rId9"/>
    <sheet state="visible" name="Important Stats" sheetId="7" r:id="rId10"/>
    <sheet state="visible" name="Sheet8" sheetId="8" r:id="rId11"/>
  </sheets>
  <definedNames>
    <definedName hidden="1" localSheetId="7" name="_xlnm._FilterDatabase">Sheet8!$A$1:$B$74</definedName>
  </definedNames>
  <calcPr/>
</workbook>
</file>

<file path=xl/sharedStrings.xml><?xml version="1.0" encoding="utf-8"?>
<sst xmlns="http://schemas.openxmlformats.org/spreadsheetml/2006/main" count="41002" uniqueCount="15149">
  <si>
    <t>I am *applying*</t>
  </si>
  <si>
    <t xml:space="preserve">If you are accepted into the SPEAK Mentorship cohort through a school, *you will be required to submit a REFUNDABLE Commitment Fee of $75*. Commitment Fees are returned upon successful completion of the program, or at least 2 Mentoring Rounds. If you are unable to afford this cost, you must complete [*this Commitment Essay* ](https://speakmentorship.typeform.com/to/XQgpjGtc)[(click to complete)](https://speakmentorship.typeform.com/to/XQgpjGtc) regarding financial assistance. Additional documents may be required to prove you require financial assistance. </t>
  </si>
  <si>
    <t xml:space="preserve">If you are applying independently, please note the *program fees are $600 for the entire program or $500 for two mentoring rounds, plus the application fee of $20*. You must complete at least 2 rounds of mentoring through the Foundational Year successfully to graduate from the Foundational Year and move on to our alumni programs. If you are unable to afford this cost, you must complete [*this Commitment Essay* ](https://speakmentorship.typeform.com/to/XQgpjGtc)[(click to complete)](https://speakmentorship.typeform.com/to/XQgpjGtc) regarding financial assistance. Additional documents may be required to prove you require financial assistance. </t>
  </si>
  <si>
    <t>What is your *first name*?</t>
  </si>
  <si>
    <t>What is your *last name*?</t>
  </si>
  <si>
    <t>What is your *date of birth?*</t>
  </si>
  <si>
    <t>How do you identity your *gender*?</t>
  </si>
  <si>
    <t>If you selected 'other' please feel free to let us know how you identify</t>
  </si>
  <si>
    <t xml:space="preserve">Awesome, {{field:28a27ce2-7f31-4d95-8aeb-56ee19320204}}! *Please upload a clear head shot of yourself* ([Click to view Sample](https://drive.google.com/file/d/1Ssra3O\_mcREp0sTDPLIvevLyh9z23Ryg/view)). </t>
  </si>
  <si>
    <t>What is your *preferred email address* -- something you always check and will have for a long time?</t>
  </si>
  <si>
    <t>{{field:28a27ce2-7f31-4d95-8aeb-56ee19320204}}, do you have your own cell phone?</t>
  </si>
  <si>
    <t xml:space="preserve">What is your *phone number*? </t>
  </si>
  <si>
    <t>What is your *primary house address*?</t>
  </si>
  <si>
    <t>How is your *English*?</t>
  </si>
  <si>
    <t xml:space="preserve">8. What are your *social media* handles? </t>
  </si>
  <si>
    <t>{{field:7641708c-1f76-48fd-b356-9c0c934caf1f}}, what's your *parent's or guardian's first and last name*?</t>
  </si>
  <si>
    <t>*Who is this person* to you?</t>
  </si>
  <si>
    <t>What is *their email address*?</t>
  </si>
  <si>
    <t xml:space="preserve">What is the *parent/guardian home address*? </t>
  </si>
  <si>
    <t xml:space="preserve">What is the *parent/ guardian phone number*? </t>
  </si>
  <si>
    <t>What is the name of your *current school*?</t>
  </si>
  <si>
    <t>What is the *street address* of your school?</t>
  </si>
  <si>
    <t>What is the *city and state* of your school?</t>
  </si>
  <si>
    <t>If you selected 'Other', please let us know where your school is located.</t>
  </si>
  <si>
    <t xml:space="preserve">I am a: </t>
  </si>
  <si>
    <t>{{field:28a27ce2-7f31-4d95-8aeb-56ee19320204}}, what is your *current grade*?</t>
  </si>
  <si>
    <t>If you are in college, please tell us the *type of degree* you are pursuing</t>
  </si>
  <si>
    <t>Please tell us your *major*.</t>
  </si>
  <si>
    <t>19. Please upload a copy of your *latest report card or transcript*.</t>
  </si>
  <si>
    <t xml:space="preserve"> Hey {{field:28a27ce2-7f31-4d95-8aeb-56ee19320204}}, *how did you hear about SPEAK Mentorship*?</t>
  </si>
  <si>
    <t xml:space="preserve">Please *select one* from below </t>
  </si>
  <si>
    <t xml:space="preserve">*What country* did you and/or your parents come from? </t>
  </si>
  <si>
    <t xml:space="preserve">At *what age* did you move to America? </t>
  </si>
  <si>
    <t xml:space="preserve">If you were born here but your parents came from a different country, *how many years ago did your parents arrive here*? </t>
  </si>
  <si>
    <t xml:space="preserve">What is your *citizenship status*?  </t>
  </si>
  <si>
    <t>Please select the *best* category that represents you.</t>
  </si>
  <si>
    <t xml:space="preserve">Is there anything else you would like to tell us about your *race/ethnicity/nationality*? </t>
  </si>
  <si>
    <t xml:space="preserve">What *languages* do you speak at home? </t>
  </si>
  <si>
    <t xml:space="preserve">Do you identify with a certain *religion*? </t>
  </si>
  <si>
    <t>If you selected 'Other', please let us know how you identify your religion</t>
  </si>
  <si>
    <t xml:space="preserve">Please *select one*: </t>
  </si>
  <si>
    <t xml:space="preserve">I understand how my *cultural values can shape my career choices*. </t>
  </si>
  <si>
    <t>Awesome! Please *select a career* that you're interested in.</t>
  </si>
  <si>
    <t xml:space="preserve">Hey {{field:28a27ce2-7f31-4d95-8aeb-56ee19320204}}, what is a *specific job title* you are most interested in learning about and/or pursuing? </t>
  </si>
  <si>
    <t>Do you *know what a resume* is?</t>
  </si>
  <si>
    <t>Do you *have a resume*?</t>
  </si>
  <si>
    <t xml:space="preserve">How does your *community* make you feel? </t>
  </si>
  <si>
    <t xml:space="preserve">How *connected do you feel to your community*?  </t>
  </si>
  <si>
    <t xml:space="preserve">Do you *currently or have you ever volunteered* in your community, {{field:28a27ce2-7f31-4d95-8aeb-56ee19320204}}? </t>
  </si>
  <si>
    <t xml:space="preserve">How many *volunteering activities*, either one time events or recurring volunteering, were you involved in last year? </t>
  </si>
  <si>
    <t xml:space="preserve">*About* how many *hours have you volunteered* so far? </t>
  </si>
  <si>
    <t xml:space="preserve">Do  you *currently have or have you ever had an internship*? </t>
  </si>
  <si>
    <t xml:space="preserve">Do  you *currently have or have you ever had a job*? </t>
  </si>
  <si>
    <t>Is it a* job in the career* you are interested in?</t>
  </si>
  <si>
    <t>Please *describe your job* if you have one and how you got that job.</t>
  </si>
  <si>
    <t>If you do not have a job *what is your ideal future career job*?</t>
  </si>
  <si>
    <t xml:space="preserve">*How many mentors* do you currently have in your network? </t>
  </si>
  <si>
    <t xml:space="preserve">How many* individuals do you know who work in the career* you are interested in? </t>
  </si>
  <si>
    <t xml:space="preserve">{{field:28a27ce2-7f31-4d95-8aeb-56ee19320204}}, what is your *current GPA*? </t>
  </si>
  <si>
    <t>Select *one*</t>
  </si>
  <si>
    <t>*I know what colleges* are appropriate for me.</t>
  </si>
  <si>
    <t xml:space="preserve">List up to* 10* *colleges* you are interested in. </t>
  </si>
  <si>
    <t>I feel *ready and prepared* for college.</t>
  </si>
  <si>
    <t>I know what *careers* are appropriate for me.</t>
  </si>
  <si>
    <t>List up to *5* *other careers* you are interested in (we may match you with mentors in these careers).</t>
  </si>
  <si>
    <t>I know how to *pursue these career pathways.*</t>
  </si>
  <si>
    <t>I feel *I have the skills* necessary to succeed in these career pathways.</t>
  </si>
  <si>
    <t>*Set your SMART Goal!*</t>
  </si>
  <si>
    <t xml:space="preserve">What do you *hope to gain* by going through this program? </t>
  </si>
  <si>
    <t xml:space="preserve">What are* three adjectives* that describe the person you are and why? </t>
  </si>
  <si>
    <t>What are* three skills* you have that will help you in your future career.</t>
  </si>
  <si>
    <t xml:space="preserve">What *other SPEAK activities* are you interested in? </t>
  </si>
  <si>
    <t>You will be matched according to your career interest first, and then by what you have told us about yourself. *If there is anything else you would us to know about you or would like to add*, go ahead and write it down below.</t>
  </si>
  <si>
    <t xml:space="preserve">Remember those documents we talked about at the beginning? Submit your *Parent/Guardian Consent and Liability Release Form* ([click to download](https://drive.google.com/file/d/1E4GmtIBjhNEmizmLMv98i1iw4QWUpIvE/view)). </t>
  </si>
  <si>
    <t xml:space="preserve">I understand that if I am selected as part of the program through my school, I will have to *commit my time to meet my mentors for at least two consecutive complete mentoring rounds in order to graduate*. A* failure to complete 6 out of 9 sessions in each mentoring round will disqualify me from the program*. Finally, I will be an active part of any SPEAK Chapter Club activities at my school and ensure I am learning from and contributing to my peer community. </t>
  </si>
  <si>
    <t>I can:</t>
  </si>
  <si>
    <t>Select *one*:</t>
  </si>
  <si>
    <t xml:space="preserve">*The cost for self-led students is $600 for the entire program year or $500 for 2 Mentoring Rounds*, the minimum required to graduate from the Foundational Year. </t>
  </si>
  <si>
    <t xml:space="preserve">I understand that the school-based program *Commitment Fee for students is $75*, which includes the cost of mentoring activities and materials. *This fee is returned to you upon successful graduation from the Foundational Year*. If you are unable to pay the Commitment Fee, please explain why by completing the [*Commitment Essay*](https://speakmentorship.typeform.com/to/XQgpjGtc). Please only select this option if you are truly unable to afford the cost of this program. </t>
  </si>
  <si>
    <t>To complete this application, {{field:28a27ce2-7f31-4d95-8aeb-56ee19320204}}, please pay your total of {{var:price}}.</t>
  </si>
  <si>
    <t>price</t>
  </si>
  <si>
    <t>score</t>
  </si>
  <si>
    <t>Exploratory Years</t>
  </si>
  <si>
    <t>SPEAKHIRE Soiree</t>
  </si>
  <si>
    <t>SPEAKHIRE Summit</t>
  </si>
  <si>
    <t xml:space="preserve">SPEAKHIRE Summer Camp </t>
  </si>
  <si>
    <t xml:space="preserve">Do you also identify as being from *a second region*? </t>
  </si>
  <si>
    <t>If you selected *other for citizenship status*, please elaborate.</t>
  </si>
  <si>
    <t xml:space="preserve">Which of the following *religions* do you identify as? </t>
  </si>
  <si>
    <t>If you responded *other for gender*, please explain.</t>
  </si>
  <si>
    <t xml:space="preserve">Do you also identify as being from *a third region*? </t>
  </si>
  <si>
    <t xml:space="preserve">If you are accepted into the SPEAKHIRE cohort through a school, *you will be required to submit a REFUNDABLE Commitment Form of $75*. Commitment Fees are returned upon successful completion of the program, or at least 2 Internship Rounds. If you are unable to afford this cost, you must complete [*this Commitment Form* ](https://speakmentorship.typeform.com/to/XQgpjGtc)[(click to complete)](https://speakmentorship.typeform.com/to/XQgpjGtc) regarding financial assistance. Additional documents may be required to prove you require financial assistance. </t>
  </si>
  <si>
    <t xml:space="preserve">If you are applying independently, please note the *program fees are $600 for the entire program or $500 for two internship rounds, plus the application fee of $20*. You must complete at least 2 Internship Rounds through the Foundational Year successfully to graduate from the Foundational Year and move on to our alumni programs. If you are unable to afford this cost, you must complete [*this Commitment Form* ](https://speakmentorship.typeform.com/to/XQgpjGtc)[(click to complete)](https://speakmentorship.typeform.com/to/XQgpjGtc) regarding financial assistance. Additional documents may be required to prove you require financial assistance. </t>
  </si>
  <si>
    <t xml:space="preserve">*How many career coaches or mentors* do you currently have in your network? </t>
  </si>
  <si>
    <t>If you selected *other for how you heard about SPEAKHIRE*, please explain.</t>
  </si>
  <si>
    <t>If you *selected other for your school's city and state*, please share where you are!</t>
  </si>
  <si>
    <t>Submitted At</t>
  </si>
  <si>
    <t>Token</t>
  </si>
  <si>
    <t>through my school</t>
  </si>
  <si>
    <t>I understand</t>
  </si>
  <si>
    <t>Shabiha</t>
  </si>
  <si>
    <t>RAhman</t>
  </si>
  <si>
    <t>Female</t>
  </si>
  <si>
    <t>https://api.typeform.com/responses/files/378ac85d79de37f366acf39c3b510311fac26119569e7dab02782cd67d31afd4/IMG_2522__1_.jpg</t>
  </si>
  <si>
    <t>#3186 rochambeau avenue qpt 4F Bronx Ny 10467</t>
  </si>
  <si>
    <t>Native English speaker</t>
  </si>
  <si>
    <t>00</t>
  </si>
  <si>
    <t>Saima Akter</t>
  </si>
  <si>
    <t>Sister</t>
  </si>
  <si>
    <t>saima.akter@ellisprep.com</t>
  </si>
  <si>
    <t>#3186  rochambeau avnue apt 4F Bronx Ny 10467</t>
  </si>
  <si>
    <t>+13473237059</t>
  </si>
  <si>
    <t>99 terrace veiw ave , The bronx Ny 10463</t>
  </si>
  <si>
    <t>Bronx, NY</t>
  </si>
  <si>
    <t>middle school student</t>
  </si>
  <si>
    <t>Associates</t>
  </si>
  <si>
    <t>To complate my high school  and have a medical collage</t>
  </si>
  <si>
    <t>https://api.typeform.com/responses/files/ad7e379963a836df3143d7d370b8852a8ac91290cee84a1868cca0edc61ee87a/IMG_2522__1_.jpg</t>
  </si>
  <si>
    <t>My School</t>
  </si>
  <si>
    <t>I was born in a different country and both of my parents were born in a different country</t>
  </si>
  <si>
    <t>//</t>
  </si>
  <si>
    <t>U.S citizen</t>
  </si>
  <si>
    <t>i am hijabi</t>
  </si>
  <si>
    <t>Bangla</t>
  </si>
  <si>
    <t>Islam</t>
  </si>
  <si>
    <t>I feel equally of both</t>
  </si>
  <si>
    <t>Health Sciences/Medicine</t>
  </si>
  <si>
    <t>Doctor</t>
  </si>
  <si>
    <t>Supported</t>
  </si>
  <si>
    <t>Doctor or nursing</t>
  </si>
  <si>
    <t>0</t>
  </si>
  <si>
    <t>000</t>
  </si>
  <si>
    <t>I am not in college yet</t>
  </si>
  <si>
    <t>Medical colleges</t>
  </si>
  <si>
    <t>doctor,Nurse,phramecy,therapist,medicine</t>
  </si>
  <si>
    <t>--</t>
  </si>
  <si>
    <t>Get mentors who can help me with college and career, Learn about colleges, Learn about careers, Gain skills I can use at a future job, Make new friends</t>
  </si>
  <si>
    <t>I am  careing ,respectfull,and patient</t>
  </si>
  <si>
    <t>SPEAK Summit - An event where mentees can present their work, establishing themselves as presenters and public speakers, and network with mentees from other schools, mentors, college admissions officers, and other amazing adults to add to your network., SPEAK Summer Camp  - A  week long camp in the summer to visit colleges and/or companies in a particular city. You will also have opportunities to do a number of fun and empowering self- and team-building activities., SPEAK Soiree - A formal evening where we get dressed in our finest and host a number of speakers, show off our networking skills, and congratulate SPEAK  award recipients., Exploratory Years - Only for graduates of the SPEAK Foundational Year, the Exploratory Years help SPEAK Alumni stay connected to a network of mentors</t>
  </si>
  <si>
    <t>no</t>
  </si>
  <si>
    <t>I am applying through my school</t>
  </si>
  <si>
    <t>I will complete the Commitment Essay</t>
  </si>
  <si>
    <t>9yb5gvlw5oomtu9yfm9yb5gvvmifoopu</t>
  </si>
  <si>
    <t>Asmaa</t>
  </si>
  <si>
    <t>Alkhadashi</t>
  </si>
  <si>
    <t>https://api.typeform.com/responses/files/fccca8b736ae78349fe2331f17452bd62df820a0fa82b424f1a5768940974849/Tim___Payroll.PNG</t>
  </si>
  <si>
    <t>asmaa.alkhadashi@ellisprep.com</t>
  </si>
  <si>
    <t>+19175477997</t>
  </si>
  <si>
    <t>1840 Amethyset Street, Apt 2, Bronx, NY 10462</t>
  </si>
  <si>
    <t>Somewhat Comfortable</t>
  </si>
  <si>
    <t>Whatsapp -- phone number</t>
  </si>
  <si>
    <t>Mossleh Alkhadashi</t>
  </si>
  <si>
    <t>Father</t>
  </si>
  <si>
    <t>fatimaaalkhadashi@gmail.com</t>
  </si>
  <si>
    <t>1840 Amethyst Street, Apartment 2 Bronx, NY 10462</t>
  </si>
  <si>
    <t>+19294045235</t>
  </si>
  <si>
    <t>ELLIS Preparatory Academy</t>
  </si>
  <si>
    <t>99 Terrace View Ave, Bronx, NY 10463</t>
  </si>
  <si>
    <t>high school student</t>
  </si>
  <si>
    <t>12th</t>
  </si>
  <si>
    <t>https://api.typeform.com/responses/files/2d1be795f57365c5b2166706bff4f0138564530d04709475891d77674191d065/Tim___Payroll.PNG</t>
  </si>
  <si>
    <t>Yemen</t>
  </si>
  <si>
    <t>Permanent Resident</t>
  </si>
  <si>
    <t>Middle Eastern</t>
  </si>
  <si>
    <t>None</t>
  </si>
  <si>
    <t>Arabic</t>
  </si>
  <si>
    <t>STEM (Science, Technology, Engineering, Math)</t>
  </si>
  <si>
    <t>Undecided</t>
  </si>
  <si>
    <t>Safe</t>
  </si>
  <si>
    <t>4-7</t>
  </si>
  <si>
    <t>10-20</t>
  </si>
  <si>
    <t>Not yet</t>
  </si>
  <si>
    <t>3.8</t>
  </si>
  <si>
    <t>Lehman College, City College, Columbia University</t>
  </si>
  <si>
    <t>Nurse, Engineer, Laboratories, Dentistry</t>
  </si>
  <si>
    <t>I will improve my overall average, Measurable: by 4 points, Attainable: from a 94 to 98 Relevant: by applying the skills I learn from my mentors in my academic work, Timely: by the end of the school year 2021</t>
  </si>
  <si>
    <t>Get an internship, Gain skills I can use at a future job, Learn about careers</t>
  </si>
  <si>
    <t>Honest, Helpful, Hardworker</t>
  </si>
  <si>
    <t>SPEAK Summit - An event where mentees can present their work, establishing themselves as presenters and public speakers, and network with mentees from other schools, mentors, college admissions officers, and other amazing adults to add to your network., SPEAK Summer Camp  - A  week long camp in the summer to visit colleges and/or companies in a particular city. You will also have opportunities to do a number of fun and empowering self- and team-building activities.</t>
  </si>
  <si>
    <t>No</t>
  </si>
  <si>
    <t>complete the Commitment Essay</t>
  </si>
  <si>
    <t>z3odzfqbgw4ph1rqdq98z3odzfqj03xv</t>
  </si>
  <si>
    <t>Ana</t>
  </si>
  <si>
    <t>Baez Espinal</t>
  </si>
  <si>
    <t>https://api.typeform.com/responses/files/d96f3739c47192e46f098d8373239548bd3a3b5f64051f7835c3804285f1f249/AF725D6C_97F2_4834_8349_10EB7C091906.jpeg</t>
  </si>
  <si>
    <t>adinelis153@gmail.com</t>
  </si>
  <si>
    <t>+12675622629</t>
  </si>
  <si>
    <t>5018 Jackson st</t>
  </si>
  <si>
    <t>Tania Espinal</t>
  </si>
  <si>
    <t>Mother</t>
  </si>
  <si>
    <t>taniaespinalicloud@gmail.com</t>
  </si>
  <si>
    <t>+12159543649</t>
  </si>
  <si>
    <t>Frankford High School</t>
  </si>
  <si>
    <t>5000 Oxford ave</t>
  </si>
  <si>
    <t>Philadelphia, PA</t>
  </si>
  <si>
    <t>10th</t>
  </si>
  <si>
    <t>https://api.typeform.com/responses/files/8d233144b8b30ed6f4a33f3771d418440a30d5756e5f4470fa0fb54f239eb120/B83ED53E_2829_4485_A7C9_1504B4687A41.jpeg</t>
  </si>
  <si>
    <t>Dominican Republic</t>
  </si>
  <si>
    <t>West Indies/Caribbean</t>
  </si>
  <si>
    <t>Spanish</t>
  </si>
  <si>
    <t>Christianity</t>
  </si>
  <si>
    <t>Law</t>
  </si>
  <si>
    <t>Crime scene investigator</t>
  </si>
  <si>
    <t>A crime scene investigator</t>
  </si>
  <si>
    <t>I am not sure</t>
  </si>
  <si>
    <t>Not sure</t>
  </si>
  <si>
    <t>I don’t know yet that’s one reason why i would love to be in this program so i can get help going to college and get a career i will be happy with</t>
  </si>
  <si>
    <t>A CSI , Law and maybe business</t>
  </si>
  <si>
    <t>i want to graduate and go to a good college , get a good career that I’m happy and enjoy doing and make my family , friends and teachers proud of me .</t>
  </si>
  <si>
    <t>Get mentors who can help me with college and career, Gain skills I can use at a future job, Learn about careers, Learn about colleges, Make new friends</t>
  </si>
  <si>
    <t>I’m shy , I’m a nice person and a happy person and that’s because my family always thought me to be humble .</t>
  </si>
  <si>
    <t>SPEAK Soiree - A formal evening where we get dressed in our finest and host a number of speakers, show off our networking skills, and congratulate SPEAK  award recipients., Exploratory Years - Only for graduates of the SPEAK Foundational Year, the Exploratory Years help SPEAK Alumni stay connected to a network of mentors</t>
  </si>
  <si>
    <t>I really want to be in this program because i want to go to college and get a good career that i can be happy in .</t>
  </si>
  <si>
    <t>t2y04uf59uyyvk56t2y0457sf6rx693r</t>
  </si>
  <si>
    <t>https://api.typeform.com/responses/files/8ba90e3287cc8278f1cf2cf045237c90dead8c2a98e3b3f98217aaa2d985aa00/BA002BDB_DA97_48EA_A228_BF4E3FC88253.jpeg</t>
  </si>
  <si>
    <t>5018 jackson st</t>
  </si>
  <si>
    <t>Tania espinal</t>
  </si>
  <si>
    <t>Frankford high school</t>
  </si>
  <si>
    <t>5000 oxford ave</t>
  </si>
  <si>
    <t>https://api.typeform.com/responses/files/4634c920bc981004dfbee7a43417ee936145c3b64e2c175f8d473dd28a810cfe/95BCA862_DB87_42FC_B122_D4E7B00423B5.jpeg</t>
  </si>
  <si>
    <t>I’m not sure</t>
  </si>
  <si>
    <t>I’m not sure that’s one of the reason why i would like to be in this program because i really need help figuring out what college is best for me.</t>
  </si>
  <si>
    <t>CSI,Law,business and not sure what else</t>
  </si>
  <si>
    <t>I want to graduate , go to college, get a good career that I’m happy with and i want to make my family , friends and teachers proud of me .</t>
  </si>
  <si>
    <t>Learn about colleges, Learn about careers, Gain skills I can use at a future job, Get mentors who can help me with college and career, Make new friends</t>
  </si>
  <si>
    <t>Ambitious because i have a strong desire for success , brave because I’m a shy person and i will try my hardest to get to the job i want and kind because I’m really nice and i know how to be humble .</t>
  </si>
  <si>
    <t>SPEAK Summit - An event where mentees can present their work, establishing themselves as presenters and public speakers, and network with mentees from other schools, mentors, college admissions officers, and other amazing adults to add to your network., SPEAK Soiree - A formal evening where we get dressed in our finest and host a number of speakers, show off our networking skills, and congratulate SPEAK  award recipients., Exploratory Years - Only for graduates of the SPEAK Foundational Year, the Exploratory Years help SPEAK Alumni stay connected to a network of mentors</t>
  </si>
  <si>
    <t>I really hope i get to be in this program because i really want and need help with my career and go to college and i know you guys can help me with this and i will give my all and work hard for me to become successful and a professional person .</t>
  </si>
  <si>
    <t>59lc9625l6wxlhskry59l6oyyq6ea75w</t>
  </si>
  <si>
    <t>Arwa</t>
  </si>
  <si>
    <t>Alhaj</t>
  </si>
  <si>
    <t>https://api.typeform.com/responses/files/41db90e0bfdd6041a550116da08befdd8bb81fa16d4534ee3d1ece1c46fbb901/2.png</t>
  </si>
  <si>
    <t>arwa.alhaj@ellisprep.com</t>
  </si>
  <si>
    <t>+19293948379</t>
  </si>
  <si>
    <t>2187 Holland Ave 1f Bronx NY 10462</t>
  </si>
  <si>
    <t>What's app</t>
  </si>
  <si>
    <t>Rafiq Alhaj</t>
  </si>
  <si>
    <t>gamilahmutlaq1234@gmail.com</t>
  </si>
  <si>
    <t>+16463271620</t>
  </si>
  <si>
    <t>Ellis Prep</t>
  </si>
  <si>
    <t>99 Terrace View Ave, The Bronx, NY 10463</t>
  </si>
  <si>
    <t>https://api.typeform.com/responses/files/9624e58c6dc0401eaa312fb521c81e6316b6855ba6958e1cfe5f3f9e16ee9608/2.png</t>
  </si>
  <si>
    <t>Undecided- Engineering, Nurse, laboratories, dentistry</t>
  </si>
  <si>
    <t>Unsure</t>
  </si>
  <si>
    <t>Lehman college, City college, Columbia University</t>
  </si>
  <si>
    <t>Engineering, Nurse, laboratories, dentistry</t>
  </si>
  <si>
    <t>I will improve my overall average, Measurable: by 3 points, Attainable: from 96 to 99. Relevant: By applying the skills I learn from my mentors in academic work, Timely: By the end of the school year of 2021. Also, I will develop my English language by practice and memorize more words.</t>
  </si>
  <si>
    <t>Serious, hard worker, and helpful</t>
  </si>
  <si>
    <t>jbbrpemq5z732jljbbrppz0yufekooaw</t>
  </si>
  <si>
    <t>Mariama</t>
  </si>
  <si>
    <t>Diallo</t>
  </si>
  <si>
    <t>https://api.typeform.com/responses/files/ce14cd6ca4d472ad6bda753aeccf4866231deec74fec27ac53dc3bc0dfbd84dc/3_2.jpg</t>
  </si>
  <si>
    <t>diallo.mariamacire@emmalazarus.org</t>
  </si>
  <si>
    <t>+13479684657</t>
  </si>
  <si>
    <t>diallo</t>
  </si>
  <si>
    <t>Very Comfortable</t>
  </si>
  <si>
    <t>Facebook: Cireoumar Diallo Instagram: @Cireoumardiallo</t>
  </si>
  <si>
    <t>Ibrahima Diallo</t>
  </si>
  <si>
    <t>n/a</t>
  </si>
  <si>
    <t>+19174681173</t>
  </si>
  <si>
    <t>Emma Lazarus</t>
  </si>
  <si>
    <t>New York, NY</t>
  </si>
  <si>
    <t>11th</t>
  </si>
  <si>
    <t>https://api.typeform.com/responses/files/551053fda1bcea5fd6daae69b61d0dd340b502b735c359efd1dff35eaa47e137/3_2.jpg</t>
  </si>
  <si>
    <t>Guinea</t>
  </si>
  <si>
    <t>South African</t>
  </si>
  <si>
    <t>I speak fulani.</t>
  </si>
  <si>
    <t>French, English, and Fulani</t>
  </si>
  <si>
    <t>Entertainment/Lifestyle</t>
  </si>
  <si>
    <t>Fashion Designer and Business</t>
  </si>
  <si>
    <t>1-3</t>
  </si>
  <si>
    <t>A program SYEP Research Associate</t>
  </si>
  <si>
    <t>Fashion Designer and business</t>
  </si>
  <si>
    <t>2</t>
  </si>
  <si>
    <t>4 people</t>
  </si>
  <si>
    <t>75.79</t>
  </si>
  <si>
    <t>City College, Brooklyn College, NYC Tech, and Kingboruogh, BMCC, and BCC.</t>
  </si>
  <si>
    <t>Fashion Designer, Business, accounting , and Entrepreneurship.</t>
  </si>
  <si>
    <t>Gain skills I can use at a future job, Get mentors who can help me with college and career</t>
  </si>
  <si>
    <t>Hard worker, Determined, and Nice.</t>
  </si>
  <si>
    <t>Exploratory Years - Only for graduates of the SPEAK Foundational Year, the Exploratory Years help SPEAK Alumni stay connected to a network of mentors</t>
  </si>
  <si>
    <t>no thanks.</t>
  </si>
  <si>
    <t>5d057a1sa77ee75d05733ny9djpoj1x0</t>
  </si>
  <si>
    <t>souleymane</t>
  </si>
  <si>
    <t>Bah</t>
  </si>
  <si>
    <t>Male</t>
  </si>
  <si>
    <t>https://api.typeform.com/responses/files/2a0e04a071a06ead9c3a8cbfc6265b94954b85e299ca4e836973c2aa6a12eedb/Souleymane_Transcript__1_.pdf</t>
  </si>
  <si>
    <t>souleymane.bah@emmalazarus.org</t>
  </si>
  <si>
    <t>+16468041825</t>
  </si>
  <si>
    <t>303west 117 street</t>
  </si>
  <si>
    <t>facebook: souleymane Ds   Snap: leymane.bah</t>
  </si>
  <si>
    <t>Kadiatou</t>
  </si>
  <si>
    <t>Uncle/ Aunt/ Guardian</t>
  </si>
  <si>
    <t>303 west 117 street</t>
  </si>
  <si>
    <t>+16463870290</t>
  </si>
  <si>
    <t>Emma Lazarus high school.</t>
  </si>
  <si>
    <t>100 Hester St, New York NY</t>
  </si>
  <si>
    <t>https://api.typeform.com/responses/files/1bf21b9eddb34597943776b922c187a229d12bdc4369c793b62f596717ac862e/Souleymane_Transcript__1_.pdf</t>
  </si>
  <si>
    <t>I was born in America and both of my parents were born in a different country</t>
  </si>
  <si>
    <t>My parents are still in their country.</t>
  </si>
  <si>
    <t>West African</t>
  </si>
  <si>
    <t>Not really</t>
  </si>
  <si>
    <t>English, french and Fulani.</t>
  </si>
  <si>
    <t>Business</t>
  </si>
  <si>
    <t>I like busness and I am also interested in basketball and politic.</t>
  </si>
  <si>
    <t>Safe, Supported, Connected</t>
  </si>
  <si>
    <t>11-14</t>
  </si>
  <si>
    <t>50-60</t>
  </si>
  <si>
    <t>I would like to be businessman or professional basketball</t>
  </si>
  <si>
    <t>none</t>
  </si>
  <si>
    <t>85 above</t>
  </si>
  <si>
    <t>Duke university, kentucky university, Stanford university, Valparaiso university,university of Carolina, Boston University, columbia University,New York university, Memphis university, NYU.</t>
  </si>
  <si>
    <t>businessman,basketball professional, entreprenorship,Real state, politic, ,</t>
  </si>
  <si>
    <t>Businessman and Basketball player</t>
  </si>
  <si>
    <t>Learn about careers, Learn about colleges, Gain skills I can use at a future job, Get mentors who can help me with college and career, Get an internship, Make new friends</t>
  </si>
  <si>
    <t>Courageous, smart , positive because I feel it.</t>
  </si>
  <si>
    <t>SPEAK Summer Camp  - A  week long camp in the summer to visit colleges and/or companies in a particular city. You will also have opportunities to do a number of fun and empowering self- and team-building activities., SPEAK Soiree - A formal evening where we get dressed in our finest and host a number of speakers, show off our networking skills, and congratulate SPEAK  award recipients., Exploratory Years - Only for graduates of the SPEAK Foundational Year, the Exploratory Years help SPEAK Alumni stay connected to a network of mentors</t>
  </si>
  <si>
    <t>So firstable I really want to be a basketball professional in the NBA. Second I want to study business, real state  or politic in college.</t>
  </si>
  <si>
    <t>lhb9nonsd980bxi8cgi0j7lhb9nqs1nc</t>
  </si>
  <si>
    <t>Ousmane</t>
  </si>
  <si>
    <t>https://api.typeform.com/responses/files/6219beeaa1466e285b652cda75a8e9f10d2d5b18fc19b383a5ca36a8b13d6177/IMG_3528.jpg</t>
  </si>
  <si>
    <t>ousmanediallo347339@gmail.com</t>
  </si>
  <si>
    <t>+16467038461</t>
  </si>
  <si>
    <t>1011 E53rd ST Brooklyn</t>
  </si>
  <si>
    <t>Facebook= Pop Christian Smoky</t>
  </si>
  <si>
    <t>Mariama Bah</t>
  </si>
  <si>
    <t>mariamab317@gmail.com</t>
  </si>
  <si>
    <t>1011 E53rd ST Brooklyn, NY 11234</t>
  </si>
  <si>
    <t>+13477739524</t>
  </si>
  <si>
    <t>Emma Lazarus High School</t>
  </si>
  <si>
    <t>100 Hester St, New York, NY 10002</t>
  </si>
  <si>
    <t>https://api.typeform.com/responses/files/6562dc78f17484efdd248448a50a78f42aa39c31ba87065b248b176692ccc22b/IMG_3551.jpg</t>
  </si>
  <si>
    <t>Mother = Mali</t>
  </si>
  <si>
    <t>My nationality is Mali, and I'm black person. Also, I'm a Malian fulani.</t>
  </si>
  <si>
    <t>French</t>
  </si>
  <si>
    <t>I feel more of the culture of my country of origin</t>
  </si>
  <si>
    <t>Software Developer.</t>
  </si>
  <si>
    <t>Like I belong, Safe, Connected, Supported</t>
  </si>
  <si>
    <t>My mom told me about that job and I went to learn about it. Then, I get my certificate in one month.</t>
  </si>
  <si>
    <t>1</t>
  </si>
  <si>
    <t>11</t>
  </si>
  <si>
    <t>BMCC, Brooklyn College, Geneseo, Albany University, Stony Brook University, Delhi college, Albany University, Farmingdale State College, and Maritime College.</t>
  </si>
  <si>
    <t>Software Developer and Data Analysis.</t>
  </si>
  <si>
    <t>My smart goal is to put everything together and organized to learn more skill from this program.</t>
  </si>
  <si>
    <t>Gain skills I can use at a future job, Get an internship, Get mentors who can help me with college and career, Learn about careers</t>
  </si>
  <si>
    <t>Humble, Competitive, and patient because these adjective fit my character every time and that will lead to be successful.</t>
  </si>
  <si>
    <t>Only that I have to say.</t>
  </si>
  <si>
    <t>8en1m6s1beyip0cdbw88en1moozt6t82</t>
  </si>
  <si>
    <t>Matiullah</t>
  </si>
  <si>
    <t>sulimnzoy</t>
  </si>
  <si>
    <t>https://api.typeform.com/responses/files/419f86a94fa4b7e8f6f2b44b118e550ad42921c8a8ca43a7ca51a422e4933231/IMG_0062.JPG</t>
  </si>
  <si>
    <t>msulimanzoy2020@gmail.com</t>
  </si>
  <si>
    <t>+12679914981</t>
  </si>
  <si>
    <t>6063 ROOSEVELT BLVD #220, PHILADELPHIA, PA 19149-3340</t>
  </si>
  <si>
    <t>Not comfortable -- I'm learning!</t>
  </si>
  <si>
    <t>facebook</t>
  </si>
  <si>
    <t>suliman</t>
  </si>
  <si>
    <t>sahmadzay2010@gmail.com</t>
  </si>
  <si>
    <t>+12679914980</t>
  </si>
  <si>
    <t>5000 Oxford Avenue</t>
  </si>
  <si>
    <t>https://api.typeform.com/responses/files/418752406b2e78346b04b52e767fb45f5b0c0758d21272da1626d8dd14666fb4/ACFrOgA7y6gPHRyis3eUYdueubyLnN2vqy2HXZvAh_lMrRXYdlgtgD5nU06NdUcwIiG4qfPqeZuDA7VN5FzibTAEopB_oh_xPtYrisHmMSqUFOkQYubERHqMMBi_TP3hWW0T3mdke3Xp6pxLkdP6.pdf</t>
  </si>
  <si>
    <t>8 months</t>
  </si>
  <si>
    <t>East Asian</t>
  </si>
  <si>
    <t>Afghanistan</t>
  </si>
  <si>
    <t>phasto</t>
  </si>
  <si>
    <t>Mechanic Engineer</t>
  </si>
  <si>
    <t>Like I belong</t>
  </si>
  <si>
    <t>Not sure yet</t>
  </si>
  <si>
    <t>Medicine Computer Science Engineering Education</t>
  </si>
  <si>
    <t>I want to be a mechanic engineer 10 years from today. I know that I can go to school and use technology to help me succeed</t>
  </si>
  <si>
    <t>Get an internship, Get mentors who can help me with college and career, Gain skills I can use at a future job, Learn about careers, Learn about colleges, Make new friends</t>
  </si>
  <si>
    <t>Smart, Committed, Responsible</t>
  </si>
  <si>
    <t>Thank you</t>
  </si>
  <si>
    <t>025qqpacflte1e28025qqr2j5yoa3oqr</t>
  </si>
  <si>
    <t>Wendy</t>
  </si>
  <si>
    <t>Reyes-Blanco</t>
  </si>
  <si>
    <t>https://api.typeform.com/responses/files/e408d63bb8137d5523320bb901562851f4e0c6781af310af1aadea54d54e3199/Mental_health_SPEAK_Mentorship___One_Pager_2019.pdf</t>
  </si>
  <si>
    <t>WendyMichelle152903@gmail.com</t>
  </si>
  <si>
    <t>+12678267270</t>
  </si>
  <si>
    <t>5121 JACKSON ST , PHILADELPHIA, PA 19124-2118</t>
  </si>
  <si>
    <t>IG: michelle1529</t>
  </si>
  <si>
    <t>Maria Blanco-Bonilla</t>
  </si>
  <si>
    <t>+12677763425</t>
  </si>
  <si>
    <t>3000 Oxford Street</t>
  </si>
  <si>
    <t>9th</t>
  </si>
  <si>
    <t>https://api.typeform.com/responses/files/ae750b31a095328eb44e14838f5dfcdbc430465327c51efd95a54efe3735e7ba/Mental_health_SPEAK_Mentorship___One_Pager_2019.pdf</t>
  </si>
  <si>
    <t>Undocumented</t>
  </si>
  <si>
    <t>Central American</t>
  </si>
  <si>
    <t>Not Religious</t>
  </si>
  <si>
    <t>Doctor - Pediatrics</t>
  </si>
  <si>
    <t>Supported, Connected</t>
  </si>
  <si>
    <t>Doctor, teacher</t>
  </si>
  <si>
    <t>100</t>
  </si>
  <si>
    <t>Come back to this question</t>
  </si>
  <si>
    <t>Learn about careers, Learn about colleges, Get mentors who can help me with college and career, Gain skills I can use at a future job</t>
  </si>
  <si>
    <t>Helpful, Studious, Sweet</t>
  </si>
  <si>
    <t>Exploratory Years - Only for graduates of the SPEAK Foundational Year, the Exploratory Years help SPEAK Alumni stay connected to a network of mentors, SPEAK Soiree - A formal evening where we get dressed in our finest and host a number of speakers, show off our networking skills, and congratulate SPEAK  award recipients., SPEAK Summer Camp  - A  week long camp in the summer to visit colleges and/or companies in a particular city. You will also have opportunities to do a number of fun and empowering self- and team-building activities., SPEAK Summit - An event where mentees can present their work, establishing themselves as presenters and public speakers, and network with mentees from other schools, mentors, college admissions officers, and other amazing adults to add to your network.</t>
  </si>
  <si>
    <t>xio9ik5dvfyc87dxio97ayuwb7cd07u3</t>
  </si>
  <si>
    <t>Said</t>
  </si>
  <si>
    <t>Rustamov</t>
  </si>
  <si>
    <t>https://api.typeform.com/responses/files/856ac172d15c0a04132b4962b2846a2ad2a0f305144f76674513990fdf95269c/Mental_health_SPEAK_Mentorship___One_Pager_2019.pdf</t>
  </si>
  <si>
    <t>saidrustamov640@gmail.com</t>
  </si>
  <si>
    <t>+12673618393</t>
  </si>
  <si>
    <t>34-39 Tilton Street, Philadelphia, PA 19134</t>
  </si>
  <si>
    <t>IG: @said_ctkzxlegacy</t>
  </si>
  <si>
    <t>Ulugbek Tagaev</t>
  </si>
  <si>
    <t>tagaevulugbek24@gmail.com</t>
  </si>
  <si>
    <t>34-39 Tilton Street, Philadelphia</t>
  </si>
  <si>
    <t>+12153033587</t>
  </si>
  <si>
    <t>Frankford High school</t>
  </si>
  <si>
    <t>3000 Oxford Avenue, Philadelphia PA</t>
  </si>
  <si>
    <t>https://api.typeform.com/responses/files/138a2ae6dcfb3afb5ee5568ad390440b1f23b5f2b4a5eb01621febfc77f0ba1f/Mental_health_SPEAK_Mentorship___One_Pager_2019.pdf</t>
  </si>
  <si>
    <t>Uzbekistan</t>
  </si>
  <si>
    <t>Central Asian</t>
  </si>
  <si>
    <t>Uzbek, Russian</t>
  </si>
  <si>
    <t>Arts</t>
  </si>
  <si>
    <t>Culinary Arts, Computer Science</t>
  </si>
  <si>
    <t>Connected, Like I belong</t>
  </si>
  <si>
    <t>Chef or Computer Programmer</t>
  </si>
  <si>
    <t>3.5</t>
  </si>
  <si>
    <t>Philadelphia Community College, Temple</t>
  </si>
  <si>
    <t>Doctor, nurse, cop</t>
  </si>
  <si>
    <t>Specific - pass all my classes
Measurable - get an average of 85
Attainable - right now my average is 80
Relevant - relevant because my mentors can help me focus on improving my grades for my future
Timely - I will achieve this goal by June</t>
  </si>
  <si>
    <t>Get an internship, Get mentors who can help me with college and career, Gain skills I can use at a future job, Learn about careers</t>
  </si>
  <si>
    <t>Funny, Helpful, Nice</t>
  </si>
  <si>
    <t>Exploratory Years - Only for graduates of the SPEAK Foundational Year, the Exploratory Years help SPEAK Alumni stay connected to a network of mentors, SPEAK Soiree - A formal evening where we get dressed in our finest and host a number of speakers, show off our networking skills, and congratulate SPEAK  award recipients.</t>
  </si>
  <si>
    <t>Nothing at this time</t>
  </si>
  <si>
    <t>yadeb239uz65dzh6tyadex1m309u8b5j</t>
  </si>
  <si>
    <t>Abdalmanaim</t>
  </si>
  <si>
    <t>Salah</t>
  </si>
  <si>
    <t>https://api.typeform.com/responses/files/f8cf420c8ba3a2aee47cc7d78b94a5880cde205ee8dc390aae17ec929745e572/IMG_1647.jpg</t>
  </si>
  <si>
    <t>10079751@philasd.org</t>
  </si>
  <si>
    <t>4228 K Street, Philadelphia 19128</t>
  </si>
  <si>
    <t>Facebook and Whats upp</t>
  </si>
  <si>
    <t>Ryad Salah</t>
  </si>
  <si>
    <t>+12152149086</t>
  </si>
  <si>
    <t>5000 Oxford Ave, Philadelphia, PA 19124</t>
  </si>
  <si>
    <t>https://api.typeform.com/responses/files/ac3c1b38b407753cf0882fc3751746513f881ca47cc354a94abc3826e6c57d09/IMG_1647.jpg</t>
  </si>
  <si>
    <t>Accountant</t>
  </si>
  <si>
    <t>3.21</t>
  </si>
  <si>
    <t>Temple</t>
  </si>
  <si>
    <t>Designer</t>
  </si>
  <si>
    <t>Specific: Learn English Measurable: Talking to more people in English. Attainable: Not comfortable to Somewhat Comfortable. Relevant: By being around English speakers. Timely: By the end of high school.</t>
  </si>
  <si>
    <t>Get mentors who can help me with college and career, Gain skills I can use at a future job</t>
  </si>
  <si>
    <t>Quite, Funny, and Curious.</t>
  </si>
  <si>
    <t>Exploratory Years - Only for graduates of the SPEAK Foundational Year, the Exploratory Years help SPEAK Alumni stay connected to a network of mentors, SPEAK Summer Camp  - A  week long camp in the summer to visit colleges and/or companies in a particular city. You will also have opportunities to do a number of fun and empowering self- and team-building activities.</t>
  </si>
  <si>
    <t>1ytjot8mb221f5c52o9ud1ytjboe7d4q</t>
  </si>
  <si>
    <t>Hongning</t>
  </si>
  <si>
    <t>Wei</t>
  </si>
  <si>
    <t>https://api.typeform.com/responses/files/33e993502117a57e954ff7a55c6b45090ac10d98e5118988da2c94110274aeea/head_picture.jpg</t>
  </si>
  <si>
    <t>WEI.HONGNING@emmalazarus.org</t>
  </si>
  <si>
    <t>+19174976341</t>
  </si>
  <si>
    <t>101 E Broadway</t>
  </si>
  <si>
    <t>Aiyu Hong</t>
  </si>
  <si>
    <t>wei.hongning@emmalazarus.org</t>
  </si>
  <si>
    <t>101 E Broadway Apt 2D</t>
  </si>
  <si>
    <t>+19173793031</t>
  </si>
  <si>
    <t>100 Hester street</t>
  </si>
  <si>
    <t>https://api.typeform.com/responses/files/88a021c823d7a0500fb0b3e180976c4b3419db97c7445cde366b6c00a5798a53/Report_card.pdf</t>
  </si>
  <si>
    <t>China</t>
  </si>
  <si>
    <t>Chinese</t>
  </si>
  <si>
    <t>Education</t>
  </si>
  <si>
    <t>Teacher</t>
  </si>
  <si>
    <t>8-10</t>
  </si>
  <si>
    <t>A teacher</t>
  </si>
  <si>
    <t>85</t>
  </si>
  <si>
    <t>Hunter, Brooklyn college, Long Island college</t>
  </si>
  <si>
    <t>Medicine, Education, accounting</t>
  </si>
  <si>
    <t>I want to improve my skills in my interested career path by can understand and apply them when it's needed by the program.</t>
  </si>
  <si>
    <t>Learn about careers, Get an internship, Gain skills I can use at a future job</t>
  </si>
  <si>
    <t>Kind, patient, responsible because I work hard during work and nice to others.</t>
  </si>
  <si>
    <t>SPEAK Summer Camp  - A  week long camp in the summer to visit colleges and/or companies in a particular city. You will also have opportunities to do a number of fun and empowering self- and team-building activities.</t>
  </si>
  <si>
    <t>9k395fwmmtvehqo6dv9k395vojaj9guy</t>
  </si>
  <si>
    <t>Abdurakhim</t>
  </si>
  <si>
    <t>Yunusov</t>
  </si>
  <si>
    <t>https://api.typeform.com/responses/files/ed5448c1bf8a7403fda6b3c8e2c5c6022885bd0df90909545c7e290b937f0d90/IMG_3782.HEIC</t>
  </si>
  <si>
    <t>YUNUSOV.ABDURAKHIM@emmalazarus.org</t>
  </si>
  <si>
    <t>+19293543869</t>
  </si>
  <si>
    <t>1200 Gravesend Neck Road Brooklyn 11229 NY APT 3D</t>
  </si>
  <si>
    <t>Instagram</t>
  </si>
  <si>
    <t>Mukharrama Crespi</t>
  </si>
  <si>
    <t>abdurahim_sheyx@mail.ru</t>
  </si>
  <si>
    <t>1200 Gravesend Neck Road Brooklyn 11229 NY</t>
  </si>
  <si>
    <t>+13476123509</t>
  </si>
  <si>
    <t>100 Hester Street</t>
  </si>
  <si>
    <t>https://api.typeform.com/responses/files/97eb8d02783974c3cf6583b76efc8c5b8c0f4c65d0a5473fe83be65d3c21dc8b/Screenshoot.png</t>
  </si>
  <si>
    <t>I feel more American</t>
  </si>
  <si>
    <t>Bussines Owner</t>
  </si>
  <si>
    <t>I got that job from school internship. That job was something like prapering to future job. We wrote resumes and essays</t>
  </si>
  <si>
    <t>76.5</t>
  </si>
  <si>
    <t>Columbia, New York University, Fordham, Barnard, Kingsborough, Hunter, Suny, Pace</t>
  </si>
  <si>
    <t>Bussines Owner, Psychology, Lawyer, IT technology, Dentistry.</t>
  </si>
  <si>
    <t>I want to change my mind. I want to think like bussinesman</t>
  </si>
  <si>
    <t>Gain skills I can use at a future job, Get mentors who can help me with college and career, Learn about careers</t>
  </si>
  <si>
    <t>Friendly, Communicable, Purposefull. Friendly because i always can find friends anywhere i go. Communicable because i can talk with anybody even, if i do not know them. Purposefull because i always reach my goals.</t>
  </si>
  <si>
    <t>SPEAK Summit - An event where mentees can present their work, establishing themselves as presenters and public speakers, and network with mentees from other schools, mentors, college admissions officers, and other amazing adults to add to your network.</t>
  </si>
  <si>
    <t>I like to meet new people. My hobby is to listen the music and training Judo.</t>
  </si>
  <si>
    <t>submit the $20 application fee</t>
  </si>
  <si>
    <t>I can pay the $75 Commitment Fee.</t>
  </si>
  <si>
    <t>Payment of 95.00 from Mukharrama Crespi with card ending in 2008 was successful</t>
  </si>
  <si>
    <t>gh6qwyvh614xs1vw86gh6qwyy9eoz6z5</t>
  </si>
  <si>
    <t>Yamin</t>
  </si>
  <si>
    <t>titikpina</t>
  </si>
  <si>
    <t>https://api.typeform.com/responses/files/8e10bca70120a356e8c10cd6f3b5c395cde8fd34f1a313c0bd12cbc4090a23ab/20200901_154818.jpg</t>
  </si>
  <si>
    <t>Yamin.titikpina@ellisprep.com</t>
  </si>
  <si>
    <t>+13475750057</t>
  </si>
  <si>
    <t>972 sherman ave apt 5f 10456 164 st</t>
  </si>
  <si>
    <t>@Yamintitikpina</t>
  </si>
  <si>
    <t>Baka titikpina</t>
  </si>
  <si>
    <t>Titikpinabaka@gmail.com</t>
  </si>
  <si>
    <t>972 sherman ave apt 5f 10456 apt 164st</t>
  </si>
  <si>
    <t>+12129206866</t>
  </si>
  <si>
    <t>Ellis preparatory academy.</t>
  </si>
  <si>
    <t>https://api.typeform.com/responses/files/d728c090f4d0da37f50fa11b50d89de060af2e3d0702e021f147dc1bbaa1d674/20200831_165712.jpg</t>
  </si>
  <si>
    <t>20 years</t>
  </si>
  <si>
    <t>im black</t>
  </si>
  <si>
    <t>Mechanical engeneering</t>
  </si>
  <si>
    <t>Safe, Connected, Like I belong, Supported</t>
  </si>
  <si>
    <t>1-10</t>
  </si>
  <si>
    <t>engeneer</t>
  </si>
  <si>
    <t>4</t>
  </si>
  <si>
    <t>88.92</t>
  </si>
  <si>
    <t>MIT,Rochester institute of technology.</t>
  </si>
  <si>
    <t>Researcher,engeneering</t>
  </si>
  <si>
    <t>My specific goal is to graduate the speakmentorship programm.I want to have a perfect attendance for the programm.I want to do better each session i go.i want to make it to a speak soiree. I want all of my goal to be succesful during the first round so i can go to the second round.</t>
  </si>
  <si>
    <t>Learn about colleges, Get an internship, Gain skills I can use at a future job, Get mentors who can help me with college and career, Learn about careers</t>
  </si>
  <si>
    <t>amiable ,approchable,cordial because i like the community , get to know others and share my opinions.</t>
  </si>
  <si>
    <t>SPEAK Soiree - A formal evening where we get dressed in our finest and host a number of speakers, show off our networking skills, and congratulate SPEAK  award recipients., SPEAK Summer Camp  - A  week long camp in the summer to visit colleges and/or companies in a particular city. You will also have opportunities to do a number of fun and empowering self- and team-building activities.</t>
  </si>
  <si>
    <t>Nothing</t>
  </si>
  <si>
    <t>bx5twtjnlqwa6pbx5t773fbxrivgd3sn</t>
  </si>
  <si>
    <t>Daina</t>
  </si>
  <si>
    <t>Charles</t>
  </si>
  <si>
    <t>https://api.typeform.com/responses/files/d516127717687b1b7716e6fb9a866f7ea4dfa03b0e85464003d9b83c37f09f26/5CD4F09B_378F_4FE2_81CD_5571F3712255.jpeg</t>
  </si>
  <si>
    <t>charles.daina@emmalazarus.org</t>
  </si>
  <si>
    <t>+13478372876</t>
  </si>
  <si>
    <t>1081 Eastern Parkway Apt 4B</t>
  </si>
  <si>
    <t>Jean Claude Charles</t>
  </si>
  <si>
    <t>charleslaroche1949@gmail.com</t>
  </si>
  <si>
    <t>+19174365092</t>
  </si>
  <si>
    <t>https://api.typeform.com/responses/files/5c5b5dc8d663d4cf9a2796ab4ca8eb34eaa616e66365930cebc750d3caa0d8ad/ACA5B37C_7C10_4584_AF02_C3CF22CE2D8D.jpeg</t>
  </si>
  <si>
    <t>Haiti</t>
  </si>
  <si>
    <t>North American</t>
  </si>
  <si>
    <t>Creole and English.</t>
  </si>
  <si>
    <t>Other</t>
  </si>
  <si>
    <t>Nursing</t>
  </si>
  <si>
    <t>I am currently working as a Cashier. A friend referred me to that job.</t>
  </si>
  <si>
    <t>.</t>
  </si>
  <si>
    <t>5</t>
  </si>
  <si>
    <t>My current GPA is 2.9.</t>
  </si>
  <si>
    <t>Cunny College of staten Island, Hunter College, Brooklyn College, The city College of New York, Borough of Manhattan Community College.</t>
  </si>
  <si>
    <t>Dental hygienist, Management, Psychology.</t>
  </si>
  <si>
    <t>I will improve my GPA by 8 points by the end of this school year. In order to attend this objective, I will attend officer hours For all my classes, at least four times a week.</t>
  </si>
  <si>
    <t>Gain skills I can use at a future job, Get mentors who can help me with college and career, Learn about careers, Learn about colleges, Make new friends, Get an internship</t>
  </si>
  <si>
    <t>I can describe myself as a Shy, determined and respectful person, because these adjectives describe me best.</t>
  </si>
  <si>
    <t>Exploratory Years - Only for graduates of the SPEAK Foundational Year, the Exploratory Years help SPEAK Alumni stay connected to a network of mentors, SPEAK Summit - An event where mentees can present their work, establishing themselves as presenters and public speakers, and network with mentees from other schools, mentors, college admissions officers, and other amazing adults to add to your network.</t>
  </si>
  <si>
    <t>No.</t>
  </si>
  <si>
    <t>g6li62086rc1cwg6li6gu289whj6bpgg</t>
  </si>
  <si>
    <t>Zuura</t>
  </si>
  <si>
    <t>Ramazanova</t>
  </si>
  <si>
    <t>https://api.typeform.com/responses/files/0b18d335cefef11619e16a257c825aba7a7f831163d433cff08dcd4b7cefb686/67A61763_382D_4AD1_8FF5_115310EFA8E6.jpeg</t>
  </si>
  <si>
    <t>zuuraramazanova@gmail.com</t>
  </si>
  <si>
    <t>+12157154966</t>
  </si>
  <si>
    <t>10220 Clark st PA</t>
  </si>
  <si>
    <t>Grandparent</t>
  </si>
  <si>
    <t>10220 Clark street PA</t>
  </si>
  <si>
    <t>+12676904447</t>
  </si>
  <si>
    <t>George Washington high school</t>
  </si>
  <si>
    <t>10175 Bustleton Ave, Philadelphia, PA 19116</t>
  </si>
  <si>
    <t>https://api.typeform.com/responses/files/0f0b0a48cd9c0a37f807c8e24b2bb7149c03a4428c3567baeec0d9ecbaebecef/CE81C730_E490_4CD2_9CD0_FB4C630F86FE.jpeg</t>
  </si>
  <si>
    <t>Received email from SPEAK</t>
  </si>
  <si>
    <t>Kyrgyzstan</t>
  </si>
  <si>
    <t>Kyrgyz and Russian</t>
  </si>
  <si>
    <t>Dentist and nursing</t>
  </si>
  <si>
    <t>When I came we could find that normal job and my mom said that maybe we will in the cleaning service and I said ok</t>
  </si>
  <si>
    <t>Nursing or dentist</t>
  </si>
  <si>
    <t>I don’t know</t>
  </si>
  <si>
    <t>3 more people</t>
  </si>
  <si>
    <t>3.86</t>
  </si>
  <si>
    <t>I want to start with community college</t>
  </si>
  <si>
    <t>Nursing , Dentist , Family doctor or IT</t>
  </si>
  <si>
    <t>My goal is for a future to get good score from the SAT test and apply to the FAFSA , also apply to the college.</t>
  </si>
  <si>
    <t>Get mentors who can help me with college and career, Learn about careers, Make new friends, Get an internship</t>
  </si>
  <si>
    <t>This so hard question so I can say patient, serious, friendly .</t>
  </si>
  <si>
    <t>ac05vnrrqyoi7kj78tofo7ac05vnxdbz</t>
  </si>
  <si>
    <t>leila</t>
  </si>
  <si>
    <t>Titikpina</t>
  </si>
  <si>
    <t>https://api.typeform.com/responses/files/d0d56c819a1d45a16c21ff385f4226f41062bbe27014ab1d44b4a3c4becb77ad/20200512_143305.jpg</t>
  </si>
  <si>
    <t>leila.titikpina@ellisprep.com</t>
  </si>
  <si>
    <t>+13475737603</t>
  </si>
  <si>
    <t>972 sherman ave, apt 5F</t>
  </si>
  <si>
    <t>Baka.titikpina@ellisprep.com</t>
  </si>
  <si>
    <t>972 sherman av,apt 5F ,zip code 10456,bronx,NY</t>
  </si>
  <si>
    <t>Ellis preparatory Academy</t>
  </si>
  <si>
    <t>99 terrace view,New York,Bronx</t>
  </si>
  <si>
    <t>https://api.typeform.com/responses/files/388e9c55e1d3eeff8ba9991eedb82f21bb558d1022d8610736e1fba9b51eae64/Screenshot_20200831_140018.png</t>
  </si>
  <si>
    <t>I 'm black</t>
  </si>
  <si>
    <t>french,Ewe,kotokoli, Tchamba,english</t>
  </si>
  <si>
    <t>engeneering medicine</t>
  </si>
  <si>
    <t>Safe, Supported</t>
  </si>
  <si>
    <t>biology</t>
  </si>
  <si>
    <t>95.82</t>
  </si>
  <si>
    <t>boston colleges ,columbia university ,union college</t>
  </si>
  <si>
    <t>chemistry,biology,</t>
  </si>
  <si>
    <t>my goal is specific :I want to do math and science profession,measurable:by 4 years of  college attainable: intership in the work field interest,Relevant:by the skill I learn in my intership,timely :After graduation from high school</t>
  </si>
  <si>
    <t>Get an internship, Get mentors who can help me with college and career, Learn about colleges</t>
  </si>
  <si>
    <t>helpful,respectful,</t>
  </si>
  <si>
    <t>nothing</t>
  </si>
  <si>
    <t>wij3fusz50d89hhq4xua8dkwij3fut3o</t>
  </si>
  <si>
    <t>Cendu aka Bibi</t>
  </si>
  <si>
    <t>Borber</t>
  </si>
  <si>
    <t>https://api.typeform.com/responses/files/ee6fcf092d233ebb7b164f581663f296ef7a9b1ea1acedde3bffcbcb257706cc/IMG_2397.jpg</t>
  </si>
  <si>
    <t>9598258@philasd.org</t>
  </si>
  <si>
    <t>+12674236676</t>
  </si>
  <si>
    <t>4848 Frankford ave</t>
  </si>
  <si>
    <t>MVP._bb3</t>
  </si>
  <si>
    <t>Josephine S Borbor</t>
  </si>
  <si>
    <t>+12152688338</t>
  </si>
  <si>
    <t>https://api.typeform.com/responses/files/bfc31ab61993daad5a09f2f050648590918f2ea2afc47d128f795187da4eb06a/IMG_2397.jpg</t>
  </si>
  <si>
    <t>Libya</t>
  </si>
  <si>
    <t>North African</t>
  </si>
  <si>
    <t>N/A</t>
  </si>
  <si>
    <t>English</t>
  </si>
  <si>
    <t>2.11</t>
  </si>
  <si>
    <t>Don't know yet</t>
  </si>
  <si>
    <t>Basketball player, Soccer player, Doctor, and Lawyer</t>
  </si>
  <si>
    <t>Specific: I want to improve my GPA. Measurable: By a point. Attainable: From a 2.11 to a 3.1. Relevant: By applying the skills I learn from my mentors in my educational work. Timely: by the end of the senior year.</t>
  </si>
  <si>
    <t>Learn about colleges</t>
  </si>
  <si>
    <t>Funny, Smart, and Nice.</t>
  </si>
  <si>
    <t>None of these</t>
  </si>
  <si>
    <t>jzo8fmdu6lfnty3lxjzo8s1ukho2fp5r</t>
  </si>
  <si>
    <t>Ehsanullah</t>
  </si>
  <si>
    <t>Sulimanzoy</t>
  </si>
  <si>
    <t>https://api.typeform.com/responses/files/33c6f4819869521e6db20cf2650faca06e325e275dd8da54de4984bace459b75/Dialpad.exe</t>
  </si>
  <si>
    <t>esulimanzoy2020@gmail.com</t>
  </si>
  <si>
    <t>Suliman</t>
  </si>
  <si>
    <t>https://api.typeform.com/responses/files/87c13c0218fc9ff6bb2156c9a2d821cee63eae67bcefe064d9d4acf3457ab883/app.ico</t>
  </si>
  <si>
    <t>South Asian</t>
  </si>
  <si>
    <t>Pashto, Persian - Iran</t>
  </si>
  <si>
    <t>Engineer</t>
  </si>
  <si>
    <t>10</t>
  </si>
  <si>
    <t>80 - to be confirmed</t>
  </si>
  <si>
    <t>City Community College; Temple University;</t>
  </si>
  <si>
    <t>Computer Programmer; Economist - Business;</t>
  </si>
  <si>
    <t>To learn more English so I can succeed in college.</t>
  </si>
  <si>
    <t>Funny, hard-working, athletic</t>
  </si>
  <si>
    <t>Not at this time</t>
  </si>
  <si>
    <t>4xdaruwbbxtzlt4nylc3e7yx661rtqyx</t>
  </si>
  <si>
    <t>Batma</t>
  </si>
  <si>
    <t>https://api.typeform.com/responses/files/80ae77ccfb30a39a82a7890f24ab6735336d0ba5f9b56c4fc01484f947b3bfd1/trim.609879B0_B531_412B_99B2_DD5170AB5C24.MOV</t>
  </si>
  <si>
    <t>batmaramazanova@gmail.com</t>
  </si>
  <si>
    <t>+12157155073</t>
  </si>
  <si>
    <t>10220 Clark st</t>
  </si>
  <si>
    <t>batma Ramazanova Instagram</t>
  </si>
  <si>
    <t>Elmira</t>
  </si>
  <si>
    <t>10175 Bustleton Ave Philadelphia, PA  19116 United States</t>
  </si>
  <si>
    <t>https://api.typeform.com/responses/files/1f4f550c7735fd83ccc3185e109eafe0c0c0c024ac6bec13adb7188a38d7e8c3/2776CE57_976F_4C1F_8744_0290887C8A84.jpeg</t>
  </si>
  <si>
    <t>Kyrgyz</t>
  </si>
  <si>
    <t>Gynecologist</t>
  </si>
  <si>
    <t>Only one</t>
  </si>
  <si>
    <t>Community college</t>
  </si>
  <si>
    <t>Gynecologist , nurse,pediatrician,cardiologist</t>
  </si>
  <si>
    <t>To have a dream job that I can enjoy and love to do that</t>
  </si>
  <si>
    <t>Get mentors who can help me with college and career, Learn about careers, Learn about colleges, Make new friends</t>
  </si>
  <si>
    <t>Hard working,kind, cowardly</t>
  </si>
  <si>
    <t>One thing about my weakness is I can solve and understand math but I can’t say I love math</t>
  </si>
  <si>
    <t>a18fhqdp6mh2lo3o11ih327a18fhq6a3</t>
  </si>
  <si>
    <t>Melvin</t>
  </si>
  <si>
    <t>Martinez</t>
  </si>
  <si>
    <t>https://api.typeform.com/responses/files/5fc8db8e786fb60e57a18a80a5c6507c76dccc9ac863ed8ef140b2b3923513e2/real</t>
  </si>
  <si>
    <t>10041798@philasd.org</t>
  </si>
  <si>
    <t>2803 N 2nd st 19133</t>
  </si>
  <si>
    <t>Emilio Jorge Martinez Montero</t>
  </si>
  <si>
    <t>emiliomartinez601@gmail.com</t>
  </si>
  <si>
    <t>2742 N Ruth st 19134</t>
  </si>
  <si>
    <t>+12674710617</t>
  </si>
  <si>
    <t>5000 oxford Ave</t>
  </si>
  <si>
    <t>https://api.typeform.com/responses/files/711b7940d4d8f177d8d3d82a16f98219f2a902b5779bbe96378cb93f202240ff/_mi_report_cart</t>
  </si>
  <si>
    <t>I'm Hispanic</t>
  </si>
  <si>
    <t>Architect</t>
  </si>
  <si>
    <t>I don't know</t>
  </si>
  <si>
    <t>I don't know yet</t>
  </si>
  <si>
    <t>University of Pennsylvania, Swarthmore College, Penn State University, Drexel University, Temple University, Harvad, Lehigh University, Carnegie Mellon University, Bucknell University, Villanova University.</t>
  </si>
  <si>
    <t>Architect / Cardiology / Economy</t>
  </si>
  <si>
    <t>My goal is to go on college I will be doing my best for this.</t>
  </si>
  <si>
    <t>Get an internship, Get mentors who can help me with college and career, Learn about careers, Learn about colleges, Gain skills I can use at a future job, Make new friends</t>
  </si>
  <si>
    <t>adventurous, amiable and persistent I like to be successful on everything.</t>
  </si>
  <si>
    <t>Payment of 95.00 from Discover with card ending in 1636 was successful</t>
  </si>
  <si>
    <t>th7yjqw8h3tlrubvgyzrr6cth7yjqw8j</t>
  </si>
  <si>
    <t>Alpha</t>
  </si>
  <si>
    <t>Sylla</t>
  </si>
  <si>
    <t>https://api.typeform.com/responses/files/fa466b7cc1df39273fb6585913dcbc5e1373345b3216cedccdbb471e9fdc22fe/157A047F_6A95_41E9_A690_7F7DB8023F25.jpeg</t>
  </si>
  <si>
    <t>alpha.sylla@ellisprep.com</t>
  </si>
  <si>
    <t>+19292636924</t>
  </si>
  <si>
    <t>2815 grand concourse Bronx NY Apt 25.10468</t>
  </si>
  <si>
    <t>Sylvįnho ALfa Tfg</t>
  </si>
  <si>
    <t>Alpha Fadika</t>
  </si>
  <si>
    <t>alphasylla677@gmail.com</t>
  </si>
  <si>
    <t>+16462639431</t>
  </si>
  <si>
    <t>Ellis preparatory academy</t>
  </si>
  <si>
    <t>99 terrace view avenue Bronx NY 10463</t>
  </si>
  <si>
    <t>https://api.typeform.com/responses/files/2fe2a83810491e6e49fa4030455d8d7f9b845f75871ba6afb9e9bd7ecce01313/A7B9DE59_DE46_44EE_AE08_D6208F449F3A.png</t>
  </si>
  <si>
    <t>24 years ago</t>
  </si>
  <si>
    <t>I’am African-American born in New Jersey.</t>
  </si>
  <si>
    <t>French,Mandingo,English</t>
  </si>
  <si>
    <t>Engineering,Business</t>
  </si>
  <si>
    <t>Connected</t>
  </si>
  <si>
    <t>20-30</t>
  </si>
  <si>
    <t>Businessman, An engineer.</t>
  </si>
  <si>
    <t>A couple.</t>
  </si>
  <si>
    <t>A</t>
  </si>
  <si>
    <t>Syracuse ,Rochester university,skidmoore, keuka ,Colombia university,Saint Lawrence,Bridgeport university,</t>
  </si>
  <si>
    <t>Art,finance,business,engineering,lifestyle</t>
  </si>
  <si>
    <t>I will improve by applying the skills I learn from my mentors in my academic work.</t>
  </si>
  <si>
    <t>Get an internship, Gain skills I can use at a future job, Get mentors who can help me with college and career, Learn about colleges, Learn about careers, Make new friends</t>
  </si>
  <si>
    <t>Always ,curious ,excited,and passionate because I want to discover a lot of things.</t>
  </si>
  <si>
    <t>I’m so passionate and always ready to make my dream come true</t>
  </si>
  <si>
    <t>kwchhev0rabbkwch2el2q60crmbyjb53</t>
  </si>
  <si>
    <t>Josie</t>
  </si>
  <si>
    <t>Joseph</t>
  </si>
  <si>
    <t>https://api.typeform.com/responses/files/f0e817bebf785511ce067d44929d7d0b65342b22c1bc1b954f265a7f6afdabf2/IMG_20201113_WA0013.jpg</t>
  </si>
  <si>
    <t>jaygalaxy205@gmail.com</t>
  </si>
  <si>
    <t>+12152010704</t>
  </si>
  <si>
    <t>4569 G street</t>
  </si>
  <si>
    <t>I do not have social media account</t>
  </si>
  <si>
    <t>Martine Chachoute</t>
  </si>
  <si>
    <t>martinep2000@hotmail.com</t>
  </si>
  <si>
    <t>+12678473509</t>
  </si>
  <si>
    <t>10175 Bustleton Avenue</t>
  </si>
  <si>
    <t>https://api.typeform.com/responses/files/010e552fed3d48b78f705abf56b6265ace8f60eaa024dfc1d5fea34d9be751fb/document.pdf</t>
  </si>
  <si>
    <t>I was born in a different country and both of my parents/guardians were born in a different country</t>
  </si>
  <si>
    <t>North American, West Indies/Caribbean</t>
  </si>
  <si>
    <t>Black or African American</t>
  </si>
  <si>
    <t>Creole</t>
  </si>
  <si>
    <t>Nursing (DNP)</t>
  </si>
  <si>
    <t>3</t>
  </si>
  <si>
    <t>3.28</t>
  </si>
  <si>
    <t>California university, penn state abington University,Arcadia  university , Temple university , west- chester university, Thomas Jefferson university,Neuman University, Holy family university, Millersville university.</t>
  </si>
  <si>
    <t>Medicine , Theology,</t>
  </si>
  <si>
    <t>Specific I will improve my overall average, Measurable: by 10 points, Attainable; from 90 to 95 relevant by applying the skills I learn from mentors in my academic work, Timely by the end of the school.</t>
  </si>
  <si>
    <t>Disciplined: Because when you have discipline you get a lot of respect from others, and discipline also helps me be successful in my life, without discipline I can't do anything.
Motivated: 
 I am always motivated on anything that helps me move forward in my life and motivation is the path from my fixed mindset through the growth mindset.
Responsible: I take my responsibility for everything I do for a living. I care about anything that will help me be successful.</t>
  </si>
  <si>
    <t>Perseverance - Motivation - communication- Planning.</t>
  </si>
  <si>
    <t>SPEAK Summit - An event where mentees can present their work, establishing themselves as presenters and public speakers, and network with mentees from other schools, mentors, college admissions officers, and other amazing adults to add to your network., Exploratory Years - Only for graduates of the SPEAK Foundational Year, the Exploratory Years help SPEAK Alumni stay connected to a network of mentors</t>
  </si>
  <si>
    <t>There isn't anything else I would like to tell us Thank you so much!</t>
  </si>
  <si>
    <t>https://api.typeform.com/responses/files/3b5b73839308f8d8c70e8fba19e0536e87f3f1f6728036ed06cffe0936259b88/Parent.Guardian_Consent_Form.pdf</t>
  </si>
  <si>
    <t>Payment of 95.00 from PIERRE S JOSEPH with card ending in 6143 was successful</t>
  </si>
  <si>
    <t>s18639ws7ulbfypx2nnss1863997f7za</t>
  </si>
  <si>
    <t>Akhmadzhon</t>
  </si>
  <si>
    <t>Vakhidov</t>
  </si>
  <si>
    <t>https://api.typeform.com/responses/files/0331894ba963dc2be18514285e1e11cbfbd8bf0951b86f88e24e22f0bcc27266/13BAD64E_5815_42ED_957A_01030AD1DBEC.jpeg</t>
  </si>
  <si>
    <t>akhmadzon.vokhidov@gmail.com</t>
  </si>
  <si>
    <t>+12676002577</t>
  </si>
  <si>
    <t>10900 Bustleton</t>
  </si>
  <si>
    <t>Alisher</t>
  </si>
  <si>
    <t>vohidov666@gmail.com</t>
  </si>
  <si>
    <t>+12159006102</t>
  </si>
  <si>
    <t>GWHS</t>
  </si>
  <si>
    <t>10175 Bustleton</t>
  </si>
  <si>
    <t>https://api.typeform.com/responses/files/6014336d2c75f8516a0d0aa4a04d63fff844278f8df20fbc51d044b08201455e/1E22736D_B6D3_4C51_9E88_E5C4B56938B3.png</t>
  </si>
  <si>
    <t>A friend</t>
  </si>
  <si>
    <t>Tajikistan</t>
  </si>
  <si>
    <t>Uzbek</t>
  </si>
  <si>
    <t>I don’t want</t>
  </si>
  <si>
    <t xml:space="preserve">Programming </t>
  </si>
  <si>
    <t>Software Engineering</t>
  </si>
  <si>
    <t>Cashier</t>
  </si>
  <si>
    <t>1.99</t>
  </si>
  <si>
    <t>Penn State</t>
  </si>
  <si>
    <t>Programmer business</t>
  </si>
  <si>
    <t>Graduate HS and go to collage for 4 years and get my job</t>
  </si>
  <si>
    <t>Shy , different then others</t>
  </si>
  <si>
    <t>Understanding computer</t>
  </si>
  <si>
    <t>https://api.typeform.com/responses/files/2d82cfb62d55e100ab976a4323e08374f0e7dbfc8009107b4f0fef85ca281216/228CFA4E_35D0_40E5_BDE9_59688BF59772.png</t>
  </si>
  <si>
    <t>5f5dc47pzemcbkcrtbgegc5f5dc4asyd</t>
  </si>
  <si>
    <t>Saidatou</t>
  </si>
  <si>
    <t>https://api.typeform.com/responses/files/314959863946fc2baeb5fcd21ca194b62dee7882dddafa753c2384f0a15d315f/Saidatou_Diallo.pdf</t>
  </si>
  <si>
    <t>saoudadiallo04@gmail.com</t>
  </si>
  <si>
    <t>+12673447657</t>
  </si>
  <si>
    <t>68-34 Souder Street,  Philadelphia, PA 19149</t>
  </si>
  <si>
    <t>@saouda_diallo06 - IG</t>
  </si>
  <si>
    <t>Fatoumata Diallo</t>
  </si>
  <si>
    <t>https://api.typeform.com/responses/files/f559a72f1dd44eee2ab2d34dc4bd05a2132e5df8d397946b67a2de175cfa0e98/Saidatou_Diallo.pdf</t>
  </si>
  <si>
    <t>I was born in America and only one of my parents/guardians was born in a different country</t>
  </si>
  <si>
    <t>They are still in Mali - I was born in NY but raised in Mali and came here 2019</t>
  </si>
  <si>
    <t>Born in America, raised in Mali, and I feel West African</t>
  </si>
  <si>
    <t>French, English, Bamba</t>
  </si>
  <si>
    <t>Economist working in a bank</t>
  </si>
  <si>
    <t>Safe, Connected</t>
  </si>
  <si>
    <t>Economist</t>
  </si>
  <si>
    <t>3.72500</t>
  </si>
  <si>
    <t>Not sure -- college is expensive in America</t>
  </si>
  <si>
    <t>Engineer, Business, entrepreneur, business owner</t>
  </si>
  <si>
    <t>By June 2021, I want to learn enough English so I can start looking at 4-year colleges</t>
  </si>
  <si>
    <t>Hard-working because I set my goals and work hard to achieve them. Funny because I always make people laugh. Confident because I like I who am.</t>
  </si>
  <si>
    <t>Ideas/creative, hard-working, studious</t>
  </si>
  <si>
    <t>I learned English in one year, since coming here in 2019. I want to move back to Mali and start a business there. I am not sure I want to go to college in America -- maybe I'll go to college in France or Canada.</t>
  </si>
  <si>
    <t>https://api.typeform.com/responses/files/d44d122a7b6683a70bd8f0557565ca05f8e8146dd993140d32482fff9d34656b/Saidatou_Diallo.pdf</t>
  </si>
  <si>
    <t>hzy7ebc81ql6ogo2hzy7eb566ors1qub</t>
  </si>
  <si>
    <t>Aldodoo</t>
  </si>
  <si>
    <t>https://api.typeform.com/responses/files/0147ff7ef35d5970dc036f40f0392861115462400d775e0faf19674d1950e7ff/104E172B_C905_4EF4_A225_F9E3E5C6F6C6.png</t>
  </si>
  <si>
    <t>islamaldodoo5@gmail.com</t>
  </si>
  <si>
    <t>+12675969817</t>
  </si>
  <si>
    <t>2301woodward st</t>
  </si>
  <si>
    <t>Islam Mohamed</t>
  </si>
  <si>
    <t>Mohammed Aldodoo</t>
  </si>
  <si>
    <t>mohammedaldodoo@hotmail.com</t>
  </si>
  <si>
    <t>+12158249372</t>
  </si>
  <si>
    <t>Gorge Washington high school</t>
  </si>
  <si>
    <t>10175bustleton ave pa 19116</t>
  </si>
  <si>
    <t>https://api.typeform.com/responses/files/8aaae98bb59c328b8546ba65640272a341995f38f7a07bd90fad2d2a23f27eff/03EBF45B_93D7_4504_A51D_8C165BFC7DEF.png</t>
  </si>
  <si>
    <t>We are from Sudan</t>
  </si>
  <si>
    <t>East African</t>
  </si>
  <si>
    <t xml:space="preserve">Pharmacy </t>
  </si>
  <si>
    <t>Pharmacy</t>
  </si>
  <si>
    <t>Pharmacist</t>
  </si>
  <si>
    <t>1-2</t>
  </si>
  <si>
    <t>3-4</t>
  </si>
  <si>
    <t>Only pharmacy</t>
  </si>
  <si>
    <t>To go to college</t>
  </si>
  <si>
    <t>Learn about colleges, Get mentors who can help me with college and career, Make new friends</t>
  </si>
  <si>
    <t>I'm quite and smiling</t>
  </si>
  <si>
    <t>My family</t>
  </si>
  <si>
    <t>https://api.typeform.com/responses/files/023b8f6b3fbb18fb441d6e321f553409e80d0dd5cb6bffacee9e696fce33a0c8/6E9BF3BD_F080_4297_9788_4C333CE7040C.png</t>
  </si>
  <si>
    <t>I am applying on my own</t>
  </si>
  <si>
    <t>I am self-led but cannot pay the program cost and have completed the Commitment Essay</t>
  </si>
  <si>
    <t>56kqco1joa7hdtyvzi56kt9zzo0v09q8</t>
  </si>
  <si>
    <t>Sezim</t>
  </si>
  <si>
    <t>Bolotbekova</t>
  </si>
  <si>
    <t>https://api.typeform.com/responses/files/52f007cf2fccc357cab507c4c79c498b6b31e2ac7b2b013894945c205c85cfc0/2A9E48EE_D051_411A_80D1_E2CDBA1A5C1E.jpeg</t>
  </si>
  <si>
    <t>sezim.bolotbekova0200@gmail.com</t>
  </si>
  <si>
    <t>+12672126434</t>
  </si>
  <si>
    <t>10868 Parlin Terrace</t>
  </si>
  <si>
    <t>Ig account is feelliiessa</t>
  </si>
  <si>
    <t>Zamira Aitalieva</t>
  </si>
  <si>
    <t>aitalieva2020@gmail.com</t>
  </si>
  <si>
    <t>+12672707217</t>
  </si>
  <si>
    <t>George Washington High School</t>
  </si>
  <si>
    <t>10175 Bustleton Ave</t>
  </si>
  <si>
    <t>https://api.typeform.com/responses/files/6f540bcf6a7fb264f216965ecf6111a95b95f9f76a0c80faa6a1bfa56becd74b/F89FD9F3_98E7_4862_A702_A9C9AA8AAE1B.png</t>
  </si>
  <si>
    <t>Asian</t>
  </si>
  <si>
    <t>Russian and kyrgyz</t>
  </si>
  <si>
    <t>Dentist</t>
  </si>
  <si>
    <t>3.14</t>
  </si>
  <si>
    <t>New York,Boston,Stanford, Harvard,</t>
  </si>
  <si>
    <t>fashion designer</t>
  </si>
  <si>
    <t>I wanna be a doctor</t>
  </si>
  <si>
    <t>Get mentors who can help me with college and career</t>
  </si>
  <si>
    <t>Calm, I consider myself smart, diligent</t>
  </si>
  <si>
    <t>I'm good at solving tasks, I draw very well,</t>
  </si>
  <si>
    <t>become successful</t>
  </si>
  <si>
    <t>https://api.typeform.com/responses/files/15d487b1dc4c24e4699292555f96bc555160e7d4ec00c5e6224454e014c19b84/601680E5_7684_42E9_AD06_479532D13435.jpeg</t>
  </si>
  <si>
    <t>54hniw5d8xvyrsvw9n54hjg7w05ls1wd</t>
  </si>
  <si>
    <t>Nazim</t>
  </si>
  <si>
    <t>https://api.typeform.com/responses/files/5467754f8c60ad03173a7d9502166eb4d5732d185c5da96534cbca74fc7c7c9d/F4B3BBC9_1AAC_448E_A78F_E288F3A89A3F.jpeg</t>
  </si>
  <si>
    <t>bolotbekova.nazima0200@gmail.com</t>
  </si>
  <si>
    <t>+12672126950</t>
  </si>
  <si>
    <t>10868 Parlin Terrace Philadelphia PA 19116</t>
  </si>
  <si>
    <t>https://api.typeform.com/responses/files/d4e44ea818943fea556eb240f1a0a8bc4ace268c7e246124feb02f5771202993/08F375AB_EB04_4FA5_A1E1_B599B1A65E06.png</t>
  </si>
  <si>
    <t>Russian</t>
  </si>
  <si>
    <t>Investor</t>
  </si>
  <si>
    <t>Business owner</t>
  </si>
  <si>
    <t>Robert Kiyosaki</t>
  </si>
  <si>
    <t>3.23</t>
  </si>
  <si>
    <t>Kind, adaptable and diligent</t>
  </si>
  <si>
    <t>Leadership, self awareness and initiative</t>
  </si>
  <si>
    <t>I am not talkative person</t>
  </si>
  <si>
    <t>https://api.typeform.com/responses/files/669f2f4859e238631cf274dd9921be86663ccfb55098f43ed19474fb27327955/74E2BBD7_889A_4719_8370_4EE6F8C74954.jpeg</t>
  </si>
  <si>
    <t>nvyg5lpe0zmmh5ab9j95nvyg5lpcf9uj</t>
  </si>
  <si>
    <t>Sanat</t>
  </si>
  <si>
    <t>Gaybulloev</t>
  </si>
  <si>
    <t>https://api.typeform.com/responses/files/519e8277e2348c50686b5abc0dafc1b68452f382541a7a6a59bcb7f8d4a4b600/unnamed.jpg</t>
  </si>
  <si>
    <t>10023597@philasd.org</t>
  </si>
  <si>
    <t>+12159617509</t>
  </si>
  <si>
    <t>11810 Audubon Ave Philadelphia, PA 19116</t>
  </si>
  <si>
    <t>Abdullo Rasulov</t>
  </si>
  <si>
    <t>sanatr2003@gmail.com</t>
  </si>
  <si>
    <t>+19292247777</t>
  </si>
  <si>
    <t>https://api.typeform.com/responses/files/cfa17283b6b59161fee11e00e4462bf7cf4922cbaf29be2cf64a7a70c874c8db/unnamed.png</t>
  </si>
  <si>
    <t>I'm from Uzbekistan</t>
  </si>
  <si>
    <t>Uzbek, Tajik</t>
  </si>
  <si>
    <t xml:space="preserve">Police officer </t>
  </si>
  <si>
    <t>Through Speak, I want to learn about colleges and my future career. I want to be sure that I am good enough to be come my dream job, If I'm not I'm gonna try harder then that.</t>
  </si>
  <si>
    <t>I wanna be police officer</t>
  </si>
  <si>
    <t>6</t>
  </si>
  <si>
    <t>1.55</t>
  </si>
  <si>
    <t>Police Academy</t>
  </si>
  <si>
    <t>Police officer, programming, gaming, engineering,</t>
  </si>
  <si>
    <t>I wanna go to Police academy.</t>
  </si>
  <si>
    <t>Learn about careers, Make new friends, Get mentors who can help me with college and career</t>
  </si>
  <si>
    <t>Funny, I have a good personality, and I like to help people who need help's.</t>
  </si>
  <si>
    <t>Hard worker, curious, and never give up</t>
  </si>
  <si>
    <t>I'm trying hard because my parents really want me to be police officer</t>
  </si>
  <si>
    <t>https://api.typeform.com/responses/files/f6ef8e2dcf21fb79614b4edc5066b6d1d5a2ba1674d4a22d39a585d43f3908c1/unnamed.png</t>
  </si>
  <si>
    <t>lgk18q9aqnt76xyllgk1x2d4c4qxbp9b</t>
  </si>
  <si>
    <t>Eimy Alexandra Carpio Cuesta</t>
  </si>
  <si>
    <t>https://api.typeform.com/responses/files/422a2b632375c231a2a2fe65695efcc3125c95d20a2a73a07527f1a069b25c3b/47438BE9_62BD_4AF6_9781_C912B407CF38.jpeg</t>
  </si>
  <si>
    <t>eimycarpio@crotonaihs.org</t>
  </si>
  <si>
    <t>+13479284347</t>
  </si>
  <si>
    <t>2985 Botánical Square, Bronx NY, Apt 5c (10458)</t>
  </si>
  <si>
    <t>eimycarpiocuesta(Instagram).  Eimy Carpio Cuesta (Facebook).</t>
  </si>
  <si>
    <t>My father is: Alexander Carpio Gonzales, My mother is: Noemí Yocairy Cuesta.</t>
  </si>
  <si>
    <t>cuestan34@gmail.com</t>
  </si>
  <si>
    <t>2985 Botanical Square Bronx NY Apt 5c 10458.</t>
  </si>
  <si>
    <t>+13479610305</t>
  </si>
  <si>
    <t>Crotona Hight School.</t>
  </si>
  <si>
    <t>Street Crotona Fordham .</t>
  </si>
  <si>
    <t>https://api.typeform.com/responses/files/aa2bdc80acb4271a6c1a77cd4681ed8d89693cfa892a451ae3a101729583cf67/DD261C98_4EF9_428A_B9C4_81251F321787.png</t>
  </si>
  <si>
    <t>I am Dominican</t>
  </si>
  <si>
    <t>No religion</t>
  </si>
  <si>
    <t>Cabin Crew, Medicine and pediatric.</t>
  </si>
  <si>
    <t>Eleji una profesión no correcta, mis habilidades son muy grandes.</t>
  </si>
  <si>
    <t>Mi futuro ideal sería trabajar estudiar ser lo que quiero ser e obtener mis propósitos e metas en la vida.</t>
  </si>
  <si>
    <t>Muchaa</t>
  </si>
  <si>
    <t>Nose que es esp</t>
  </si>
  <si>
    <t>Nose exactamente</t>
  </si>
  <si>
    <t>Cabin Crew, Medicine, policía, pediatra</t>
  </si>
  <si>
    <t>Me siento muy feliz e incluso afortunada tengo mi mente en lograr mis propósitos e obtener mi carrera la cual me opondré en lograr.</t>
  </si>
  <si>
    <t>Get coaches and mentors who can help me with college and career</t>
  </si>
  <si>
    <t>Valiente, frente en alto con ganas de lograr e obtener sus objetivos e habilidades.</t>
  </si>
  <si>
    <t>En todo.</t>
  </si>
  <si>
    <t>SPEAKHIRE Summer Camp  - A  week long camp in the summer to visit colleges and/or companies in a particular city. You will also have opportunities to do a number of fun and empowering self- and team-building activities.</t>
  </si>
  <si>
    <t>Me gustaría trabajar, aprender inglés e tener muchas más oportunidades de llegar a lo que quiero ser.🧑🏽‍🎓🥺🙏</t>
  </si>
  <si>
    <t>https://api.typeform.com/responses/files/15bd0e1293c23e856e5bbba5937caf6319b8b285b24dd79314e24fd822ccecc2/37A9F79B_C243_448E_B70C_D28BFF2FFB5D.png</t>
  </si>
  <si>
    <t>xbmtimjezcwm8sdu5nuiqliqxbmtimjb</t>
  </si>
  <si>
    <t>Ouedraogo</t>
  </si>
  <si>
    <t>https://api.typeform.com/responses/files/0449376e7300282d14fb929b043aef2131d87d7e56383cf94ea33e829cc5c784/SAMPLE_INTERN_HEADSHOT.jpg</t>
  </si>
  <si>
    <t>mouedraogo2006@gmail.com</t>
  </si>
  <si>
    <t>+16464270086</t>
  </si>
  <si>
    <t>124 Hello Street</t>
  </si>
  <si>
    <t>Instagram TikTok</t>
  </si>
  <si>
    <t>Sompasate Hortense</t>
  </si>
  <si>
    <t>info@speakhire.org</t>
  </si>
  <si>
    <t>242 Hello Street</t>
  </si>
  <si>
    <t>+17182222222</t>
  </si>
  <si>
    <t>Crotona International High School</t>
  </si>
  <si>
    <t>2474 Crotona Ave, The Bronx, NY 10458</t>
  </si>
  <si>
    <t>https://api.typeform.com/responses/files/9f08bafd75c8b0b7dc1b233d77831240932807efe466cf6f803ab0cc61a2d33c/Parent.Guardian_Consent_Form.pdf</t>
  </si>
  <si>
    <t>Burkina Faso</t>
  </si>
  <si>
    <t>No, I'm okay</t>
  </si>
  <si>
    <t>French, English</t>
  </si>
  <si>
    <t>Director - CEO</t>
  </si>
  <si>
    <t>CEO</t>
  </si>
  <si>
    <t>95</t>
  </si>
  <si>
    <t>Ask Wendy later</t>
  </si>
  <si>
    <t>Fashion Designer, Engineering, Business leader, Movie Director/Films</t>
  </si>
  <si>
    <t>My goal is to obtain enough experience in ninth grade to prove I am a leader and show that girls are not weak</t>
  </si>
  <si>
    <t>Get an internship, Get coaches and mentors who can help me with college and career, Gain skills I can use at a future job, Learn about careers, Learn about colleges, Make new friends</t>
  </si>
  <si>
    <t>Independent, cautious, silly</t>
  </si>
  <si>
    <t>Helpful, responsible, goal oriented</t>
  </si>
  <si>
    <t>SPEAKHIRE Soiree - A formal evening where we get dressed in our finest and host a number of speakers, show off our networking skills, and congratulate SPEAKHIRE award recipients., SPEAKHIRE Summit - Event where interns can present their work, establishing themselves as presenters and public speakers, and network with interns from other schools, champions, college admissions officers, and other amazing adults to add to your network</t>
  </si>
  <si>
    <t>My handwriting is bad, and I struggle with expressing myself in English or speaking clearly</t>
  </si>
  <si>
    <t>https://api.typeform.com/responses/files/aa77e0ab109a96bd12d3e1fb0bb344c571af7daa1dac2d97c2f4c11ce9d3775f/Parent.Guardian_Consent_Form__1_.pdf</t>
  </si>
  <si>
    <t>g3f5izvdzpvxyciylcpg3f5izv0fpv97</t>
  </si>
  <si>
    <t>Albert D Leon</t>
  </si>
  <si>
    <t>D Leon Johnson</t>
  </si>
  <si>
    <t>https://api.typeform.com/responses/files/070e0895accdfed9eb134549694aae2a0809bc0b59667a389d36e89a49bb5213/136112770_252269789578366_1021331761401551895_n.jpg</t>
  </si>
  <si>
    <t>deleonalbert468@gmail.com</t>
  </si>
  <si>
    <t>+19294169187</t>
  </si>
  <si>
    <t>Bronx NY</t>
  </si>
  <si>
    <t>Instagram,Facebook.Youtube</t>
  </si>
  <si>
    <t>Winston Tejeda</t>
  </si>
  <si>
    <t>Bronx NY Walton 183</t>
  </si>
  <si>
    <t>+19292857623</t>
  </si>
  <si>
    <t>Crotona HIGH SCHOOL</t>
  </si>
  <si>
    <t>2474 Crotona VE, The bronx,NY 10458</t>
  </si>
  <si>
    <t>https://api.typeform.com/responses/files/ef4dd72dadc7cbe8ffe7dbb9916da718d983ae51ac1d405ea901b14df241be97/Screen_Shot_2021_01_05_at_12.57.30_PM.png</t>
  </si>
  <si>
    <t>Republica Dominicana</t>
  </si>
  <si>
    <t>Dominican Republic we are a country very believers in God</t>
  </si>
  <si>
    <t>Spanish and English</t>
  </si>
  <si>
    <t>I am a believer in God but I am not a Christian or of any religion.</t>
  </si>
  <si>
    <t>Apart from art, I don't know what to study art, it just catches my attention</t>
  </si>
  <si>
    <t>If when I grow up I want to have a professional job</t>
  </si>
  <si>
    <t>Right now my teachers</t>
  </si>
  <si>
    <t>1 person</t>
  </si>
  <si>
    <t>g in all classes</t>
  </si>
  <si>
    <t>I am in college</t>
  </si>
  <si>
    <t>Art, education, accountant, automotive engineer</t>
  </si>
  <si>
    <t>My goal is to go far in the profession I choose</t>
  </si>
  <si>
    <t>Get an internship, Get coaches and mentors who can help me with college and career, Gain skills I can use at a future job</t>
  </si>
  <si>
    <t>Proud friendly, and I try to get everything I want in life</t>
  </si>
  <si>
    <t>Respect, Art, Educasion</t>
  </si>
  <si>
    <t>SPEAKHIRE Summit - Event where interns can present their work, establishing themselves as presenters and public speakers, and network with interns from other schools, champions, college admissions officers, and other amazing adults to add to your network, Exploratory Years - Only for graduates of the SPEAKHIRE Foundational Year, the Exploratory Years help SPEAKHIRE Alumni stay connected to a network of mentors</t>
  </si>
  <si>
    <t>I like to treat people with respect and always keep my mind up</t>
  </si>
  <si>
    <t>https://api.typeform.com/responses/files/bceafb525ffbad2e7e9301279fa778e2be8b55c8d374b2d75e310999247412ce/136112770_252269789578366_1021331761401551895_n.jpg</t>
  </si>
  <si>
    <t>tfpuolpey09qf1ssoso1nqe7tfpuolpe</t>
  </si>
  <si>
    <t>Herimar</t>
  </si>
  <si>
    <t>Bonifacio</t>
  </si>
  <si>
    <t>https://api.typeform.com/responses/files/25426a67351c64c2b3748524d5b85605060ea90352e3d90fb6a744b26dac67ac/Screen_Shot_2020_11_17_at_11.26.01_AM.png</t>
  </si>
  <si>
    <t>hbonifacio@crotonaihs.org</t>
  </si>
  <si>
    <t>+19082205919</t>
  </si>
  <si>
    <t>1551 Sheridan av</t>
  </si>
  <si>
    <t>instagram</t>
  </si>
  <si>
    <t>Marthina Galvez</t>
  </si>
  <si>
    <t>Marthinagalvez13@gmail.com</t>
  </si>
  <si>
    <t>1551Sheridan av</t>
  </si>
  <si>
    <t>+19172884793</t>
  </si>
  <si>
    <t>crotona international high school</t>
  </si>
  <si>
    <t>https://api.typeform.com/responses/files/9e0e8b6318516c0df3a628c8230f304d2cf1674f2c3c8c5fe6af77d3a9997675/Screen_Shot_2020_11_10_at_12.02.11_PM.png</t>
  </si>
  <si>
    <t>education</t>
  </si>
  <si>
    <t>Connected, Supported</t>
  </si>
  <si>
    <t>My job was a salon. I got the job by asking.</t>
  </si>
  <si>
    <t>3.80</t>
  </si>
  <si>
    <t>I don't now</t>
  </si>
  <si>
    <t>My goal is to fine my career</t>
  </si>
  <si>
    <t>Gain skills I can use at a future job, Learn about careers, Get an internship</t>
  </si>
  <si>
    <t>independent, Smart</t>
  </si>
  <si>
    <t>I now how to explain and teach others.</t>
  </si>
  <si>
    <t>I would like to learn English</t>
  </si>
  <si>
    <t>https://api.typeform.com/responses/files/90ddd9dd88a835cf5e214b7da7224ffc32183e88a7483fc5b7db746071dafb05/Screen_Shot_2020_11_10_at_12.02.11_PM.png</t>
  </si>
  <si>
    <t>qx3jvds59ail44t1njqx3jv5oqskzps6</t>
  </si>
  <si>
    <t>Licsy</t>
  </si>
  <si>
    <t>Mena</t>
  </si>
  <si>
    <t>https://api.typeform.com/responses/files/2dbbb96c70a10d0a5b08ea3ecc4b5b27fa3a4b5913bc1c74e7b4684c3d0c8d96/SAMPLE_INTERN_HEADSHOT.jpg</t>
  </si>
  <si>
    <t>reyesdina393@gmail.com</t>
  </si>
  <si>
    <t>P.O Box 45 Bronx, NY 10468</t>
  </si>
  <si>
    <t>Facebook</t>
  </si>
  <si>
    <t>Sixta Reyes</t>
  </si>
  <si>
    <t>P.O 45, Bronx, NY 10468</t>
  </si>
  <si>
    <t>+19293838352</t>
  </si>
  <si>
    <t>https://api.typeform.com/responses/files/b061f9f27892368ff0c6770ae7002b0baf0bb9c5f158b91deaaa49a7954a0277/SAMPLE_INTERN_HEADSHOT.jpg</t>
  </si>
  <si>
    <t>Honduras</t>
  </si>
  <si>
    <t>Hispana</t>
  </si>
  <si>
    <t>Immigration Lawyer</t>
  </si>
  <si>
    <t>70</t>
  </si>
  <si>
    <t>Don't know</t>
  </si>
  <si>
    <t>Law enforcement, Doctor/nurse, Educator</t>
  </si>
  <si>
    <t>By June, I will be able to have more conversations in English.</t>
  </si>
  <si>
    <t>Fun, Courageous, Dedicated, humble, understanding</t>
  </si>
  <si>
    <t>empathetic, organized, patient</t>
  </si>
  <si>
    <t>SPEAKHIRE Summit - Event where interns can present their work, establishing themselves as presenters and public speakers, and network with interns from other schools, champions, college admissions officers, and other amazing adults to add to your network, SPEAKHIRE Summer Camp  - A  week long camp in the summer to visit colleges and/or companies in a particular city. You will also have opportunities to do a number of fun and empowering self- and team-building activities., SPEAKHIRE Soiree - A formal evening where we get dressed in our finest and host a number of speakers, show off our networking skills, and congratulate SPEAKHIRE award recipients., Exploratory Years - Only for graduates of the SPEAKHIRE Foundational Year, the Exploratory Years help SPEAKHIRE Alumni stay connected to a network of mentors</t>
  </si>
  <si>
    <t>https://api.typeform.com/responses/files/06fd37a359d2036a6685c2faf23dbf8b409d8d4afdc0399a2f2e872784dc2b51/Parent.Guardian_Consent_Form__1_.pdf</t>
  </si>
  <si>
    <t>3g8t5vmc2x3nzl53g8kgs392dacmtsrp</t>
  </si>
  <si>
    <t>Mairol Rivas</t>
  </si>
  <si>
    <t>rivas rosario</t>
  </si>
  <si>
    <t>https://api.typeform.com/responses/files/7336414e00611d67707cc2048443c857f90d43c0d4abdd5dc36472a57f235d69/IMG_5624.jpg</t>
  </si>
  <si>
    <t>mairolrivass2017@gmail.com</t>
  </si>
  <si>
    <t>+16467520216</t>
  </si>
  <si>
    <t>2432 Webb Ave Bronx</t>
  </si>
  <si>
    <t>instagram, snapchat</t>
  </si>
  <si>
    <t>candy Julissa rosario</t>
  </si>
  <si>
    <t>Crotona international high school</t>
  </si>
  <si>
    <t>2474 Crotona ave. Bronx, NY, 10458</t>
  </si>
  <si>
    <t>https://api.typeform.com/responses/files/7602dc0b7118fec82dbc4b03907ae99cf8640b5c740053992f4b004386de703f/IMG_5624.jpg</t>
  </si>
  <si>
    <t>is good</t>
  </si>
  <si>
    <t>spanish</t>
  </si>
  <si>
    <t>deseo aprender a como invertir mi dinero en algo muy importante para que me deje mas</t>
  </si>
  <si>
    <t>90-100</t>
  </si>
  <si>
    <t>barber</t>
  </si>
  <si>
    <t>three friends</t>
  </si>
  <si>
    <t>profesor, doctor, actor</t>
  </si>
  <si>
    <t>quiero saber como invertir mi dinero en algo que me deje mas</t>
  </si>
  <si>
    <t>Gain skills I can use at a future job</t>
  </si>
  <si>
    <t>i am good ,friendly and humble. I like to help others</t>
  </si>
  <si>
    <t>i am good saving and using money wisely, I am good at doing what is best for me and what is important in life frugal and confident</t>
  </si>
  <si>
    <t>SPEAKHIRE Summit - Event where interns can present their work, establishing themselves as presenters and public speakers, and network with interns from other schools, champions, college admissions officers, and other amazing adults to add to your network</t>
  </si>
  <si>
    <t>i am recently arrived immigrant and my experience as of now as been good. this new experience has changed my life because of lenguaje and culture</t>
  </si>
  <si>
    <t>https://api.typeform.com/responses/files/32526b5744e7c06ca83598353c0dbf27128cc97bd9607c7c89e78971919d7e0d/IMG_5624.jpg</t>
  </si>
  <si>
    <t>fqkeglvfxw6ud0wi9r3ccofqkekgl14c</t>
  </si>
  <si>
    <t>Raderly</t>
  </si>
  <si>
    <t>Morel</t>
  </si>
  <si>
    <t>https://api.typeform.com/responses/files/ab4930e700b6a3bcb33f0a9aba6ccef9bd2e8a47b2e5b92d1f259ba8a59f9b9b/2021_01_05.jpg</t>
  </si>
  <si>
    <t>rmorel@crotonaihs.org</t>
  </si>
  <si>
    <t>+19294512549</t>
  </si>
  <si>
    <t>2242 webster Av</t>
  </si>
  <si>
    <t>Morelraderly Instagram- Morel Raderly facebook</t>
  </si>
  <si>
    <t>Yokasta Morel Frias, Javy aneudi checo</t>
  </si>
  <si>
    <t>2242 webster Av 182 the Bronx NY</t>
  </si>
  <si>
    <t>+19294972957</t>
  </si>
  <si>
    <t>Crotona International High school</t>
  </si>
  <si>
    <t>2474 Crotona Av, the Bronx, NY 10458</t>
  </si>
  <si>
    <t>https://api.typeform.com/responses/files/ec4acf142ed24225f22d4518cab9e5dee94eb5e7b36948b5f291e4e7314cc958/Parent.Guardian_Consent_Form.pdf</t>
  </si>
  <si>
    <t>Social Sciences/Psychology</t>
  </si>
  <si>
    <t>Psychologist</t>
  </si>
  <si>
    <t>Actress, Psychologist</t>
  </si>
  <si>
    <t>75</t>
  </si>
  <si>
    <t>Teacher, Doctor</t>
  </si>
  <si>
    <t>By june, I will learn be able to speak more English</t>
  </si>
  <si>
    <t>nice, Crazy , Intelligent</t>
  </si>
  <si>
    <t>Patient, Empathetic, organized</t>
  </si>
  <si>
    <t>https://api.typeform.com/responses/files/41b24b3c8fe00c3b439fb6737ccbb525d8e9af008c7ea80c074c2dd2f1bfc939/Parent.Guardian_Consent_Form.pdf</t>
  </si>
  <si>
    <t>5w9r2oyjd79rnu5w9gjjehrvz1h5a8dk</t>
  </si>
  <si>
    <t>Julieth</t>
  </si>
  <si>
    <t>Vazquez</t>
  </si>
  <si>
    <t>https://api.typeform.com/responses/files/68c88480279ac767196dc024728b493cebdd9ce13b5035d96487f2def8359bbf/Parent.Guardian_Consent_Form__1_.pdf</t>
  </si>
  <si>
    <t>jvazquez@crotonaihs.org</t>
  </si>
  <si>
    <t>+13479322600</t>
  </si>
  <si>
    <t>1625 Fulton Av. apt CC Bronx NY 10457</t>
  </si>
  <si>
    <t>Facebook and  Instagram</t>
  </si>
  <si>
    <t>Miled Rodriguez</t>
  </si>
  <si>
    <t>rodriguezmiled24@gmail.com</t>
  </si>
  <si>
    <t>1625 Fulton Av apt CC Bronx NY 10457</t>
  </si>
  <si>
    <t>+13473030073</t>
  </si>
  <si>
    <t>2474 Crotona Av, Bronx NY 10458</t>
  </si>
  <si>
    <t>https://api.typeform.com/responses/files/c71a4bb36de2859e1ad1919a4b9923705f9a7babb84f2332b0d176c2a5626619/Parent.Guardian_Consent_Form__1_.pdf</t>
  </si>
  <si>
    <t>Puerto Rico</t>
  </si>
  <si>
    <t>Nurse, Chef, Social worker or Secretary</t>
  </si>
  <si>
    <t>I don't really have an ideal professional job in mind but I think it must be something according to the different careers I said (nurse, chef, social worker or secretary)</t>
  </si>
  <si>
    <t>I really don't</t>
  </si>
  <si>
    <t>A 95%</t>
  </si>
  <si>
    <t>I do not know</t>
  </si>
  <si>
    <t>Nurse, Chef, Social worker,  Secretary and Photography</t>
  </si>
  <si>
    <t>I want to improve myself and learn how to invest money in good things or careers</t>
  </si>
  <si>
    <t>Get an internship, Learn about colleges, Learn about careers, Make new friends, Get coaches and mentors who can help me with college and career, Gain skills I can use at a future job</t>
  </si>
  <si>
    <t>I am a good friend, humble, energetic, sociable and I like to listen to people.</t>
  </si>
  <si>
    <t>sociable, patient, direct and helpful</t>
  </si>
  <si>
    <t>SPEAKHIRE Soiree - A formal evening where we get dressed in our finest and host a number of speakers, show off our networking skills, and congratulate SPEAKHIRE award recipients., SPEAKHIRE Summer Camp  - A  week long camp in the summer to visit colleges and/or companies in a particular city. You will also have opportunities to do a number of fun and empowering self- and team-building activities., SPEAKHIRE Summit - Event where interns can present their work, establishing themselves as presenters and public speakers, and network with interns from other schools, champions, college admissions officers, and other amazing adults to add to your network, Exploratory Years - Only for graduates of the SPEAKHIRE Foundational Year, the Exploratory Years help SPEAKHIRE Alumni stay connected to a network of mentors</t>
  </si>
  <si>
    <t>For me, it has been easy, except for the language, it has been a little difficult and separating myself from my culture, but I like everything else.</t>
  </si>
  <si>
    <t>https://api.typeform.com/responses/files/f2549ba6e16e46801a83d1ad168511ba702b64c973a9d3ae5e287bbdf920ff50/Parent.Guardian_Consent_Form__1_.pdf</t>
  </si>
  <si>
    <t>o9q70wls2vkfo9fmzr4qym6u845xttfm</t>
  </si>
  <si>
    <t>Raimelis</t>
  </si>
  <si>
    <t>Garcia Encarnacion.</t>
  </si>
  <si>
    <t>https://api.typeform.com/responses/files/8645527f50c972bd006cbdf71a3af3992a55bd90acd00fecfc9a6fa75e513d35/Snapchat_463340470_2.jpg</t>
  </si>
  <si>
    <t>Raimelisgarcia@crotonaihs.org</t>
  </si>
  <si>
    <t>+16469866977</t>
  </si>
  <si>
    <t>2630 Marion Avenue.</t>
  </si>
  <si>
    <t>Altagracia Encarnacion.</t>
  </si>
  <si>
    <t>altaenc@gmail.com</t>
  </si>
  <si>
    <t>+16466577248</t>
  </si>
  <si>
    <t>https://api.typeform.com/responses/files/0089b59a256d7ea2bad33c6f46959927725e70f940f707e85c0675c3a99fab18/Report_card_or_transcript.pdf</t>
  </si>
  <si>
    <t>Dominican Rebublic.</t>
  </si>
  <si>
    <t>No, I'm okay.</t>
  </si>
  <si>
    <t>Spanish and English.</t>
  </si>
  <si>
    <t>Catholic.</t>
  </si>
  <si>
    <t>Doctor- Pediatrician, Dermatologist, Psychology.</t>
  </si>
  <si>
    <t>Like I belong, Safe</t>
  </si>
  <si>
    <t>Doctor.</t>
  </si>
  <si>
    <t>Columbia, Lehman, Hunter College, City College of New York , Fordham University</t>
  </si>
  <si>
    <t>Pediatrician, Dermatology, Psychologist, Anesthesiology,</t>
  </si>
  <si>
    <t>I will improve my English by studying and practicing hard by the end of the year.</t>
  </si>
  <si>
    <t>Get coaches and mentors who can help me with college and career, Learn about colleges, Learn about careers, Gain skills I can use at a future job</t>
  </si>
  <si>
    <t>1-Responsible: Because I am always committed to whatever I have to do.
2-Kind: I'm helpful and I always try to treat people around me how they deserve, with kindness. 
3-Honest: I'm a person who always tries to tell things as they are with the truth.</t>
  </si>
  <si>
    <t>~Teamwork
~Work ethic
~Time management</t>
  </si>
  <si>
    <t>I'd like to add that I'm not really sure about what I want to do in the future, the careers I chose are just options, but I'm not sure.</t>
  </si>
  <si>
    <t>https://api.typeform.com/responses/files/9372c26355172e8714a481d571d25268247d20c63f3d331c8f3ca5c4c8994b83/Parent.Guardian_Consent_Form.pdf</t>
  </si>
  <si>
    <t>vx7q4ncar4uymdsvx7wx16mp0qt1lllx</t>
  </si>
  <si>
    <t>Tariana</t>
  </si>
  <si>
    <t>Garcia Encarnacion</t>
  </si>
  <si>
    <t>https://api.typeform.com/responses/files/42e63b13b34e9f44f5cae84a6ec4ad72771090249170afc3cfa496e04eec8feb/IMG_20210105_WA0011_2.jpg</t>
  </si>
  <si>
    <t>tgarcia@crotonaihs.org</t>
  </si>
  <si>
    <t>+16468746270</t>
  </si>
  <si>
    <t>2630, Marion Ave Bronx NY, 10458</t>
  </si>
  <si>
    <t>WhatsApp, TikTok</t>
  </si>
  <si>
    <t>Altagracia Encarnacion</t>
  </si>
  <si>
    <t>2630, Marion Ave Bronx NY 10458</t>
  </si>
  <si>
    <t>2474 Crotona Ave, the bronx, NY 10458</t>
  </si>
  <si>
    <t>https://api.typeform.com/responses/files/3eb148dedeed84248c185173b24615eefadc64398c149c84ab550e2d452543ed/Report_card_or_transcript__1_.pdf</t>
  </si>
  <si>
    <t>No, I'm Okay</t>
  </si>
  <si>
    <t>catholic</t>
  </si>
  <si>
    <t>Law, Psychologist, Health Sciences/Medicine</t>
  </si>
  <si>
    <t>80</t>
  </si>
  <si>
    <t>Bronx School of Law &amp; Finance, John Jay College of Criminal Justice,</t>
  </si>
  <si>
    <t>Lawyer, psychology, Health Sciences,Medicine, Business.</t>
  </si>
  <si>
    <t>I will improve my GPA by 10 points from 80 to 90
by improve that quality of my works and deliver them on time by at the end of school year.</t>
  </si>
  <si>
    <t>Honest, attentive and sincere</t>
  </si>
  <si>
    <t>Control emotions, persuade, and persistent</t>
  </si>
  <si>
    <t>Exploratory Years - Only for graduates of the SPEAKHIRE Foundational Year, the Exploratory Years help SPEAKHIRE Alumni stay connected to a network of mentors, SPEAKHIRE Summer Camp  - A  week long camp in the summer to visit colleges and/or companies in a particular city. You will also have opportunities to do a number of fun and empowering self- and team-building activities.</t>
  </si>
  <si>
    <t>I consider myself a person who likes equality and justice, I like to see that people are given the same amount (whether of rights or anything else). I also really like the subject of mental health. I am very curious to know how the thoughts of people who have a mental illness / disorder work.</t>
  </si>
  <si>
    <t>https://api.typeform.com/responses/files/010ebf2981f7bb9799d24d8bfad1a49a8f3437b2e839321196e534b62b70d53d/Parent.Guardian_Consent_Form.pdf</t>
  </si>
  <si>
    <t>ywqx724gk4qm9mxioinywqx725ar6evj</t>
  </si>
  <si>
    <t>Ivania</t>
  </si>
  <si>
    <t>Posada</t>
  </si>
  <si>
    <t>https://api.typeform.com/responses/files/86f71ea1d56e97a65959c4d418dd33e6ac214d5470b807e3e651c3395e8d9ea2/ivania.jpg</t>
  </si>
  <si>
    <t>Iposada@crotonaihs.org</t>
  </si>
  <si>
    <t>+13476926808</t>
  </si>
  <si>
    <t>133 elliot place, 2c</t>
  </si>
  <si>
    <t>Normal Messege</t>
  </si>
  <si>
    <t>Coreas, Blanca</t>
  </si>
  <si>
    <t>Blancacoreas@87gmail.com</t>
  </si>
  <si>
    <t>+16463777424</t>
  </si>
  <si>
    <t>2474 Crotona Ave, The bronx 10450</t>
  </si>
  <si>
    <t>https://api.typeform.com/responses/files/17251c86a51981a0117c6ab228f683451dd17dee7aa89590ed967128724cbd6b/Screenshot__4_.png</t>
  </si>
  <si>
    <t>El salvador</t>
  </si>
  <si>
    <t>Spanigh/ english</t>
  </si>
  <si>
    <t>teacher</t>
  </si>
  <si>
    <t>Teacher, art</t>
  </si>
  <si>
    <t>my future career job is  Teacher or making taxes</t>
  </si>
  <si>
    <t>i not sure</t>
  </si>
  <si>
    <t>Lehman College, Columbia University, Fordhan University, Manhattan College, Laguardia community college</t>
  </si>
  <si>
    <t>Dentists, nurse, pediatriacian, registared nurse, surgeon</t>
  </si>
  <si>
    <t>My goal specifix is to be complete my career,</t>
  </si>
  <si>
    <t>Get coaches and mentors who can help me with college and career, Learn about careers, Learn about colleges</t>
  </si>
  <si>
    <t>i like to read, help other people and work with different group.</t>
  </si>
  <si>
    <t>learnd more about the career, and work with some one that is profesional</t>
  </si>
  <si>
    <t>NO</t>
  </si>
  <si>
    <t>https://api.typeform.com/responses/files/c3ef6b351da98d77165ea332f6283e4de6ac32f65673b70dda1f03708b537736/Screenshot__5_.png</t>
  </si>
  <si>
    <t>9k7dlsoax48wetok9k7dlsn7qa2uphc1</t>
  </si>
  <si>
    <t>Estuardo</t>
  </si>
  <si>
    <t>lopez</t>
  </si>
  <si>
    <t>https://api.typeform.com/responses/files/1f3d1b262456feba764bb8488b5bdae6860fdedbe0a7c8f987c6e4358bbf1d16/IMG_0036.jpg</t>
  </si>
  <si>
    <t>estuardolopez@crotonaihs.org</t>
  </si>
  <si>
    <t>710 Tinton Ave, bronx, NY, 10455</t>
  </si>
  <si>
    <t>IG: @estuardo_lp2003</t>
  </si>
  <si>
    <t>Claudia Lopez</t>
  </si>
  <si>
    <t>claudialopez@icloud.com</t>
  </si>
  <si>
    <t>+13473202622</t>
  </si>
  <si>
    <t>Crotona Highschool</t>
  </si>
  <si>
    <t>https://api.typeform.com/responses/files/73bf80b3720b0fde3e92dea2b07d49377ca06bf047a0598bcb122e046ad19ef4/Photos_Library.photoslibrary.zip</t>
  </si>
  <si>
    <t>Guatemala</t>
  </si>
  <si>
    <t>Music DJ</t>
  </si>
  <si>
    <t>I want to become a DJ in the future and work as one.</t>
  </si>
  <si>
    <t>Im not sure.</t>
  </si>
  <si>
    <t>None.</t>
  </si>
  <si>
    <t>I dont know</t>
  </si>
  <si>
    <t>I dont know any.</t>
  </si>
  <si>
    <t>I dont know.</t>
  </si>
  <si>
    <t>I WANT TO LEARN TO MAKE ELECTRONIC MUSIC</t>
  </si>
  <si>
    <t>Gain skills I can use at a future job, Get coaches and mentors who can help me with college and career</t>
  </si>
  <si>
    <t>Funny, humble, kind because I feel like these words describe me better.</t>
  </si>
  <si>
    <t>What are three skills you have that will help you in your future career.This question is required. *</t>
  </si>
  <si>
    <t>NOT ALL IT'S RIGTH</t>
  </si>
  <si>
    <t>https://api.typeform.com/responses/files/8206ee082f2f3df587f22e7051566083c9253dd4e7fc7cda5b8984b09670791c/Fototeca_de_Photo_Booth.zip</t>
  </si>
  <si>
    <t>umgykq7jlthsrpvfumguh3ecu6e071ul</t>
  </si>
  <si>
    <t>Fatoumata</t>
  </si>
  <si>
    <t>https://api.typeform.com/responses/files/609f10fcbe28b6a0826e5a64642e629a6782e0f7d0ff0c8f624893a79ffaecd0/Screen_Shot_2021_01_06_at_2.17.54_PM.png</t>
  </si>
  <si>
    <t>fbinta@crotonaihs.org</t>
  </si>
  <si>
    <t>1590 East 172 Street Bronx NY 10472</t>
  </si>
  <si>
    <t>Facebook, TikTok, snapchat</t>
  </si>
  <si>
    <t>Oumou Diallo</t>
  </si>
  <si>
    <t>oumoudiamidiallo@gmail.com</t>
  </si>
  <si>
    <t>+16465207335</t>
  </si>
  <si>
    <t>https://api.typeform.com/responses/files/8dca5abf2639f2d0e5ecfa1536bca9fae7cfd10a16d12b3d8e7974d17934c7a2/Binta_Diallo_Transcript__1_.pdf</t>
  </si>
  <si>
    <t>I was born in America and both of my parents/guardians were born in a different country</t>
  </si>
  <si>
    <t>10 years</t>
  </si>
  <si>
    <t>Black or African American, nationality American</t>
  </si>
  <si>
    <t>French, fulany,</t>
  </si>
  <si>
    <t>Is to be or work about Medicine</t>
  </si>
  <si>
    <t>91.59%.</t>
  </si>
  <si>
    <t>University at Buffalo--SUNY</t>
  </si>
  <si>
    <t>Technology and Communications, Education and Training, nursing, Business and Financial Operations Occupations,</t>
  </si>
  <si>
    <t>My goal is to obtain enough experience, and to be a leader in the future.</t>
  </si>
  <si>
    <t>Organized, Helpful, courageous</t>
  </si>
  <si>
    <t>motivation , resilience, problem solving</t>
  </si>
  <si>
    <t>SPEAKHIRE Summit - Event where interns can present their work, establishing themselves as presenters and public speakers, and network with interns from other schools, champions, college admissions officers, and other amazing adults to add to your network, SPEAKHIRE Soiree - A formal evening where we get dressed in our finest and host a number of speakers, show off our networking skills, and congratulate SPEAKHIRE award recipients., Exploratory Years - Only for graduates of the SPEAKHIRE Foundational Year, the Exploratory Years help SPEAKHIRE Alumni stay connected to a network of mentors</t>
  </si>
  <si>
    <t>I would like you to know that i am not very good in english.</t>
  </si>
  <si>
    <t>https://api.typeform.com/responses/files/44227130ec96c56bc028a14e94947763aab4255f0a381b224e14f6e9623b82a2/Parent.Guardian_Consent_Form__2_.pdf</t>
  </si>
  <si>
    <t>3m1mgch82h2ttu03m1m5iu0xego8rqip</t>
  </si>
  <si>
    <t>Oskarina</t>
  </si>
  <si>
    <t>Cepeda</t>
  </si>
  <si>
    <t>https://api.typeform.com/responses/files/8b65217b688b8b60149522f333ddd6d76a84a9c00440437b41fb83774cd3d161/Photo_on_1_5_21_at_11.34_AM.jpg</t>
  </si>
  <si>
    <t>cepedaoskarina539@gmail.com</t>
  </si>
  <si>
    <t>1046 Teller Ave The Bronx, NY 10456</t>
  </si>
  <si>
    <t>I had a Facebook account but I don't use it "Oskarina Cepeda" in  LinkedIn</t>
  </si>
  <si>
    <t>Oscar Cepeda</t>
  </si>
  <si>
    <t>Oscarcepeda80198019@icloud.com</t>
  </si>
  <si>
    <t>1046 Teller AveThe Bronx, NY 10456</t>
  </si>
  <si>
    <t>+19293628146</t>
  </si>
  <si>
    <t>https://api.typeform.com/responses/files/03cd734053adaccf6cbba6d962211162700266d90d369c5eae4f9a699d63012a/Oskarina_C..pdf</t>
  </si>
  <si>
    <t>República Dominicana</t>
  </si>
  <si>
    <t>On, I'm OK</t>
  </si>
  <si>
    <t>Catholic</t>
  </si>
  <si>
    <t>muscle therapy</t>
  </si>
  <si>
    <t>Muscle Therapy</t>
  </si>
  <si>
    <t>muscle therapy or start a business</t>
  </si>
  <si>
    <t>I'm not sure</t>
  </si>
  <si>
    <t>I don't know how many people there are.</t>
  </si>
  <si>
    <t>I don’t  know</t>
  </si>
  <si>
    <t>Lehman College School of Continuing and Professional Studies,Columbia University,Montclair State University,Fordham University,Queens College, City University of New York,Brooklyn College,Hunter College,</t>
  </si>
  <si>
    <t>Business,Ranch Manager,Home health aides and registered nurses.</t>
  </si>
  <si>
    <t>Because it is  what I like that more and also because of what I do at home to people of my family.</t>
  </si>
  <si>
    <t>Get an internship, Get coaches and mentors who can help me with college and career, Gain skills I can use at a future job, Learn about careers, Learn about colleges</t>
  </si>
  <si>
    <t>Affectionate, Amiable and Compassionate because I hear the person when they was speaking with respect.</t>
  </si>
  <si>
    <t>Creativity, Teamwork and Punctuality.</t>
  </si>
  <si>
    <t>SPEAKHIRE Summer Camp  - A  week long camp in the summer to visit colleges and/or companies in a particular city. You will also have opportunities to do a number of fun and empowering self- and team-building activities., SPEAKHIRE Summit - Event where interns can present their work, establishing themselves as presenters and public speakers, and network with interns from other schools, champions, college admissions officers, and other amazing adults to add to your network</t>
  </si>
  <si>
    <t>On, I'm Okay</t>
  </si>
  <si>
    <t>https://api.typeform.com/responses/files/d2565c6da90892793e5cc864d3d0098cccf1e5e17deb2f36329299ef690c541c/Oskarina_Cepeda_of_Parent.Guardian_Consent_Form.docx</t>
  </si>
  <si>
    <t>xgf1qulec0qxyshl58oecfdxgf1qulec</t>
  </si>
  <si>
    <t>Reyes</t>
  </si>
  <si>
    <t>https://api.typeform.com/responses/files/ad4efc0cb36a8559d67505b4164f496c73f38230745d272ff1bd6b9f32e7bc43/37B26ACE_5B4A_4C5D_8DB4_F60E9FB9347C.jpeg</t>
  </si>
  <si>
    <t>P.O. Box 45 Bronx, NY 10468</t>
  </si>
  <si>
    <t>Facebook(Licsy Reyes)</t>
  </si>
  <si>
    <t>P.O. Box 45 Bronx,NY 10468</t>
  </si>
  <si>
    <t>https://api.typeform.com/responses/files/7cec63e4a85e10bf373f575296035f7712e5ca443c8502d2f72674ee4b82d7a7/Licsy.pdf</t>
  </si>
  <si>
    <t>Es muy bonita hablan otro idioma que no es español se llama garífuna</t>
  </si>
  <si>
    <t>Español,garífuna</t>
  </si>
  <si>
    <t>Doctora de niños ,abogada de migración</t>
  </si>
  <si>
    <t>Supported, Connected, Like I belong</t>
  </si>
  <si>
    <t>Policía.abogada ,enfermera de niños</t>
  </si>
  <si>
    <t>Doctors,police,law,education,empresarios</t>
  </si>
  <si>
    <t>Amable,asiada,comprensiva,dedicada,valiente</t>
  </si>
  <si>
    <t>Get coaches and mentors who can help me with college and career, Gain skills I can use at a future job</t>
  </si>
  <si>
    <t>Valiente,dedicada,ordenada porque así soy</t>
  </si>
  <si>
    <t>Esperanzada,dedicada,inteligente</t>
  </si>
  <si>
    <t>SPEAKHIRE Summer Camp  - A  week long camp in the summer to visit colleges and/or companies in a particular city. You will also have opportunities to do a number of fun and empowering self- and team-building activities., Exploratory Years - Only for graduates of the SPEAKHIRE Foundational Year, the Exploratory Years help SPEAKHIRE Alumni stay connected to a network of mentors</t>
  </si>
  <si>
    <t>Quiero que me alluden sobre todo con mi inglés</t>
  </si>
  <si>
    <t>https://api.typeform.com/responses/files/e8d43e61da58b7fc63559e34a88190cd3e03b80e541c943766b4576047303278/Parent.Guardian_Consent_Form.pdf</t>
  </si>
  <si>
    <t>znxbtrmgkgoj1ihji1znxbtpf5yvxewd</t>
  </si>
  <si>
    <t>Abigail</t>
  </si>
  <si>
    <t>Rodriguez Bautista</t>
  </si>
  <si>
    <t>https://api.typeform.com/responses/files/27d7ba70ae37c8a1b12a66765237a799993e52434868fa9b476fb73ec277c699/20210108_204325.jpg</t>
  </si>
  <si>
    <t>Abigailrodriguez@crotonaihs.org</t>
  </si>
  <si>
    <t>+19292489415</t>
  </si>
  <si>
    <t>2399 Grand concourse</t>
  </si>
  <si>
    <t>I only use Facebook an d it's abi Rodriguez</t>
  </si>
  <si>
    <t>Anny Bautista</t>
  </si>
  <si>
    <t>abautistadecarrasco@gmail.com</t>
  </si>
  <si>
    <t>+19294223799</t>
  </si>
  <si>
    <t>Crotona international school</t>
  </si>
  <si>
    <t>2474 Crotona ave the Bronx,NY 10458</t>
  </si>
  <si>
    <t>https://api.typeform.com/responses/files/a3b3b5628f3957a582b12a0f2aabe4b4ea2a8874e60226a7117ce362b5689f89/20210108_210146.jpg</t>
  </si>
  <si>
    <t>I am Dominican nationality,it is a country with many transitions,it is entrepreneurial,charisma, humble,hard-working and we are united.From there it is that the music called merengue and bachata comes,we are very dancers.</t>
  </si>
  <si>
    <t xml:space="preserve">Engineering </t>
  </si>
  <si>
    <t>I'm  not sure what I decide to take, so I need advice because I don't want to make a mistake choosing career.</t>
  </si>
  <si>
    <t>I think I have no metors</t>
  </si>
  <si>
    <t>I know 1 personwho works as a police officer .</t>
  </si>
  <si>
    <t>Weighted GPA</t>
  </si>
  <si>
    <t>Borough of Manhattan Community  collgue. 2 Princeton university 3.Fordham University I don know more.</t>
  </si>
  <si>
    <t>Police,Doctor,Real staes,Veterinary,industrial engineering.</t>
  </si>
  <si>
    <t>A specific goal is to improve mygrades and focus on a  measurable  general career  high score reaching 900 to100 relevat by choosing a goal and learning  skills to be focused,prepare and motivated .Achivanlrby demonstrating my full potential.  Timely at the beginning  and end of the school year.</t>
  </si>
  <si>
    <t>1. I am a very dedicated person in everything  I do because I always to give my best. 
2. I am comeotirive and shy I always want to improve as a student.And I am bit shy because i dont like to Express myself  a lot
3. I am a very responsible and studious person because I always want to commit and take every opportunity  and grow as a student and for that i need to be responsible.</t>
  </si>
  <si>
    <t>I am responsible, dedicated  and competitive</t>
  </si>
  <si>
    <t>Exploratory Years - Only for graduates of the SPEAKHIRE Foundational Year, the Exploratory Years help SPEAKHIRE Alumni stay connected to a network of mentors</t>
  </si>
  <si>
    <t>I need help because  I don't  know what career to take and I want to find the right onneand make a good decision thanks you.</t>
  </si>
  <si>
    <t>https://api.typeform.com/responses/files/f14e5d9b3755e38035e5be47d227381fd6fdff9e1e6ebe75b57e00b955e5cbde/20210109_112735.jpg</t>
  </si>
  <si>
    <t>k2ex60yey3v8vipk2exnpy0q28ic8tvi</t>
  </si>
  <si>
    <t>Magby</t>
  </si>
  <si>
    <t>Orellana</t>
  </si>
  <si>
    <t>https://api.typeform.com/responses/files/de3e3d83a7737e112ebdaeb0a22238ab87c74a8d962f2db41dbd4697d11e8be3/Screen_Shot_2021_01_25_at_12.00.25_PM.png</t>
  </si>
  <si>
    <t>magby.orellana@ichsbronx.org</t>
  </si>
  <si>
    <t>+16468660212</t>
  </si>
  <si>
    <t>ASK FOR IT LATER -- Student App Completion Session</t>
  </si>
  <si>
    <t>Don't have</t>
  </si>
  <si>
    <t>Mayra Hernandez</t>
  </si>
  <si>
    <t>mayrah822@gmail.com</t>
  </si>
  <si>
    <t>Same as student's -- get later</t>
  </si>
  <si>
    <t>+13477666529</t>
  </si>
  <si>
    <t>ICHS - Bronx</t>
  </si>
  <si>
    <t>345 Brook Ave, The Bronx, NY 10454</t>
  </si>
  <si>
    <t>https://api.typeform.com/responses/files/177ad1746dcbdbbd81a460447d136ec23c996f8d5f9f0c10f6dd37c224c631b9/Screen_Shot_2021_01_25_at_12.00.25_PM.png</t>
  </si>
  <si>
    <t>Spanish and a little English</t>
  </si>
  <si>
    <t>Math teacher</t>
  </si>
  <si>
    <t>Supported, Safe</t>
  </si>
  <si>
    <t>Babysitting family</t>
  </si>
  <si>
    <t>Don't know it</t>
  </si>
  <si>
    <t>Columbia U., Adelphi U.,</t>
  </si>
  <si>
    <t>Engineering, Architecture, Criminal Justice,</t>
  </si>
  <si>
    <t>To improve my average by 5 points by June by applying skills I learn from my Champions into my schoolwork.</t>
  </si>
  <si>
    <t>Gain skills I can use at a future job, Learn about careers, Get coaches and mentors who can help me with college and career</t>
  </si>
  <si>
    <t>Friendly - because I like to be around people; Cheerful - because I like to be happy all the time; Respectful - because I believe if I respect others then they will feel good and they will respect me</t>
  </si>
  <si>
    <t>Drawing for architecture; math for engineering; presentation skills</t>
  </si>
  <si>
    <t>Twin Sister to FY 20 - 21 Intern, Zabdy Orellana;</t>
  </si>
  <si>
    <t>https://api.typeform.com/responses/files/26a08be6ae92d928d4a4488df0b0afe0aff572ee0e1ba6e4ca840aba377aeae2/Magby_Orellana_PCF___SAMPLE.pdf</t>
  </si>
  <si>
    <t>7psfbjc39a21oxv97psfbjccvdg6s65y</t>
  </si>
  <si>
    <t>Zabdy</t>
  </si>
  <si>
    <t>zabdy.orellana@ichsbronx.org</t>
  </si>
  <si>
    <t>+16464671010</t>
  </si>
  <si>
    <t>640 Wales Av Bronx NY</t>
  </si>
  <si>
    <t>ICHS</t>
  </si>
  <si>
    <t>https://api.typeform.com/responses/files/cba3080fe70de92f32ff93a1265f189716d50d52ad3916590b3a8d9c6ad27da0/hh_.jpeg</t>
  </si>
  <si>
    <t>Spanish and a little bit of English</t>
  </si>
  <si>
    <t>Nurse</t>
  </si>
  <si>
    <t>Safe, Connected, Supported</t>
  </si>
  <si>
    <t>I was working in a school supplies store</t>
  </si>
  <si>
    <t>Aviation, nurse, doctor</t>
  </si>
  <si>
    <t>I'm going to raise my average in June</t>
  </si>
  <si>
    <t>Get coaches and mentors who can help me with college and career, Gain skills I can use at a future job, Learn about careers, Learn about colleges, Get an internship</t>
  </si>
  <si>
    <t>Serious- because most of the time I am very quiet, Respectful- because my family raised me that way and Organized- because I like my environment to be in order and clean.</t>
  </si>
  <si>
    <t>Organized and Patient to nurse</t>
  </si>
  <si>
    <t>https://api.typeform.com/responses/files/05ae7113f54d206a6b4a9fcdfca319e0c3e52c4c599369b2c6ced70ef8b36475/Zabdy_Orellana_Consent_Form.pdf</t>
  </si>
  <si>
    <t>63jdyl827o4949q1w63jdy1fzwzneznq</t>
  </si>
  <si>
    <t>Leilany</t>
  </si>
  <si>
    <t>Ortiz</t>
  </si>
  <si>
    <t>Female-identifying</t>
  </si>
  <si>
    <t>leilany.ortiz@ichsbronx.org</t>
  </si>
  <si>
    <t>+13478676658</t>
  </si>
  <si>
    <t>346 east 146 Street 3rd ave</t>
  </si>
  <si>
    <t>Nancy Escoto</t>
  </si>
  <si>
    <t>346 east 146 Street 3rd ave, Bronx</t>
  </si>
  <si>
    <t>+19177956471</t>
  </si>
  <si>
    <t>International Community HS Bronx</t>
  </si>
  <si>
    <t>https://api.typeform.com/responses/files/2c059bbef523ac9e44efe61ded7e0d43792cb42d8bf2747e119914f67ef35c6d/Parent.Guardian_Consent_Form.pdf</t>
  </si>
  <si>
    <t>94.6</t>
  </si>
  <si>
    <t>Hunter College, SUNY New Paltz, and I'm not sure of more.</t>
  </si>
  <si>
    <t>Psychology, Law, Criminal Justice</t>
  </si>
  <si>
    <t>Increase my overall GPA by 5 points by the time I graduate in 2022 by participating more in my classes.</t>
  </si>
  <si>
    <t>Quiet because I don't like talking a lot; Calm because I don't like there is a lot of action -- I am calm and patient.</t>
  </si>
  <si>
    <t>Patient, Kindness, Compassion</t>
  </si>
  <si>
    <t>https://api.typeform.com/responses/files/2730986e295800da1721322737b762cf5edf327ae1379392855d40706c08dd4d/Parent.Guardian_Consent_Form.pdf</t>
  </si>
  <si>
    <t>Supported, Safe, Connected</t>
  </si>
  <si>
    <t>928ksowzfwenxg71n928ks0h6slpy6by</t>
  </si>
  <si>
    <t>H</t>
  </si>
  <si>
    <t>h</t>
  </si>
  <si>
    <t>https://api.typeform.com/responses/files/50f4663d9a3cc3dfbfbf837f75cbd3c84b45bd94d9e8b6c1000e09b0ac993606/ELHS_Circle_Logo_Updated_part2.png</t>
  </si>
  <si>
    <t>+12342462525</t>
  </si>
  <si>
    <t>hrh</t>
  </si>
  <si>
    <t>rhr</t>
  </si>
  <si>
    <t>hrhr</t>
  </si>
  <si>
    <t>gege</t>
  </si>
  <si>
    <t>+17185462952</t>
  </si>
  <si>
    <t>ggeg</t>
  </si>
  <si>
    <t>Newark, NJ</t>
  </si>
  <si>
    <t>https://api.typeform.com/responses/files/f5d05ca6659475829b69e273b51fc649958ab669bd08607a91392c8fde52893b/ELHS_Circle_Logo_Updated_part2.png</t>
  </si>
  <si>
    <t>gegeg</t>
  </si>
  <si>
    <t>Get an internship, Gain skills I can use at a future job, Learn about colleges</t>
  </si>
  <si>
    <t>ge</t>
  </si>
  <si>
    <t>https://api.typeform.com/responses/files/c244b2600b972e2435dcbcdb817ee819d861d68d287dc268a3d09491e17d8067/Frankford_HS.png</t>
  </si>
  <si>
    <t>complete the Commitment Form</t>
  </si>
  <si>
    <t>I will complete the Commitment Form</t>
  </si>
  <si>
    <t>hugheh</t>
  </si>
  <si>
    <t>Hinduism</t>
  </si>
  <si>
    <t>1s98uhuai36xxt409m1s989h0e4merwd</t>
  </si>
  <si>
    <t>independently</t>
  </si>
  <si>
    <t>Kendi</t>
  </si>
  <si>
    <t>Wang</t>
  </si>
  <si>
    <t>https://api.typeform.com/responses/files/700c9ff9d0cc07af66259808f8f491a57e27ae1e72f1c4d530e2d5357ca4f914/image.jpg</t>
  </si>
  <si>
    <t>kendi.wang22@sitechhs.com</t>
  </si>
  <si>
    <t>+12345678901</t>
  </si>
  <si>
    <t>1249</t>
  </si>
  <si>
    <t>MeizhenLi</t>
  </si>
  <si>
    <t>123@gmail.com</t>
  </si>
  <si>
    <t>Brooklyn</t>
  </si>
  <si>
    <t>+12345678910</t>
  </si>
  <si>
    <t>High school</t>
  </si>
  <si>
    <t>Staten Idland</t>
  </si>
  <si>
    <t>Brooklyn, NY</t>
  </si>
  <si>
    <t>https://api.typeform.com/responses/files/35d3281d7da475e871923d93f23d6676cdebe2211e63958774f04f0657050d4e/image.jpg</t>
  </si>
  <si>
    <t>18</t>
  </si>
  <si>
    <t>Intern</t>
  </si>
  <si>
    <t>Get an internship, Get coaches and mentors who can help me with college and career, Gain skills I can use at a future job, Learn about careers, Make new friends, Learn about colleges</t>
  </si>
  <si>
    <t>N/a</t>
  </si>
  <si>
    <t>https://api.typeform.com/responses/files/9907cd4fb8a7fcea98fdd2012e4f4abd14b11a78a977ae46cec0f509154d0c97/image.jpg</t>
  </si>
  <si>
    <t>I am self-led but cannot pay the program cost and have completed the Commitment Form</t>
  </si>
  <si>
    <t>Good</t>
  </si>
  <si>
    <t>Not religiosu</t>
  </si>
  <si>
    <t>t1uj3fvkyizu3735gnnt1ujpj851fwjg</t>
  </si>
  <si>
    <t>https://api.typeform.com/responses/files/fa6502db7df89d045a7ac23a316348dc7ae4326b1ad9cd92249733e63e9adeda/EC3BCAD4_FDD9_49B7_9251_8FB304E92B95.jpeg</t>
  </si>
  <si>
    <t>Parent</t>
  </si>
  <si>
    <t>sample@gmail.com</t>
  </si>
  <si>
    <t>Staten Island</t>
  </si>
  <si>
    <t>https://api.typeform.com/responses/files/7ce3784013d8048198f94cb11467df3209ac479f69ea8849b1e2cefa3299dd3c/18A1282B_1478_4FA9_B00B_CCA9E4217484.jpeg</t>
  </si>
  <si>
    <t>17</t>
  </si>
  <si>
    <t>Mandarin</t>
  </si>
  <si>
    <t>40-50</t>
  </si>
  <si>
    <t>Get an internship, Get coaches and mentors who can help me with college and career, Gain skills I can use at a future job, Make new friends, Learn about colleges, Learn about careers</t>
  </si>
  <si>
    <t>https://api.typeform.com/responses/files/de829adf4eaa418a7caaf5e63ea0d284efc68d87ce9c0e25d18370eca5f6e03d/F0D081B5_D8C1_4F39_B53F_A79E1CC83262.jpeg</t>
  </si>
  <si>
    <t>ajhny8goj9ox2r54hoxajhny8aoe80kc</t>
  </si>
  <si>
    <t>Hetal</t>
  </si>
  <si>
    <t>Jani</t>
  </si>
  <si>
    <t>https://api.typeform.com/responses/files/c2d70f08ece9fa8ea236531cd5af6836af387df3bbbb67b89e0720426388dbf4/Maria.jpg</t>
  </si>
  <si>
    <t>+12013671244</t>
  </si>
  <si>
    <t>Hello street, Bronx, NY 14362</t>
  </si>
  <si>
    <t>@speakhire</t>
  </si>
  <si>
    <t>Hello Jani</t>
  </si>
  <si>
    <t>info@speakmentorship.org</t>
  </si>
  <si>
    <t>141 Cherry Street, BRonx, NY</t>
  </si>
  <si>
    <t>+12014582525</t>
  </si>
  <si>
    <t>145 Cherry Street, Philadelphia, PA</t>
  </si>
  <si>
    <t>https://api.typeform.com/responses/files/2fdd56272078edc0f561aee608f3dbe787bf2d74777c15ff81e9d7f435955c5e/Maria.jpg</t>
  </si>
  <si>
    <t>Google search</t>
  </si>
  <si>
    <t>11 years ago</t>
  </si>
  <si>
    <t>Hello my name is</t>
  </si>
  <si>
    <t>Spanish, Mandarin, English</t>
  </si>
  <si>
    <t>11 - 14</t>
  </si>
  <si>
    <t>30-40</t>
  </si>
  <si>
    <t>Physician's Assistant</t>
  </si>
  <si>
    <t>3.4</t>
  </si>
  <si>
    <t>Columbia University, New York University, Stanford University</t>
  </si>
  <si>
    <t>Doctor, Engineer, Firefighter, Teacher</t>
  </si>
  <si>
    <t>I am so SMART</t>
  </si>
  <si>
    <t>Get an internship, Gain skills I can use at a future job, Learn about careers, Learn about colleges</t>
  </si>
  <si>
    <t>Smart, Funny, Kind</t>
  </si>
  <si>
    <t>Hardworking, diligent, smart</t>
  </si>
  <si>
    <t>https://api.typeform.com/responses/files/ae7c9f881ae48c8aed0af4125ccb33e055d4647c0b11c5fa58d84bc093a67b8f/Dialpad.exe</t>
  </si>
  <si>
    <t>Gender nonconforming</t>
  </si>
  <si>
    <t>Pacific Islander</t>
  </si>
  <si>
    <t>avkak5lv9c51wusggs6avkaks0xmm4ih</t>
  </si>
  <si>
    <t>Hj</t>
  </si>
  <si>
    <t>hj</t>
  </si>
  <si>
    <t>Male-identifying</t>
  </si>
  <si>
    <t>https://api.typeform.com/responses/files/514f30726b32a8034bb9fa8514b34ec11eabcf1798e3776b0d7349f45d7d0b4a/NLC_Fellows_Mentorship.png</t>
  </si>
  <si>
    <t>HetalJani@speakhire.org</t>
  </si>
  <si>
    <t>+15102256235</t>
  </si>
  <si>
    <t>hehehe</t>
  </si>
  <si>
    <t>eehehe</t>
  </si>
  <si>
    <t>+15015225632</t>
  </si>
  <si>
    <t>gegege</t>
  </si>
  <si>
    <t>gegee</t>
  </si>
  <si>
    <t>Somerville, MA</t>
  </si>
  <si>
    <t>college student</t>
  </si>
  <si>
    <t>https://api.typeform.com/responses/files/00518279cea8193d3bbf7c1c90897035d0775fa998830063ce06b6efaee1a08e/Screen_Shot_2021_01_13_at_4.42.22_PM___amelia_geary.png</t>
  </si>
  <si>
    <t>gegegege</t>
  </si>
  <si>
    <t>I am confused about my culture</t>
  </si>
  <si>
    <t>Armed Services/Law Enforcement</t>
  </si>
  <si>
    <t>8 - 10</t>
  </si>
  <si>
    <t>gg4g</t>
  </si>
  <si>
    <t>grgrgr</t>
  </si>
  <si>
    <t>Get coaches and mentors who can help me with college and career, Learn about colleges, Learn about careers</t>
  </si>
  <si>
    <t>rgrgr</t>
  </si>
  <si>
    <t>hrhrhr</t>
  </si>
  <si>
    <t>rhrhrhr</t>
  </si>
  <si>
    <t>https://api.typeform.com/responses/files/389e76c24b61a84aa2dff9c06e3fb8c2296dcd2e368b14219c23f85b32636cd9/Screen_Shot_2021_01_13_at_4.42.22_PM___amelia_geary.png</t>
  </si>
  <si>
    <t>Eastern European</t>
  </si>
  <si>
    <t>rlw2268nea5zuxgrlw2snmaq5y8bd4jy</t>
  </si>
  <si>
    <t>Prefer not to say</t>
  </si>
  <si>
    <t>https://api.typeform.com/responses/files/8704dab4b4547e33a1cbc4cd89d9e595bcd45495d2413eb6d05b76f1732720a7/Screen_Shot_2021_01_13_at_4.42.22_PM___amelia_geary.png</t>
  </si>
  <si>
    <t>+12462425252</t>
  </si>
  <si>
    <t>jhuh</t>
  </si>
  <si>
    <t>+17183098008</t>
  </si>
  <si>
    <t>Boston, MA</t>
  </si>
  <si>
    <t>Bachelors</t>
  </si>
  <si>
    <t>https://api.typeform.com/responses/files/4ec8b31fafe37315f1cf007ec268d5d26ee96524a5d09b13cb1f32291e44bae6/Screen_Shot_2021_01_13_at_4.42.22_PM___amelia_geary.png</t>
  </si>
  <si>
    <t>njnjnj</t>
  </si>
  <si>
    <t>Get an internship, Learn about colleges, Learn about careers, Gain skills I can use at a future job</t>
  </si>
  <si>
    <t>https://api.typeform.com/responses/files/47977d3a30c33662f88ed699b4dbaceb0c76180b0a63d70bdb2baa9bc4be33ed/Screen_Shot_2021_01_13_at_4.42.22_PM___amelia_geary.png</t>
  </si>
  <si>
    <t>3geg</t>
  </si>
  <si>
    <t>aa1pxfechlbvtgoexggnaa1pxfcfcyj6</t>
  </si>
  <si>
    <t>ehehs</t>
  </si>
  <si>
    <t>geeghe</t>
  </si>
  <si>
    <t>https://api.typeform.com/responses/files/f69f06cc80e0efc813698e767af1e581f2a31ea00642049ee4a62f89cb6de613/IMG_0062__1_.JPG</t>
  </si>
  <si>
    <t>+12012554327</t>
  </si>
  <si>
    <t>jigjeijgiej</t>
  </si>
  <si>
    <t>geigheihgih</t>
  </si>
  <si>
    <t>Brother</t>
  </si>
  <si>
    <t>ijigjjeigjei</t>
  </si>
  <si>
    <t>+12016426424</t>
  </si>
  <si>
    <t>Frankford HS</t>
  </si>
  <si>
    <t>259259289</t>
  </si>
  <si>
    <t>https://api.typeform.com/responses/files/0dcec1d67e536d7aa06940683d6834a78aeb3af35937c9b91353f8c4ca0ebec9/Magby_Orellana_Transcript.pdf</t>
  </si>
  <si>
    <t>Received email from SPEAKHIRE</t>
  </si>
  <si>
    <t>egegege</t>
  </si>
  <si>
    <t>rghrhr</t>
  </si>
  <si>
    <t>SPanihs, English, Mandarin</t>
  </si>
  <si>
    <t>Arts/Creative</t>
  </si>
  <si>
    <t>15</t>
  </si>
  <si>
    <t>egjiajgoija</t>
  </si>
  <si>
    <t>ghiejgiejija</t>
  </si>
  <si>
    <t>igjiegogigjie</t>
  </si>
  <si>
    <t>SMART</t>
  </si>
  <si>
    <t>Make new friends, Gain skills I can use at a future job, Get an internship</t>
  </si>
  <si>
    <t>geigeaighiah</t>
  </si>
  <si>
    <t>jigjijijgae</t>
  </si>
  <si>
    <t>giagiaigh</t>
  </si>
  <si>
    <t>https://api.typeform.com/responses/files/1694e46649639f6d6579a1c95704e5e911576248dfdda7123f8853b783dc0325/Magby_Orellana_Consent_Form.pdf</t>
  </si>
  <si>
    <t>jigjwigjw</t>
  </si>
  <si>
    <t>N/A Not religious</t>
  </si>
  <si>
    <t>2oji</t>
  </si>
  <si>
    <t>lotxc8p13iq0wxu47kglotx21aektffo</t>
  </si>
  <si>
    <t>Melany</t>
  </si>
  <si>
    <t>https://api.typeform.com/responses/files/c5bc8aa47f7876f39e6fdd5b45238d2df489458f94bb8c3e0bf7e3390956802e/20210129_153929.jpg</t>
  </si>
  <si>
    <t>messm245@gmail.com</t>
  </si>
  <si>
    <t>+13477378514</t>
  </si>
  <si>
    <t>346 East 146 Street Apt. WI, Bronx, New York 10451</t>
  </si>
  <si>
    <t>Nancy Ortiz</t>
  </si>
  <si>
    <t>melany.ortiz@ichsbronx.org</t>
  </si>
  <si>
    <t>346 East 146 Street Apt. WI, Bronx  New York 10451</t>
  </si>
  <si>
    <t>International Community High School</t>
  </si>
  <si>
    <t>345 Brook Ave, Bronx, New York</t>
  </si>
  <si>
    <t>https://api.typeform.com/responses/files/884b359bcddf90894d4c9e5b961a364fc4ca19c9a9db24a9ae4a2dd1305cfff2/Melany_Ortiz__trans.pdf</t>
  </si>
  <si>
    <t>spanish and english</t>
  </si>
  <si>
    <t>Animation, music producer, voice acting, and forensic psychology</t>
  </si>
  <si>
    <t>Im not sure but i thinking about being an animator</t>
  </si>
  <si>
    <t>School of Visual Arts, Pratt Institute, Rhole Island School of Design, Full Sail University, Marymount Manhattan College</t>
  </si>
  <si>
    <t>Animation, forensic psychology, music producer, voice acting, and hairdresser</t>
  </si>
  <si>
    <t>I will be 100 percent sure of what i want to study in college and type of job by the end of this school year by attending all meetings possible and have communication with my mentors since im going to college next year and it would be beneficial to be prepared and confident of what i want to work.</t>
  </si>
  <si>
    <t>Get coaches and mentors who can help me with college and career, Gain skills I can use at a future job, Learn about careers, Make new friends, Learn about colleges</t>
  </si>
  <si>
    <t>I would describe myself as caring, curious, and creative. I would say caring because i care about how people feel , if they need help in something, if one of my friends are not ok then i dont leave them alone till they tell me or i see if they are ok. I would say curious because im open to learn new things, how in depth its the topic and be fully informed. I would also say im a creative person because im an artist. I like to draw, create many weird scenarios, create new things, and make stories.</t>
  </si>
  <si>
    <t>Three skills i have that can help me in my future career are being bilingual, hardworker, and creative.</t>
  </si>
  <si>
    <t>I'm a shy person at first, but when I get to know people more then my shyness can decrease</t>
  </si>
  <si>
    <t>https://api.typeform.com/responses/files/f7c47ca794b31961d4c5129b771370630f2fdd271755f4419591346d911d02d6/Parent.Guardian_Consent_Form.docx</t>
  </si>
  <si>
    <t>connected</t>
  </si>
  <si>
    <t>Im not sure</t>
  </si>
  <si>
    <t>375znspmasa8yav8fd375znsyu6efboq</t>
  </si>
  <si>
    <t>higiehge</t>
  </si>
  <si>
    <t>jigjeigje</t>
  </si>
  <si>
    <t>Non-Binary</t>
  </si>
  <si>
    <t>https://api.typeform.com/responses/files/b0bae4cb618a9477b4e32753645e33dd9e394cd5a1f811fff439ac5014d1848a/Maria.jpg</t>
  </si>
  <si>
    <t>+12014525324</t>
  </si>
  <si>
    <t>gegega</t>
  </si>
  <si>
    <t>hehsh</t>
  </si>
  <si>
    <t>gegegag</t>
  </si>
  <si>
    <t>+12053950920</t>
  </si>
  <si>
    <t>egageghh</t>
  </si>
  <si>
    <t>https://api.typeform.com/responses/files/f3a28c31c7bf199bcf36630289a399d36b2c3b6b4d821f0784893e1992e0a7cc/SPEAKHIRE_Mail___Invitation__Sample_Intern_1_Sample_Intern_2_Sample_Champion_Internshi...___Wed_Feb_3__2021_11_30am___12_15pm__EST___info_speakhire.org_.pdf</t>
  </si>
  <si>
    <t>hehesw</t>
  </si>
  <si>
    <t>hehse</t>
  </si>
  <si>
    <t>hehews</t>
  </si>
  <si>
    <t>hehshh</t>
  </si>
  <si>
    <t>igiehighiah</t>
  </si>
  <si>
    <t>gegeag</t>
  </si>
  <si>
    <t>Get coaches and mentors who can help me with college and career, Learn about careers, Make new friends</t>
  </si>
  <si>
    <t>jgiejigjajg</t>
  </si>
  <si>
    <t>jgiejigjaj</t>
  </si>
  <si>
    <t>ijigjeijij</t>
  </si>
  <si>
    <t>https://api.typeform.com/responses/files/576f06b2154c016662fef9fdaa0292e24e3ea06dd3d244a3be38c6f07f40ab68/Magby_Orellana__updated_trans.pdf</t>
  </si>
  <si>
    <t>hehshs</t>
  </si>
  <si>
    <t>Australian/New Zealand</t>
  </si>
  <si>
    <t>hehswhe</t>
  </si>
  <si>
    <t>hehswhh</t>
  </si>
  <si>
    <t>2999exdwaaz6kn72252999eibr27jea6</t>
  </si>
  <si>
    <t>Javier</t>
  </si>
  <si>
    <t>Esteves</t>
  </si>
  <si>
    <t>https://api.typeform.com/responses/files/72aa422bb638b715fb63c7ffe11e360d98eaed3a4d4ab5ab655cdb1ee4307937/Screenshot__9_.png</t>
  </si>
  <si>
    <t>8718451@philasd.org</t>
  </si>
  <si>
    <t>+12155311277</t>
  </si>
  <si>
    <t>5101erdrick st philadelphia, pa 19124</t>
  </si>
  <si>
    <t>Na</t>
  </si>
  <si>
    <t>Luis Esteves</t>
  </si>
  <si>
    <t>ljesteves@yahoo.com</t>
  </si>
  <si>
    <t>1308 N. Taney St. Philadelphia PA 19121</t>
  </si>
  <si>
    <t>+12678792836</t>
  </si>
  <si>
    <t>5000 Oxford Ave, Philadelphia, PA, 19134</t>
  </si>
  <si>
    <t>https://api.typeform.com/responses/files/d6648f92abb01be60fb2a8f25ac82c4d1340f91da69eda5c89686f53ed8f5000/Screenshot__10_.png</t>
  </si>
  <si>
    <t>30 years ago</t>
  </si>
  <si>
    <t>Acting, directing, and producing.</t>
  </si>
  <si>
    <t>Acting</t>
  </si>
  <si>
    <t>Villanova, penn state, university south california</t>
  </si>
  <si>
    <t>Producing, fashion, and music.</t>
  </si>
  <si>
    <t>I want to have perfect attendance because I feel like I want people to know that I will be at work on time.</t>
  </si>
  <si>
    <t>Get an internship, Get coaches and mentors who can help me with college and career, Gain skills I can use at a future job, Learn about careers</t>
  </si>
  <si>
    <t>Hard working, attentive, and competitive.</t>
  </si>
  <si>
    <t>Hard working, critical thinker, don't give up</t>
  </si>
  <si>
    <t>https://api.typeform.com/responses/files/1efe8bf6f80e40e2be1b186c5cfd707277d3c27a7e4cb528196a17c2ad359574/Parent.Guardian_Consent_Form__2_.pdf</t>
  </si>
  <si>
    <t>3.9</t>
  </si>
  <si>
    <t>p6rzxhv4iobv2vgp6rzmsdfseh1vjk9b</t>
  </si>
  <si>
    <t>Maria</t>
  </si>
  <si>
    <t>De La Cruz</t>
  </si>
  <si>
    <t>https://api.typeform.com/responses/files/9a54017e4b44111e9c51e20e8d31d6fae97022f48dba50c89a9dcc84fb76adb5/received_2595554557191624.jpeg</t>
  </si>
  <si>
    <t>libaneza2001@gmail.com</t>
  </si>
  <si>
    <t>+13476365737</t>
  </si>
  <si>
    <t>156E 171St Apt 3L Bronx NY 10452</t>
  </si>
  <si>
    <t>I don't have social media just Whatsapp</t>
  </si>
  <si>
    <t>Jose De La Cruz</t>
  </si>
  <si>
    <t>libanezadelacruz4@gmail.com</t>
  </si>
  <si>
    <t>156E 171ST Apt 3L Bronx NY 10452</t>
  </si>
  <si>
    <t>+13476365256</t>
  </si>
  <si>
    <t>Claremont International HS</t>
  </si>
  <si>
    <t>240e 172nd St The Bronx NY 10457</t>
  </si>
  <si>
    <t>https://api.typeform.com/responses/files/b383f88012e3df1ff7404b5f821d9beeb67613996536c60000cfaae7decd06ec/Maria_De_La_Cruz_Manzueta_transcript.pdf</t>
  </si>
  <si>
    <t>I am Latina.</t>
  </si>
  <si>
    <t>City Collage</t>
  </si>
  <si>
    <t>Architecture, civil engineering, industrial engineering.</t>
  </si>
  <si>
    <t>Specific:I will improve my English speaking skills.
Measurable: I will be able to read a short story book.
Relevant: applying the pronunciation skills I have learned during the school year.
Timely: by the end of the school year.</t>
  </si>
  <si>
    <t>Empathetic because I put myself in the shoes of my colleagues to help and understand them.
Respectful because I treat others with education.
Humble because I treat everyone well with love and respect</t>
  </si>
  <si>
    <t>I am good at math and numbers.
I am good at drawing and design.
I can easily understand myself when I talk to someone.</t>
  </si>
  <si>
    <t>I am a very patient person, I love architecture and I want to work on myself to improve my skills.</t>
  </si>
  <si>
    <t>https://api.typeform.com/responses/files/c04b08da1c4839827ef33c8707327b7e78485f10ad50f157a522505c6eb118bb/Parent.Guardian_Consent_Form.pdf</t>
  </si>
  <si>
    <t>Payment of 20.00 from Jose A De La Cruz Suarez with card ending in 9376 was successful</t>
  </si>
  <si>
    <t>Catholicism</t>
  </si>
  <si>
    <t>95.84</t>
  </si>
  <si>
    <t>3pcmjgmyfpcrjedsl553pcmjg9esdpvk</t>
  </si>
  <si>
    <t>Hatouma</t>
  </si>
  <si>
    <t>Doucoure</t>
  </si>
  <si>
    <t>https://api.typeform.com/responses/files/82cb7957d12cce7f5bdfa110de56b298dbc1677010a3ee4d726f32db360c2098/WIN_20210204_12_37_31_Pro.jpg</t>
  </si>
  <si>
    <t>HATOUMA.DOUCOURE@ICHSBRONX.ORG</t>
  </si>
  <si>
    <t>+16467560405</t>
  </si>
  <si>
    <t>473 Willis Avenue   The Bronx, NY 10455</t>
  </si>
  <si>
    <t>hatou-doucoure (Instagram)</t>
  </si>
  <si>
    <t>Mariam Diakite</t>
  </si>
  <si>
    <t>mariamg.diakite789@gmail.com</t>
  </si>
  <si>
    <t>473 Willis Avenue   The Bronx NY 10455</t>
  </si>
  <si>
    <t>+16467551785</t>
  </si>
  <si>
    <t>https://api.typeform.com/responses/files/99bd86d7cdd1fa5bb3592ed85b1076b8beb0cc2ea7cbef76c264f20dd00f2be6/Hatouma_Doucoure___trans.pdf</t>
  </si>
  <si>
    <t>Mali</t>
  </si>
  <si>
    <t>French, Bambara, Soninke</t>
  </si>
  <si>
    <t>I'm interested in Business but I don't know much about it.</t>
  </si>
  <si>
    <t>Business Woman, entrepreneur</t>
  </si>
  <si>
    <t>Mercy College, Fordham University, Lehman College, Baruch College, Hostos Community College, Columbia University, NYU.</t>
  </si>
  <si>
    <t>Health careers, business Careers</t>
  </si>
  <si>
    <t>I will get a good GPA By adding 2 points, from 93 to 95 by doing all my homework and participating in class by June.</t>
  </si>
  <si>
    <t>Get an internship, Learn about careers, Get coaches and mentors who can help me with college and career, Gain skills I can use at a future job</t>
  </si>
  <si>
    <t>Kind because I like supporting others, Hardworking because I put all my best in my academical success, and friendly because all my friends like me and help me improve.</t>
  </si>
  <si>
    <t>Friendly mindset, punctual, respectful</t>
  </si>
  <si>
    <t>A little shy.</t>
  </si>
  <si>
    <t>https://api.typeform.com/responses/files/b95b32b86e1c201d42b83b6bd6ba3b150f2fba54767d4a3ed641cdd0d5636105/Parent.Guardian_Consent_Form_Hatouma.docx</t>
  </si>
  <si>
    <t>93.7</t>
  </si>
  <si>
    <t>rfxwpf2eukse95ag6xfqoklrfxwpf2hs</t>
  </si>
  <si>
    <t>Trisha</t>
  </si>
  <si>
    <t>Landolt</t>
  </si>
  <si>
    <t>https://api.typeform.com/responses/files/774b878dbf9e1af1432527c0246d22e0458d83f0055f6140fb28b8c508724966/0F03BEE3_B1A7_4634_B8F7_8296EAC2F756.jpeg</t>
  </si>
  <si>
    <t>trishalandolt@claremontihs.org</t>
  </si>
  <si>
    <t>+17186752405</t>
  </si>
  <si>
    <t>214 E 163rd St, Bronx NY, 10451</t>
  </si>
  <si>
    <t>Instagram: Trisha.landolt20</t>
  </si>
  <si>
    <t>Elva Arias</t>
  </si>
  <si>
    <t>elvam.arias20@gmail.com</t>
  </si>
  <si>
    <t>+19293389183</t>
  </si>
  <si>
    <t>Claremont International High School</t>
  </si>
  <si>
    <t>240 East 172nd St, Bronx NY, 10457</t>
  </si>
  <si>
    <t>https://api.typeform.com/responses/files/e47211e9f4303f12f798a8735c6bdd1f63867111cb4c69c1d0b7881515dfff13/Trisha_Landolt_transcript.pdf</t>
  </si>
  <si>
    <t>Me and mom: Dominican Republic. My dad: Switzerland</t>
  </si>
  <si>
    <t>Cyber security or real estate</t>
  </si>
  <si>
    <t>BCC and Mercy college</t>
  </si>
  <si>
    <t>Cyber security or real estates</t>
  </si>
  <si>
    <t>I will improve my overall average, measurable by 4 points, attainable from 85 to 95, relevant by applying the skills I need to learn for my future career, timely by the of my senior year.</t>
  </si>
  <si>
    <t>Gain skills I can use at a future job, Get coaches and mentors who can help me with college and career, Learn about careers, Make new friends, Get an internship, Learn about colleges</t>
  </si>
  <si>
    <t>Friendly because I like to know new people and their vibes, lover because I get to love anything in a short time, and overthinker because after I do something I always think if I did it right or wrong</t>
  </si>
  <si>
    <t>Communication, passion and concentration</t>
  </si>
  <si>
    <t>That’s all</t>
  </si>
  <si>
    <t>https://api.typeform.com/responses/files/fcc749c9efc4d580b6d9f59be476cf66369becb792194890cdd9d1cdb0c1707d/35A3FF3A_2BEF_4184_A21D_4019AAD1AB0B.jpeg</t>
  </si>
  <si>
    <t>Happy</t>
  </si>
  <si>
    <t>Not religious</t>
  </si>
  <si>
    <t>I don’t have it</t>
  </si>
  <si>
    <t>vfrr1d6swtdwqu5ttxvfrzojg8eh2vfr</t>
  </si>
  <si>
    <t>Dalissa</t>
  </si>
  <si>
    <t>Cabrera</t>
  </si>
  <si>
    <t>https://api.typeform.com/responses/files/5f1e78d62e2789a2dd5c5216e5a14f1ea4d42b6a57d7a50525c65c8352816604/332FEA55_66DF_4651_A47C_7081FFD5DD42.jpeg</t>
  </si>
  <si>
    <t>dalissacabrera@claremontihs.org</t>
  </si>
  <si>
    <t>+19294665142</t>
  </si>
  <si>
    <t>New York, Bronx 1895 grand concourse apartment 24 (10453)</t>
  </si>
  <si>
    <t>Facebook : Dalissa Cabrera. Instagram: Dmgca</t>
  </si>
  <si>
    <t>Miguel Cabrera</t>
  </si>
  <si>
    <t>Dalissacabrera05@Gmail.com</t>
  </si>
  <si>
    <t>New York Bronx, 1895 grand concourse apartment 24 (10453)</t>
  </si>
  <si>
    <t>+17189010738</t>
  </si>
  <si>
    <t>Claremont international High school</t>
  </si>
  <si>
    <t>240 E 172nd St Bronx, NY 10457</t>
  </si>
  <si>
    <t>https://api.typeform.com/responses/files/4ea5a991508f2e5350720e955328869c8c779def4ae513e747b8a717bca2fb45/Dalissa_Cabrera_transcript.pdf</t>
  </si>
  <si>
    <t>Republican Dominican</t>
  </si>
  <si>
    <t>Español</t>
  </si>
  <si>
    <t>criminology</t>
  </si>
  <si>
    <t>FBI</t>
  </si>
  <si>
    <t>Bcc</t>
  </si>
  <si>
    <t>criminology or army</t>
  </si>
  <si>
    <t>I will improve my GPA, Measurable: by 5 points, Achievable: from 90 to 95 Relevant: applying the skills I learn in my future job by the and my last school year</t>
  </si>
  <si>
    <t>counselor because when someone needs me I try to make them feel good, friends I like to make new friends and helper because I like to help others.</t>
  </si>
  <si>
    <t>I like to learn, I like to pay attention and I have a lot of patience.</t>
  </si>
  <si>
    <t>That all</t>
  </si>
  <si>
    <t>https://api.typeform.com/responses/files/5e77c0ea0d51d9848c998a40f272fc19298e0ff8bf889a095b642b1b0788a1f0/E60AE632_815F_450C_A459_3B5AEC8D4FC2.jpeg</t>
  </si>
  <si>
    <t>I don’t have</t>
  </si>
  <si>
    <t>w6204srj3vlfnw6206fl19r9bzsjbdfy</t>
  </si>
  <si>
    <t>Nusrat</t>
  </si>
  <si>
    <t>Jahan</t>
  </si>
  <si>
    <t>https://api.typeform.com/responses/files/bc5fd1e2a67bb2f6459334262f44125ffa50289fe59b008e454454f1e2706adf/4.0_schools.jpg</t>
  </si>
  <si>
    <t>nusratjahan@claremontihs.org</t>
  </si>
  <si>
    <t>2050 Davidson Avenue. Apt. 33, Bronx, NY</t>
  </si>
  <si>
    <t>Facebook: Nusrat Jahan</t>
  </si>
  <si>
    <t>Mohammad Alamgir</t>
  </si>
  <si>
    <t>mohammadalamgir746@gmail.com</t>
  </si>
  <si>
    <t>2050 Davidson Avenue. Apt. 33, Bronx</t>
  </si>
  <si>
    <t>+19175193329</t>
  </si>
  <si>
    <t>Claremont IHS</t>
  </si>
  <si>
    <t>240 E 172nd St, The Bronx, NY 10457</t>
  </si>
  <si>
    <t>https://api.typeform.com/responses/files/e9a991b712921b91590ce2734247dbfc551a70032c5038019079c03b539a3495/4.0_schools.jpg</t>
  </si>
  <si>
    <t>Bangladesh</t>
  </si>
  <si>
    <t>My nationality is Bangladeshi and my religion is Muslim</t>
  </si>
  <si>
    <t>Bangla, English</t>
  </si>
  <si>
    <t>Engineering</t>
  </si>
  <si>
    <t>Math teacher or engineer</t>
  </si>
  <si>
    <t>Bronx Community College, Hunter College, City College</t>
  </si>
  <si>
    <t>Math teacher, Engineering, Biology (teacher, research), fashion designing</t>
  </si>
  <si>
    <t>To learn skills from my Career Pathways Champions that will make me a better college applicant by this fall, 2021.</t>
  </si>
  <si>
    <t>Get an internship, Learn about careers, Learn about colleges</t>
  </si>
  <si>
    <t>responsible - because if my teachers give me any work, I always focus and complete it on time; Hard-working - because at first I don't know how to do something but then I work hard and learn from the feedback and figure it out; friendly because I get along with a lot of people</t>
  </si>
  <si>
    <t>I know two languages, coding, poems (artistic)</t>
  </si>
  <si>
    <t>https://api.typeform.com/responses/files/2855af5c9ee4e513818b385aaf74e86915fe08de3490e95e904be4510c5c254a/4.0_schools.jpg</t>
  </si>
  <si>
    <t>Safe, supported, connected, Like I belong</t>
  </si>
  <si>
    <t>Later</t>
  </si>
  <si>
    <t>zstgfto4s5f9hemwzeyzstgftoeuvpcf</t>
  </si>
  <si>
    <t>https://api.typeform.com/responses/files/bbec5ae73b65540c49c6baf92aae0805c52e551c72f4e41ee77d40f99949cda0/image.jpg</t>
  </si>
  <si>
    <t>2050 Davidson Avenue,Apt. 33</t>
  </si>
  <si>
    <t>Facebook Nusrat Jahan</t>
  </si>
  <si>
    <t>2050 Davidson Avenue,Apt. 33, Bronx</t>
  </si>
  <si>
    <t>+19175293329</t>
  </si>
  <si>
    <t>Claremont international high school</t>
  </si>
  <si>
    <t>240 E 172 street ,Bronx, 10457</t>
  </si>
  <si>
    <t>https://api.typeform.com/responses/files/125f0fd5b714e00d2ce75327a3ea7a8faa8f8b755e4d7ff5b2a12c4f7c554df1/9F50CF0A_1276_4576_947F_2A3E50F91E08.png</t>
  </si>
  <si>
    <t>My nationality is Bangladeshi and I am Muslim</t>
  </si>
  <si>
    <t>Bangla and English</t>
  </si>
  <si>
    <t>Math teacher and engineer.</t>
  </si>
  <si>
    <t>Engineer or math teacher</t>
  </si>
  <si>
    <t>Bronx community college,Hunter universities,City college</t>
  </si>
  <si>
    <t>Math teacher,engineer, biology,fashion designer,photographer.</t>
  </si>
  <si>
    <t>I want to continue my study with science subjects like math also studying in engineering.</t>
  </si>
  <si>
    <t>Get an internship, Learn about colleges, Learn about careers</t>
  </si>
  <si>
    <t>Responsible because when my teacher give me assignment I done that on time, hard work because when I get my home work from my teacher I am done with confusion then they give me feedback then I done again and friendly because I love communicate with others and make friends</t>
  </si>
  <si>
    <t>Speak other  two languages, write poem,coding</t>
  </si>
  <si>
    <t>I get inspiration from my teachers and my cousin.</t>
  </si>
  <si>
    <t>https://api.typeform.com/responses/files/202a06a98a2c4258297c0fdf41adb026acf3d80df96f738e5333bb1915f7121b/D27ED312_79F3_4487_A6E9_1738C602307F.png</t>
  </si>
  <si>
    <t>Safe, Supported, Connected, Like I belong,</t>
  </si>
  <si>
    <t>93.17%</t>
  </si>
  <si>
    <t>8m9cxj2ro6utz56p8m9cxor115pw5aef</t>
  </si>
  <si>
    <t>Heidy</t>
  </si>
  <si>
    <t>Zapata</t>
  </si>
  <si>
    <t>https://api.typeform.com/responses/files/00cc55842cd5877cecbe2a5643ecd0d078bae5c02a4de6195fba340d744dc681/8987AF21_B68A_48FB_897A_3F37AB9101D1.jpeg</t>
  </si>
  <si>
    <t>heidyzapata@claremontihs.org</t>
  </si>
  <si>
    <t>+19178870747</t>
  </si>
  <si>
    <t>4054 Edson Ave, Bronx ny 10466</t>
  </si>
  <si>
    <t>Emiliano Zapata</t>
  </si>
  <si>
    <t>4054 Edson ave Bronx ny 10466</t>
  </si>
  <si>
    <t>+19176674060</t>
  </si>
  <si>
    <t>240 E 172nd St</t>
  </si>
  <si>
    <t>https://api.typeform.com/responses/files/f936b7532711f8bb7349f201166bf7ae55982c2d6a419812f21cb6016a4ded27/386CC739_5471_4000_AF72_B59C51770502.png</t>
  </si>
  <si>
    <t>I was born in America and both of my parents/guardians were born in America</t>
  </si>
  <si>
    <t>Medicine, tourism,business</t>
  </si>
  <si>
    <t>Cashier, doctor,</t>
  </si>
  <si>
    <t>Columbia University. Cornell University. New York University. University of Rochester. Rensselaer Polytechnic Institute. Syracuse University. Fordham University. Yeshiva University.</t>
  </si>
  <si>
    <t>Industry, administration, medicine, tourism, law</t>
  </si>
  <si>
    <t>Specific I’m going to live with my grandparents, measure until I get married , attainable from 2026, relevant by take them from dr, timely when I finished college</t>
  </si>
  <si>
    <t>Smart, friendly, faster</t>
  </si>
  <si>
    <t>Responsibility, faster, friendly</t>
  </si>
  <si>
    <t>I’m friendly and I like to work</t>
  </si>
  <si>
    <t>https://api.typeform.com/responses/files/90c5776376c717b5e873d9d4bf883a89f3c7eb0362a48c85ae9fbaa108b305fc/DBBDA406_0558_4A2C_9CD3_74963F005283.png</t>
  </si>
  <si>
    <t>95.33</t>
  </si>
  <si>
    <t>jhcu3vyddp7qdajhcu6tk6xy117i3q9q</t>
  </si>
  <si>
    <t>Yaire</t>
  </si>
  <si>
    <t>Moore</t>
  </si>
  <si>
    <t>https://api.typeform.com/responses/files/220c50988e23bf04e3498cd053585e03fc087dd7526bf8096e885b54e3c55fe8/IMG_5349.jpg</t>
  </si>
  <si>
    <t>yairelopez@claremontihs.org</t>
  </si>
  <si>
    <t>+19295269685</t>
  </si>
  <si>
    <t>175 west tremont ave, Bronx, Nueva York, 10453</t>
  </si>
  <si>
    <t>Elizabeth Lopez</t>
  </si>
  <si>
    <t>yairemoore@yahoo.com</t>
  </si>
  <si>
    <t>+19293267425</t>
  </si>
  <si>
    <t>https://api.typeform.com/responses/files/ba735486e8a61ae0d68ab5dbbf50d08ca7afb8b26464745308980bb71fe04448/Yaire_Moore_Lopez_transcript__1_.pdf</t>
  </si>
  <si>
    <t>Criminal Lawyer</t>
  </si>
  <si>
    <t>I'm very pasionate about criminal law and music.</t>
  </si>
  <si>
    <t>I certainly dont know abot any college</t>
  </si>
  <si>
    <t>Forensic phychology, detective,criminal law</t>
  </si>
  <si>
    <t>My goal is get much skill as I can, by giving all the best of me, in order to use those skill for my future career by the end of june.</t>
  </si>
  <si>
    <t>Gain skills I can use at a future job, Get coaches and mentors who can help me with college and career, Learn about careers, Learn about colleges, Make new friends, Get an internship</t>
  </si>
  <si>
    <t>Proactive, because I like participate a lot in classes, empathic, I like to help other and understand how they feel and funny, I'm a person who like to make other feel happy with my jokes.</t>
  </si>
  <si>
    <t>It is easy for me create arguments to support my thinking, I'm good persuading people, I have critical thinkings in order to look for right solutions.</t>
  </si>
  <si>
    <t>Iam a very proactive person who likes to work hard in order to achieve whatever I propose in life.</t>
  </si>
  <si>
    <t>https://api.typeform.com/responses/files/6b2796d7c16f29b6bff0b2d69768da0cfd9ce6a7d60f9daf66bcc681da05d7a8/Parent.Guardian_Consent_Form.pdf</t>
  </si>
  <si>
    <t>Safe, supported, connected, like I belong</t>
  </si>
  <si>
    <t>90.75%</t>
  </si>
  <si>
    <t>wgcwpjcu649os91c7bkvgvwgcwpjcxxr</t>
  </si>
  <si>
    <t>Hasly</t>
  </si>
  <si>
    <t>Cortes</t>
  </si>
  <si>
    <t>https://api.typeform.com/responses/files/4706ca0338af44559d3f652b243b091c442d3262ca85889d82f5f387770d4ecc/147874005_138109718148452_5469809199356471921_n.jpg</t>
  </si>
  <si>
    <t>hasly.cortes@ichsbronx.org</t>
  </si>
  <si>
    <t>+19294084701</t>
  </si>
  <si>
    <t>2449 Cambreleng Ave, Bronx, NY, 10458</t>
  </si>
  <si>
    <t>Facebook: Samantha Cruz</t>
  </si>
  <si>
    <t>Reyna Cruz</t>
  </si>
  <si>
    <t>reynacruzeche11@gmail.com</t>
  </si>
  <si>
    <t>+13476389030</t>
  </si>
  <si>
    <t>345 Brook Ave, Bronx, NY 10454</t>
  </si>
  <si>
    <t>https://api.typeform.com/responses/files/43fb0d699569f5efabe653b89698c692b26ab36525aa336dea3708a3881dd59e/white_wall_color.jpg</t>
  </si>
  <si>
    <t>I'm from la Lima, Cortez, Honduras</t>
  </si>
  <si>
    <t>Spanish, English</t>
  </si>
  <si>
    <t>Psychology</t>
  </si>
  <si>
    <t>I went to the psychologist from a very young age and they helped me overcome a problem, and then I was a babysitter with the children from the hospital, so I want to be a psychologist to help children.</t>
  </si>
  <si>
    <t>Cornell University, Adelphi University and Barnard College</t>
  </si>
  <si>
    <t>Medicine</t>
  </si>
  <si>
    <t>I will improve my school average by 10 points, going to class and doing my homework on time, at the end of this semester.</t>
  </si>
  <si>
    <t>Gain skills I can use at a future job, Get coaches and mentors who can help me with college and career, Get an internship, Make new friends</t>
  </si>
  <si>
    <t>Friendly because I like meeting new people, Considerate because I care about other people's feelings and Sensible because I am able to feel and persist</t>
  </si>
  <si>
    <t>Good listener, Communication Skills and Interest in how people think</t>
  </si>
  <si>
    <t>https://api.typeform.com/responses/files/a42024acbf98437aa2fd59614c41694a8c5040d879a634c7c6e7ce1e32b212bf/Hasly_Cortes__Parent_Guardian_Consent_Form.pdf</t>
  </si>
  <si>
    <t>Supported and Connected</t>
  </si>
  <si>
    <t>d01dusp74sd85ad01dur7tj3ns3ysykq</t>
  </si>
  <si>
    <t>Manifer</t>
  </si>
  <si>
    <t>Triunfel</t>
  </si>
  <si>
    <t>https://api.typeform.com/responses/files/41c66852450b7f1aa2e1c6c078208c5585bcfb64cb8f51b3cee2d292da5f5c67/Koala.jpg</t>
  </si>
  <si>
    <t>manifer.triunfel@ichsbronx.org</t>
  </si>
  <si>
    <t>+19178912307</t>
  </si>
  <si>
    <t>873 brook Avenue Bronx NY 10451</t>
  </si>
  <si>
    <t>www.Facebook.com/CristalCastillo</t>
  </si>
  <si>
    <t>Maura Castillo and Persio Triunfel</t>
  </si>
  <si>
    <t>maura.castillo.925602@gmail.com</t>
  </si>
  <si>
    <t>873 brook Ave Bronx NY 10451</t>
  </si>
  <si>
    <t>345 Brook Ave Bronx Ny 10454</t>
  </si>
  <si>
    <t>https://api.typeform.com/responses/files/8b483b072849c807552ddb5b1993fd9875860780b09860e370669d7c49b0d48b/Hydrangeas.jpg</t>
  </si>
  <si>
    <t>I'm Dominican</t>
  </si>
  <si>
    <t>Police Officer or detective</t>
  </si>
  <si>
    <t>Police Officer, Detective or an FBI agent</t>
  </si>
  <si>
    <t>Jhon Jay college, hostos community College</t>
  </si>
  <si>
    <t>Criminology, Detective, Law Enforcement, Matt Teacher and art.</t>
  </si>
  <si>
    <t>I will improve my overal average, Attainable 95 to 97 by the end of the next school year</t>
  </si>
  <si>
    <t>Learn about careers, Get an internship, Learn about colleges</t>
  </si>
  <si>
    <t>Honest and loving because I´m a person who loves to others a lot but also speaks the truth when it is necessary.</t>
  </si>
  <si>
    <t>Strong and fair</t>
  </si>
  <si>
    <t>I´m a police explorer</t>
  </si>
  <si>
    <t>https://api.typeform.com/responses/files/293bcda8a86b5f7c15d56d9c3d4271855d39e3087f8b8376c5f7250fe1d141f4/Penguins.jpg</t>
  </si>
  <si>
    <t>90.48</t>
  </si>
  <si>
    <t>jmr9r6niucbu7njmrl5ia48pjbf6364l</t>
  </si>
  <si>
    <t>Chamely</t>
  </si>
  <si>
    <t>Lantigua</t>
  </si>
  <si>
    <t>https://api.typeform.com/responses/files/89e9bcf2ad58306826c3f51121ed5a1104266e3f15bbb603e9353dc698c4ca2a/5fe2be83_853a_468a_a454_6021ac7ff6f8.jpg</t>
  </si>
  <si>
    <t>chamelylantigua@claremontihs.org</t>
  </si>
  <si>
    <t>+19294368727</t>
  </si>
  <si>
    <t>1246 Shakespeare ave, Bronx New York 10452</t>
  </si>
  <si>
    <t>Jacqueline Made</t>
  </si>
  <si>
    <t>bellamade@hotmail.com</t>
  </si>
  <si>
    <t>+16466204298</t>
  </si>
  <si>
    <t>CIHS-Bronx</t>
  </si>
  <si>
    <t>240 EAST 172nd STREET | Bronx, NY 10457</t>
  </si>
  <si>
    <t>https://api.typeform.com/responses/files/b0a0aae87541b9f8134d4561deff49a00f5177f9bea6b34c41fd43583dab247d/Chamely_Lantigua_transcript.pdf</t>
  </si>
  <si>
    <t>Veterinary</t>
  </si>
  <si>
    <t>Bronx Commnity college, Hostos Community college, Pace University, Adelphi University, Berkely college, Fordham University, John Jay College of Criminal Justice, Lehman College, CUNY, Hunter College, CUNY, New York Academy art</t>
  </si>
  <si>
    <t>Law, Psychology, Education, Criminal Justice, Technology.</t>
  </si>
  <si>
    <t>I will past all my PBAT's. I will get  at extending mastery. I will get extending mastery because I a mastery. I will study hard to past. I will finish by the end of the school year.</t>
  </si>
  <si>
    <t>Gain skills I can use at a future job, Get coaches and mentors who can help me with college and career, Learn about careers, Learn about colleges</t>
  </si>
  <si>
    <t>Curiosity because I like to know the why of things, Friendly because I like to know new people, Talkative because I like to talk to much.</t>
  </si>
  <si>
    <t>communication, patience, respect.</t>
  </si>
  <si>
    <t>When I don't know how to do something I push myself until I learn.</t>
  </si>
  <si>
    <t>https://api.typeform.com/responses/files/dea53b8dba2748a9e49aab6dfe8985089511ba7a1498d0f6bf8d4e5ddaaec295/Parent.Guardian_Consent_Form__1_.pdf</t>
  </si>
  <si>
    <t>Safe and Supported</t>
  </si>
  <si>
    <t>87.23</t>
  </si>
  <si>
    <t>phru9mib5148fgzphru9mi3hcsjgb9zw</t>
  </si>
  <si>
    <t>Catalina</t>
  </si>
  <si>
    <t>Nunez De Caceres</t>
  </si>
  <si>
    <t>https://api.typeform.com/responses/files/f7c6909861299b88032e58bda642ac9e9981baf8f514b36308b65fd439b1cd13/IMG_20210204_WA0022.jpg</t>
  </si>
  <si>
    <t>catalinanunez@claremontihs.org</t>
  </si>
  <si>
    <t>+19172598933</t>
  </si>
  <si>
    <t>1301 Balcom Ave, Bronx, New York, 10461</t>
  </si>
  <si>
    <t>cathy_n1</t>
  </si>
  <si>
    <t>Luisa Linares</t>
  </si>
  <si>
    <t>linaresl@live.com</t>
  </si>
  <si>
    <t>+19175049095</t>
  </si>
  <si>
    <t>https://api.typeform.com/responses/files/97f7b4484f4ca171db6299c76e98acc5c7b82df6ec42611eae7df4eec1e16244/Catalina_Nunez_transcript__1_.pdf</t>
  </si>
  <si>
    <t>Mexico/ Dominican Republic</t>
  </si>
  <si>
    <t>Crime Scene Investigator, Real State Agent, Model</t>
  </si>
  <si>
    <t>1 - 3</t>
  </si>
  <si>
    <t>John Jay College of Criminal Justice, California University of Pennsylvania, Northeastern University, Penn State University, University of Pennsylvania, University of California,</t>
  </si>
  <si>
    <t>Real State Agent,  Marketing Manager, Financial Manager, Fashion Model,</t>
  </si>
  <si>
    <t>Specific: I will improve my knowledge of the careers that I persuade  Measurable: decide which career I want, Attainable: From 5 to 1, Relevant: By learning from each career, Timely: By the start of the next school year.</t>
  </si>
  <si>
    <t>Learn about careers, Learn about colleges, Gain skills I can use at a future job, Get an internship, Get coaches and mentors who can help me with college and career</t>
  </si>
  <si>
    <t>Helpful, brave, and ambitious, I like to help people, I also been trough a lot but still fighting, and I like to get what I want.</t>
  </si>
  <si>
    <t>Organized, problem-solving, communication</t>
  </si>
  <si>
    <t>https://api.typeform.com/responses/files/eb75be805bd2333c217381e731ba8a2a5ae9b9ffca723cec10f0c9fc4e39b186/Please_DocuSign_ParentGuardian_Consent_Form.zip</t>
  </si>
  <si>
    <t>Asylum</t>
  </si>
  <si>
    <t>91.35</t>
  </si>
  <si>
    <t>707h2mnq25pn1707h2q5954yjamklfnd</t>
  </si>
  <si>
    <t>Nicole</t>
  </si>
  <si>
    <t>Molano</t>
  </si>
  <si>
    <t>https://api.typeform.com/responses/files/a399974feb9872e2daabd20815d70c6aac96bc72e93aff4aa285df2f04dd8ea4/IMG_3965.jpg</t>
  </si>
  <si>
    <t>nicolemolano@claremontihs.org</t>
  </si>
  <si>
    <t>+19293321752</t>
  </si>
  <si>
    <t>54W 174St Bronx, NY, 10453</t>
  </si>
  <si>
    <t>ig: nicolem.30</t>
  </si>
  <si>
    <t>Erick Molano</t>
  </si>
  <si>
    <t>erickmolano7@gmail.com</t>
  </si>
  <si>
    <t>54W 174st Bronx, NY, 10453</t>
  </si>
  <si>
    <t>+13473605533</t>
  </si>
  <si>
    <t>https://api.typeform.com/responses/files/ace72f608045722e75a909adae83886cf4538b78c163440eb9fc6c0e5145026a/Nicole_Molano_transcript.pdf</t>
  </si>
  <si>
    <t>English and Spanish</t>
  </si>
  <si>
    <t>Architecture and Interior design</t>
  </si>
  <si>
    <t>Architecture or Interior Design</t>
  </si>
  <si>
    <t>Stony Brook, Columbia University, Yale University, University of Miami, Stony Brook.</t>
  </si>
  <si>
    <t>Interior Design, Graphic Design, Photography, Decoration, Tourism</t>
  </si>
  <si>
    <t>Specific: I will improve my grades, Measurable: by 10 points, Attainable: from 85 to 95 Relevant by just focus on that, Timely : by the end of the school year.</t>
  </si>
  <si>
    <t>Get an internship</t>
  </si>
  <si>
    <t>Creative, Collaborator and Curious because I like to discover things and do creative things that have to do with design.</t>
  </si>
  <si>
    <t>I like to draw, I like to design and I like math</t>
  </si>
  <si>
    <t>https://api.typeform.com/responses/files/8381c932918d206541395259c8fa598b0321ad09eecf03ab13510b5ec2e2d662/IMG_3975.jpg</t>
  </si>
  <si>
    <t>safe</t>
  </si>
  <si>
    <t>Catholic Christian</t>
  </si>
  <si>
    <t>86.64</t>
  </si>
  <si>
    <t>xebtxa2x9wczf2l8vj2dxebtxa298v4w</t>
  </si>
  <si>
    <t>madusu</t>
  </si>
  <si>
    <t>jabateh</t>
  </si>
  <si>
    <t>https://api.typeform.com/responses/files/1d0b85efd54039fa8efb06491376682d6c6fac1888c2293711331a0a8ff310c3/7579FF0D_B23A_43C3_BB6A_54D0527BED1C.jpeg</t>
  </si>
  <si>
    <t>madusujabateh18@gmail.com</t>
  </si>
  <si>
    <t>+19293947998</t>
  </si>
  <si>
    <t>4275 Park Avenue Apartment 304 Bronx New York 10 457</t>
  </si>
  <si>
    <t>https://www.facebook.com/madusu.jabateh.73/</t>
  </si>
  <si>
    <t>Abdoulaye Jabateh</t>
  </si>
  <si>
    <t>Abdulaijabateh@gmail.com</t>
  </si>
  <si>
    <t>+13478493423</t>
  </si>
  <si>
    <t>https://api.typeform.com/responses/files/f6d3c5c5f98a7768d0ccc23d4a92d024fd8198798cbfeca88e67c584d45d7a66/Madusu_Jabateh_transcript.pdf</t>
  </si>
  <si>
    <t>me and my parent are from Liberia.</t>
  </si>
  <si>
    <t>not sure</t>
  </si>
  <si>
    <t>Mandingo</t>
  </si>
  <si>
    <t>L&amp;D nurses care, nursing and doctor</t>
  </si>
  <si>
    <t>nursing</t>
  </si>
  <si>
    <t>Lehman College, Metropolitan College of New York,</t>
  </si>
  <si>
    <t>nursing,L&amp;D nurses</t>
  </si>
  <si>
    <t>i will take my time to learn more about thing that I'm interested in and what I want to do for the rest of my life.</t>
  </si>
  <si>
    <t>Gain skills I can use at a future job, Get an internship, Learn about careers, Get coaches and mentors who can help me with college and career, Learn about colleges, Make new friends</t>
  </si>
  <si>
    <t>I am a dependable person who is great at time management.I am always energetic and eager to learn new skills.</t>
  </si>
  <si>
    <t>Teamwork, collaborating and confidence</t>
  </si>
  <si>
    <t>I am a visual learner so sometimes it takes for me to understand.</t>
  </si>
  <si>
    <t>https://api.typeform.com/responses/files/31b3abc28ff767bc34d73ec2d996f075639f4ecf96220698b6853418122bc50e/Parent.Guardian_Consent_Form.docx</t>
  </si>
  <si>
    <t>my country make me feel special and beautiful and my country does not compare me to other people</t>
  </si>
  <si>
    <t>B+,c+</t>
  </si>
  <si>
    <t>a5r9b5mmeccelthcmva5r9b3oorvlt3l</t>
  </si>
  <si>
    <t>Emely</t>
  </si>
  <si>
    <t>Nolasco</t>
  </si>
  <si>
    <t>https://api.typeform.com/responses/files/387118a89a6759d40f559157aaad6044adf9cb3584454250a23ceb166711f003/unnamed.jpg</t>
  </si>
  <si>
    <t>emelynolasco@claremontihs.org</t>
  </si>
  <si>
    <t>+13473763627</t>
  </si>
  <si>
    <t>1216 ogden avenue Bronx ny 10452</t>
  </si>
  <si>
    <t>Instagram-emely__nolasco</t>
  </si>
  <si>
    <t>Jesus Nolasco</t>
  </si>
  <si>
    <t>jesusmanuelnolasco069@gmail.com</t>
  </si>
  <si>
    <t>+16468528754</t>
  </si>
  <si>
    <t>Claremont International High school</t>
  </si>
  <si>
    <t>https://api.typeform.com/responses/files/22091e130ea1eeb09ebeefb39b765ae788faad2ff197e94a06d15be1b584fd4e/Emely_Nolasco_transcript__1_.pdf</t>
  </si>
  <si>
    <t>The Dominican Republic</t>
  </si>
  <si>
    <t>Physician assistant, travel nurse</t>
  </si>
  <si>
    <t>physician assistant</t>
  </si>
  <si>
    <t>NYU, pace university</t>
  </si>
  <si>
    <t>Flight attendant, human resources manager, travel nurse, cia or fbi</t>
  </si>
  <si>
    <t>Specific-I will be sure of my career, measurable- in 4 months, Attainable- from 0 to 75, relevant- by paying attention from my champions to be sure, timely- by the sessions</t>
  </si>
  <si>
    <t>Get an internship, Learn about careers, Learn about colleges, Gain skills I can use at a future job, Get coaches and mentors who can help me with college and career</t>
  </si>
  <si>
    <t>responsible- I always mys best to finish all of my work on time, friendly- I don't ,make anyone feel left out and always want to include people, taltatike- I talk a lot when I'm comfortable with someone.</t>
  </si>
  <si>
    <t>Respectful, hard-worker, empath</t>
  </si>
  <si>
    <t>https://api.typeform.com/responses/files/29137f1a743834c7be5a7e558d19ad7fc7d7354421c30f819bc2f64158ad88c4/unnamed.jpg</t>
  </si>
  <si>
    <t>Supported, like I belong</t>
  </si>
  <si>
    <t>92.34%</t>
  </si>
  <si>
    <t>yhedw83z22xp4wygr7byhedw85t1yrwe</t>
  </si>
  <si>
    <t>Adama</t>
  </si>
  <si>
    <t>https://api.typeform.com/responses/files/fb1dd99079adc5ab5d45491a1874cb4ca71a9536995db6ac6822805c93bb96e6/IMG_0142.jpg</t>
  </si>
  <si>
    <t>adama.bah@ichsbronx.org</t>
  </si>
  <si>
    <t>+13473419203</t>
  </si>
  <si>
    <t>810 East 152nd Street, Bronx New York 10455</t>
  </si>
  <si>
    <t>Facebook Adama Bah, Instagram Adama1468</t>
  </si>
  <si>
    <t>Amadou Balde</t>
  </si>
  <si>
    <t>adamahbalde@yahoo.com</t>
  </si>
  <si>
    <t>810 East 152nd Street, Bronx, NY 10455</t>
  </si>
  <si>
    <t>+13478760183</t>
  </si>
  <si>
    <t>https://api.typeform.com/responses/files/57d1e8690f8761dd05ccb735da40e784f80cd3fcc023b4858f8578a703087f1d/Adama_Bah__trans.pdf</t>
  </si>
  <si>
    <t>Guinea, Africa</t>
  </si>
  <si>
    <t>Fullani, English</t>
  </si>
  <si>
    <t>Pediatrician</t>
  </si>
  <si>
    <t>In the future I would love to be in the medical field.</t>
  </si>
  <si>
    <t>CUNY Lehman College, Mercy College, CUNY Hunter College, Harvard University</t>
  </si>
  <si>
    <t>Pediatrician, Dietician, Obstetrician, Optometrist, Journalist</t>
  </si>
  <si>
    <t>I will do well in the program, Attend every day, I will increase my grade point average to 5% for the remaining of the school year.</t>
  </si>
  <si>
    <t>Get coaches and mentors who can help me with college and career, Gain skills I can use at a future job, Learn about colleges, Learn about careers, Get an internship, Make new friends</t>
  </si>
  <si>
    <t>I'm a hard worker because I do all my best to be great at school, I'm Respectful because I respect people and I'm ambitious because I have the desire to be successful and achieve my goals in order to help others.</t>
  </si>
  <si>
    <t>Patience, Good listener, Communication, teamwork.</t>
  </si>
  <si>
    <t>Nothnig</t>
  </si>
  <si>
    <t>https://api.typeform.com/responses/files/48e2cf2f732737651c06bde15cc509f5b1255ab05efc7611636fa72f93211bf5/Parent.Guardian_Consent_Form.docx</t>
  </si>
  <si>
    <t>94.10%</t>
  </si>
  <si>
    <t>aixqedkc6akzpbljim3aixqedke62id7</t>
  </si>
  <si>
    <t>Fernanda</t>
  </si>
  <si>
    <t>Marte Vasquez</t>
  </si>
  <si>
    <t>https://api.typeform.com/responses/files/2dd7ecc2d674ba070533c8b24961bfc9571f0d4f4ced1c89056088a1e6d3a032/WhatsApp_Image_2021_02_09_at_10.47.21_AM.jpeg</t>
  </si>
  <si>
    <t>fernandamartevasquez@claremontihs.org</t>
  </si>
  <si>
    <t>+19294978226</t>
  </si>
  <si>
    <t>960 grand concourse apt 6m Bronx, NY 10451</t>
  </si>
  <si>
    <t>facebook: Fernanda Marte vasquez. Instagram:FernandaMV_25</t>
  </si>
  <si>
    <t>Juan Marte</t>
  </si>
  <si>
    <t>juanfernandomartes1962@gmail.com</t>
  </si>
  <si>
    <t>960 Grand Concourse apt 6m, Bronx, NY 10451</t>
  </si>
  <si>
    <t>+19293039555</t>
  </si>
  <si>
    <t>claremont international high school</t>
  </si>
  <si>
    <t>https://api.typeform.com/responses/files/f61db2ff232a239ab9d6be812f1b85b3c2d3d3722676a7aa7550ebb08362f108/Fernanda_Marte_transcript.pdf</t>
  </si>
  <si>
    <t>Dominican republic</t>
  </si>
  <si>
    <t>Im dominican and my religion is christianity</t>
  </si>
  <si>
    <t>tourism and hospitality Management</t>
  </si>
  <si>
    <t>airlines, resort management and restaurant management</t>
  </si>
  <si>
    <t>i dont know colleges</t>
  </si>
  <si>
    <t>tourism administration, business, stewardess</t>
  </si>
  <si>
    <t>My goal is to be able to develop better every day when speaking in English and also to be able to learn more about the career I want to study</t>
  </si>
  <si>
    <t>Get coaches and mentors who can help me with college and career, Gain skills I can use at a future job, Learn about colleges, Learn about careers</t>
  </si>
  <si>
    <t>thankful,hard working and gentle. This adjectives describe me because i am thankful in the opportunities people gives me, i try to work hard in what i have to do and gentle with the people and i like to be nice with others.</t>
  </si>
  <si>
    <t>team work, responsibility and empathy</t>
  </si>
  <si>
    <t>i like to have new friends and but im not very talkative, i like to help others and be nice</t>
  </si>
  <si>
    <t>https://api.typeform.com/responses/files/d0f72797d175b657d4b3b257aa7625bf1c953d79f556766d84974d32cf2bb195/Parent.Guardian_Consent_Form__1_.pdf</t>
  </si>
  <si>
    <t>safe and connected</t>
  </si>
  <si>
    <t>christianity and catholicism</t>
  </si>
  <si>
    <t>c7jlt4fs3hhf1lsc7jlt4uirlqhazrj6</t>
  </si>
  <si>
    <t>bessirou</t>
  </si>
  <si>
    <t>doukoure</t>
  </si>
  <si>
    <t>https://api.typeform.com/responses/files/0ee6c79e567ea7b0e6294e0da8c8c1f370aab148d8a6a32faedefb2d94d4cac7/IMG_1492__1_.jpg</t>
  </si>
  <si>
    <t>bessiroudoukoure@claremontihs.org</t>
  </si>
  <si>
    <t>+17182079233</t>
  </si>
  <si>
    <t>10452</t>
  </si>
  <si>
    <t>IG;dbachir_</t>
  </si>
  <si>
    <t>oumar Doukoure</t>
  </si>
  <si>
    <t>+16462830355</t>
  </si>
  <si>
    <t>10457</t>
  </si>
  <si>
    <t>https://api.typeform.com/responses/files/065929c9804eb2516cb353ad77c4801c339beaf70f8d2dd4168b8667056560e7/IMG_1518__1_.jpg</t>
  </si>
  <si>
    <t>mali</t>
  </si>
  <si>
    <t>black</t>
  </si>
  <si>
    <t>bambara</t>
  </si>
  <si>
    <t>FBI special agent</t>
  </si>
  <si>
    <t>fbi special agent or contraction engineer .</t>
  </si>
  <si>
    <t>New York University,Arizona State University.California State University University of Michigan- Dearborn</t>
  </si>
  <si>
    <t>i don't really know much about careers but i want have some who can help me.</t>
  </si>
  <si>
    <t>know what i want to by 2021 with sepakhire.</t>
  </si>
  <si>
    <t>Get an internship, Get coaches and mentors who can help me with college and career, Learn about careers, Learn about colleges, Gain skills I can use at a future job</t>
  </si>
  <si>
    <t>independent humble honest</t>
  </si>
  <si>
    <t>being athletic.</t>
  </si>
  <si>
    <t>i just want someone who can really explained me the careers.</t>
  </si>
  <si>
    <t>https://api.typeform.com/responses/files/b271906d9a9b08a1141a65de2f397f779839b0bc0131fc39124e0de0d83e4a3e/Screenshot_2021_02_09_at_12.21.04_PM.png</t>
  </si>
  <si>
    <t>islam</t>
  </si>
  <si>
    <t>75.72</t>
  </si>
  <si>
    <t>s22pqtwex66od1v6s22pqa9bc1sz6wfi</t>
  </si>
  <si>
    <t>Mamadu</t>
  </si>
  <si>
    <t>Drame</t>
  </si>
  <si>
    <t>https://api.typeform.com/responses/files/afaea4b53839a4309185df57d07f3dd8bd6a851b63993e7fb179294aded580fb/File_000__2_.jpeg</t>
  </si>
  <si>
    <t>muhammeddrame34@gmail.com</t>
  </si>
  <si>
    <t>+19173283376</t>
  </si>
  <si>
    <t>1323 clay ave, Bronx, NY, 10456</t>
  </si>
  <si>
    <t>Facebook, muhammed Drame, IG, drame_p6. don't use twitter</t>
  </si>
  <si>
    <t>Abdulrahman Drame</t>
  </si>
  <si>
    <t>abdulrahmanharoun@yahoo.com</t>
  </si>
  <si>
    <t>1323 clay av, bronx ny 10456</t>
  </si>
  <si>
    <t>+13476368384</t>
  </si>
  <si>
    <t>https://api.typeform.com/responses/files/eef1630a003090bffec9e94c14a0e1c2e2f5f7c8076a3c5e2a06081e500e59df/Mamadu_Drame_transcript.pdf</t>
  </si>
  <si>
    <t>guinea</t>
  </si>
  <si>
    <t>yes, i was born in Nigeria but grown up in guinea and move back to nigeria and than move to America</t>
  </si>
  <si>
    <t>Sonnike</t>
  </si>
  <si>
    <t>sport being professional soccer player</t>
  </si>
  <si>
    <t>my first ever job was summer youth, besecre is taking group of kids to the park and look after them. i apply online and they choose me.</t>
  </si>
  <si>
    <t>utica collage, cobleskill collage, wake forest, seton hall</t>
  </si>
  <si>
    <t>be s pro soccer player business</t>
  </si>
  <si>
    <t>i will improve my grade with the skills i learn for my champions.</t>
  </si>
  <si>
    <t>Get coaches and mentors who can help me with college and career, Make new friends, Gain skills I can use at a future job</t>
  </si>
  <si>
    <t>smart, hard working and pension</t>
  </si>
  <si>
    <t>hard work</t>
  </si>
  <si>
    <t>I love soccer and its important to me. Sometimes direction need to repeated for me to understand</t>
  </si>
  <si>
    <t>https://api.typeform.com/responses/files/784699069bfb4c3aa301a56a4fbbf6875f2e13c1d6214f71b9e4a171e6ca4dae/Parent.Guardian_Consent_Form__1_.docx</t>
  </si>
  <si>
    <t>safe and supported</t>
  </si>
  <si>
    <t>82.15</t>
  </si>
  <si>
    <t>vesvrub776ua8e0vesvrf25pgwon5g4h</t>
  </si>
  <si>
    <t>zakaria</t>
  </si>
  <si>
    <t>Billa</t>
  </si>
  <si>
    <t>https://api.typeform.com/responses/files/4723c1f1d83403d2a8fe31d6c7404b8f3e816046c70e761be77d5e0e063d8c61/IMG_1342.jpg</t>
  </si>
  <si>
    <t>zakaria.billa@ichsbronx.org</t>
  </si>
  <si>
    <t>+19294512280</t>
  </si>
  <si>
    <t>870 E 163 st #3 Bronx NYC 10459</t>
  </si>
  <si>
    <t>I have an Facebook and Instagram account</t>
  </si>
  <si>
    <t>Safietou Gampine</t>
  </si>
  <si>
    <t>safietoulatifu98@gmail.com</t>
  </si>
  <si>
    <t>+19176034051</t>
  </si>
  <si>
    <t>345 Brook Avenue, Bronx, NY 10454</t>
  </si>
  <si>
    <t>https://api.typeform.com/responses/files/9f3cbabc0c4a38637ae91c07642cf4bcfb5d052939d5462f9f30d39563552dc4/image.png</t>
  </si>
  <si>
    <t>French, Bissa, Moore, English</t>
  </si>
  <si>
    <t>CEO, Manager</t>
  </si>
  <si>
    <t>Ceo of car , Ceo of merchandiser</t>
  </si>
  <si>
    <t>Lehman College, Columbia University</t>
  </si>
  <si>
    <t>Actor, personal trainer , doctor</t>
  </si>
  <si>
    <t>I will improve my time management by going to bed early for the next 3 weeks so that i get up on time .</t>
  </si>
  <si>
    <t>Calm Because im patient , Religious because i try to follow all rule of my religion, Respectful because i respect everybody .</t>
  </si>
  <si>
    <t>Communication, leadership, responsibility</t>
  </si>
  <si>
    <t>No i don't have anything else</t>
  </si>
  <si>
    <t>https://api.typeform.com/responses/files/8ddf144874952270d9cc48b336b0e57dec584d3b6ec5eab8a672178d00240348/image.png</t>
  </si>
  <si>
    <t>77.84</t>
  </si>
  <si>
    <t>fzgk8m2uflvq8etyfzg07tpvekhaijw6</t>
  </si>
  <si>
    <t>Mouhamed</t>
  </si>
  <si>
    <t>Barry</t>
  </si>
  <si>
    <t>https://api.typeform.com/responses/files/398eeccd16c285055d787b5ea2d8942e058fac61cdbc3fbb084c9ea109ac55ed/3174CBC6_CE0C_40B9_BA4B_046800D5A453.jpeg</t>
  </si>
  <si>
    <t>mouhamedbarry@claremontihs.org</t>
  </si>
  <si>
    <t>+19292405627</t>
  </si>
  <si>
    <t>1511 Sheridan Ave The Bronx, NY 10457</t>
  </si>
  <si>
    <t>Mamadou Barry</t>
  </si>
  <si>
    <t>mxmxdv224@gmail.com</t>
  </si>
  <si>
    <t>+19292165097</t>
  </si>
  <si>
    <t>240 E 172nd</t>
  </si>
  <si>
    <t>https://api.typeform.com/responses/files/f4497e70e533e266d24698a1ad8a42a53c65fb6ba236d87b4b1754288b2a851f/FE02853B_886A_4FD8_BB34_704A9CB526E0.jpeg</t>
  </si>
  <si>
    <t>19 or 18 but they went back to their country.</t>
  </si>
  <si>
    <t>Fulani and a little bit of French.</t>
  </si>
  <si>
    <t>Bussiness, Medecin and pilot.</t>
  </si>
  <si>
    <t>Cashier at my uncle restaurant.</t>
  </si>
  <si>
    <t>New York University, Columbia University, Fordham University, Cornell University, Binghamton University, University of Rochester, Syracuse University, Baruch College, Barnard College,  Yeshiva University, Rensselaer Polytechnic Institute</t>
  </si>
  <si>
    <t>Business, nursing, pilot, acting and computer science.</t>
  </si>
  <si>
    <t>I will graduate high school, try to get a gpa 4, in 11th and 12th grade, by going to school and do all my homework, by the end of 2022.</t>
  </si>
  <si>
    <t>Honest, humble, caring.</t>
  </si>
  <si>
    <t>Communication, marketing, customer service.</t>
  </si>
  <si>
    <t>I am independent, I want to be a valedictorian next year and I am a person that like to help other.</t>
  </si>
  <si>
    <t>https://api.typeform.com/responses/files/5bd35bf8b883fad5052b11f535e1c9e946a8a944f273b111ba7bbddc8bf7ac12/Parent_Guardian_Consent_.pdf</t>
  </si>
  <si>
    <t>Supported and Connected.</t>
  </si>
  <si>
    <t>86.34%</t>
  </si>
  <si>
    <t>80nxkp7bh0zfp6vadq1q80nxkptj4ryh</t>
  </si>
  <si>
    <t>Claribelisa</t>
  </si>
  <si>
    <t>gonzalez</t>
  </si>
  <si>
    <t>https://api.typeform.com/responses/files/e7fcce5ceeb424924318cd784a5202fe13bfafde4913c56d03eb22caa3324658/IMG_9707.jpg</t>
  </si>
  <si>
    <t>claribelisa.gonzalez@ichsbronx.org</t>
  </si>
  <si>
    <t>+13479579118</t>
  </si>
  <si>
    <t>529 east 138str bronx,10454 NY</t>
  </si>
  <si>
    <t>Facebook-Elixa Gonxalex</t>
  </si>
  <si>
    <t>Blandina gonzalez</t>
  </si>
  <si>
    <t>blandinag45@gmail.com</t>
  </si>
  <si>
    <t>529east 138str bronx,10454</t>
  </si>
  <si>
    <t>+19172158837</t>
  </si>
  <si>
    <t>International community High school</t>
  </si>
  <si>
    <t>345 brook ave,bronx,Ny 10454</t>
  </si>
  <si>
    <t>https://api.typeform.com/responses/files/ee2d86ce38ded7fa59107d98c92c7d3a4f738efb7f1b3f89b42176cf2288c513/IMG_9710.jpg</t>
  </si>
  <si>
    <t>2004</t>
  </si>
  <si>
    <t>I think I am more indian.</t>
  </si>
  <si>
    <t>spanish and mixteco.</t>
  </si>
  <si>
    <t>Art creative</t>
  </si>
  <si>
    <t>New Haven</t>
  </si>
  <si>
    <t>my GPA is good for now I just need to complete some assignments in class and that's it</t>
  </si>
  <si>
    <t>professional, respectful,</t>
  </si>
  <si>
    <t>learning about careers</t>
  </si>
  <si>
    <t>for now no</t>
  </si>
  <si>
    <t>https://api.typeform.com/responses/files/5e2d89391495716996be58afee0c414e88b9716a62ae201773a67adaa46bb6a0/Parent.Guardian_Consent_Form.pdf</t>
  </si>
  <si>
    <t>rkfg0eam2l1igesc2ko9n8rkfg0eabzb</t>
  </si>
  <si>
    <t>Omar</t>
  </si>
  <si>
    <t>Camara</t>
  </si>
  <si>
    <t>https://api.typeform.com/responses/files/024f69e36e94972471bcdf8f8b6bbf14e57e629719b308e7d4e2f978cf374066/unnamed.jpg</t>
  </si>
  <si>
    <t>omarcamara@claremontihs.org</t>
  </si>
  <si>
    <t>+19293044200</t>
  </si>
  <si>
    <t>2000 anthony ave NYC 10457</t>
  </si>
  <si>
    <t>Osuman Camara</t>
  </si>
  <si>
    <t>osuman.camara@yahoo.com</t>
  </si>
  <si>
    <t>+19174154372</t>
  </si>
  <si>
    <t>International Community</t>
  </si>
  <si>
    <t>E 172nd St</t>
  </si>
  <si>
    <t>https://api.typeform.com/responses/files/76315fb129f72862e52567c87d5adcd1199a519267aea7c0484d113276aaaffb/Screenshot_2021_02_09_at_10.16.20_PM.png</t>
  </si>
  <si>
    <t>Gambia</t>
  </si>
  <si>
    <t>My Country is the sixth smallest country in Africa with 10,380 km2 and it's also surrounded by a country named Senegal.</t>
  </si>
  <si>
    <t>Soninke</t>
  </si>
  <si>
    <t>Business.</t>
  </si>
  <si>
    <t>I worked at a Kennedy Fried Chicken owned by my grandfather (my grandmother of my dad's cousin)</t>
  </si>
  <si>
    <t>Manhattanville, University of Pennsylvania</t>
  </si>
  <si>
    <t>Art, Sports, Health science, Psychology and Business.</t>
  </si>
  <si>
    <t>I want to increase my overall GPA by 6 points by the year I graduate in 2022 by participating more in my classes.</t>
  </si>
  <si>
    <t>Get coaches and mentors who can help me with college and career, Gain skills I can use at a future job, Get an internship, Learn about colleges, Learn about careers, Make new friends</t>
  </si>
  <si>
    <t>Calm b/c I don't like too much actions , Shy b/c it's hard for me to talk to new people and b/c I love helping others.</t>
  </si>
  <si>
    <t>Pacient, I get a long with people easy and kindness.</t>
  </si>
  <si>
    <t>I have a bad memory and am also pacient.</t>
  </si>
  <si>
    <t>https://api.typeform.com/responses/files/3cce5b9bc8c7245249b0560c9ad9c0ce332f5c9b87ad9b9f2b61755ae96b715a/Screenshot_2021_02_10_at_8.52.38_PM.png</t>
  </si>
  <si>
    <t>Supported and kind</t>
  </si>
  <si>
    <t>93.17</t>
  </si>
  <si>
    <t>fmv3x5igg9rwccafwnkr5vfmv3x5ifv8</t>
  </si>
  <si>
    <t>hhsheh</t>
  </si>
  <si>
    <t>heheh</t>
  </si>
  <si>
    <t>https://api.typeform.com/responses/files/b4f5914fcd41ad3539d918b9e6a5945be4af06958f56868fcedb675d7ae92c7c/Akhmad___Josie___.jpg</t>
  </si>
  <si>
    <t>+14014140514</t>
  </si>
  <si>
    <t>ebshsehse</t>
  </si>
  <si>
    <t>hrhsh</t>
  </si>
  <si>
    <t>hetaljani@speakmentorship.org</t>
  </si>
  <si>
    <t>hrhwhs</t>
  </si>
  <si>
    <t>+12015255252</t>
  </si>
  <si>
    <t>eheheh</t>
  </si>
  <si>
    <t>hehwh</t>
  </si>
  <si>
    <t>https://api.typeform.com/responses/files/49e8a73f5ae76fae14eb5c3b69bef231110131477b41424047c4ffdcc41f3e94/Akhmad___Josie___.jpg</t>
  </si>
  <si>
    <t>hehw</t>
  </si>
  <si>
    <t>hrhwh</t>
  </si>
  <si>
    <t>hehwhw</t>
  </si>
  <si>
    <t>hewhewh</t>
  </si>
  <si>
    <t>hehewhwe</t>
  </si>
  <si>
    <t>Get an internship, Get coaches and mentors who can help me with college and career</t>
  </si>
  <si>
    <t>ehewhwe</t>
  </si>
  <si>
    <t>ehwhwe</t>
  </si>
  <si>
    <t>hewhwehe</t>
  </si>
  <si>
    <t>https://api.typeform.com/responses/files/53ff0f649c14f020a4bb0f8fa7d03b3e29885c1e1812548f95ba0d4490a6017c/Frankford_HS.png</t>
  </si>
  <si>
    <t>hewhwhwe</t>
  </si>
  <si>
    <t>hhweh</t>
  </si>
  <si>
    <t>nrshrh</t>
  </si>
  <si>
    <t>eid79p00o5wbr66lwwg6r7bmeid79pvr</t>
  </si>
  <si>
    <t>grwrh</t>
  </si>
  <si>
    <t>gegewg</t>
  </si>
  <si>
    <t>https://api.typeform.com/responses/files/d4a80a31fa72c2520805ef5899ff438411efaa41921727154baae194ab8b431b/Frankford_HS.png</t>
  </si>
  <si>
    <t>+17188696224</t>
  </si>
  <si>
    <t>ewghhew</t>
  </si>
  <si>
    <t>ehewhewh</t>
  </si>
  <si>
    <t>hewhwehw</t>
  </si>
  <si>
    <t>gewgw</t>
  </si>
  <si>
    <t>gewgjiwji</t>
  </si>
  <si>
    <t>https://api.typeform.com/responses/files/7b8e549ca0eceb1739c11688a72c1f7e790ee1a433796a12e627a871b4cc83f6/Frankford_HS.png</t>
  </si>
  <si>
    <t>egwew</t>
  </si>
  <si>
    <t>bdsgs</t>
  </si>
  <si>
    <t>hehwsh</t>
  </si>
  <si>
    <t>STEM (Science/Technology/Engineering/Math)</t>
  </si>
  <si>
    <t>hrhhr</t>
  </si>
  <si>
    <t>hwh</t>
  </si>
  <si>
    <t>hreheh</t>
  </si>
  <si>
    <t>hehe</t>
  </si>
  <si>
    <t>https://api.typeform.com/responses/files/ca1c24f4d9b291b2148e55ad70d07e685ded9cbe6b17f29481ad93e4c29deda4/Frankford_HS.png</t>
  </si>
  <si>
    <t>hrhrwh</t>
  </si>
  <si>
    <t>hewhwh</t>
  </si>
  <si>
    <t>hrehe</t>
  </si>
  <si>
    <t>0jkg8frghvsgzt0jkg8u1yukgl5lgmkk</t>
  </si>
  <si>
    <t>Johnfree</t>
  </si>
  <si>
    <t>Carrasco</t>
  </si>
  <si>
    <t>https://api.typeform.com/responses/files/15a200011cbcc2d650e887f06108e78b5496dd61840e244cee884842df779e09/IMG_4786.jpg</t>
  </si>
  <si>
    <t>johnfreecarrasco@claremontihs.org</t>
  </si>
  <si>
    <t>+13479653305</t>
  </si>
  <si>
    <t>1045 Woodycrest av apt 2j- NY- Bronx 10452</t>
  </si>
  <si>
    <t>https://www.facebook.com/Johnfree.Carrasco.28</t>
  </si>
  <si>
    <t>Maria Collado</t>
  </si>
  <si>
    <t>magdacollado@gmail.com</t>
  </si>
  <si>
    <t>+13475108285</t>
  </si>
  <si>
    <t>240 E 172nd Street, Bronx NY 10457</t>
  </si>
  <si>
    <t>https://api.typeform.com/responses/files/4dca7c625552a197b2ae0f2cda4cb021ab406901dab93f5e3d081ed1725a3d10/Johnfree_Carrasco_transcript__1_.pdf</t>
  </si>
  <si>
    <t>There is nothing else I would like to share.</t>
  </si>
  <si>
    <t>I speak Spanish at home.</t>
  </si>
  <si>
    <t>Computer and information system manager, Computer And Information Research Scientists, Computer Network Architects.</t>
  </si>
  <si>
    <t>Computer and information system manager or something related to that. I'm still undecided</t>
  </si>
  <si>
    <t>I haven't think about any college yet honestly.</t>
  </si>
  <si>
    <t>Computer and Information Systems Managers, Computer Network Architects, Information Security Analysts, Computer Hardware Engineers, Software Developers.</t>
  </si>
  <si>
    <t>(sprecific) I will improve my academic and English skills (attainable) to be able to express myself correctly and be more professional, (relevant) by participating in activities, working with other people (timely) by the end of the school year.</t>
  </si>
  <si>
    <t>Get an internship, Get coaches and mentors who can help me with college and career, Gain skills I can use at a future job, Learn about colleges, Learn about careers, Make new friends</t>
  </si>
  <si>
    <t>I think that three adjectives that describe the person I am are solidary because I like to help people and most of the time I put other first and that way I feel better with myself because I'm using what I learn. Another adjective is tolerant because I like to accept others no matter what and I like others to accept me. Third and last, I consider myself friendly because I like to have a good relationship with everybody so we can build a good friendship.</t>
  </si>
  <si>
    <t>I think that three skills that I have that can help me in my future career is that I can work under pressure, I can work with partners and I can help other to improve as I improve myself.</t>
  </si>
  <si>
    <t>There is nothing else I would like to add. I just can say that I'm interested in improve and be better for my future but also I want to help others to prepare to be successful so we can be better as a group and created relationship to support each other.</t>
  </si>
  <si>
    <t>https://api.typeform.com/responses/files/c2390490d1c68f753d7d9cc2103f09cd18ef8227d064253ee079c49dbd024dac/IMG_4798.jpg</t>
  </si>
  <si>
    <t>My community makes me feel safe, supported, connected and like I belong.</t>
  </si>
  <si>
    <t>I Identify as Christianity.</t>
  </si>
  <si>
    <t>94.20%</t>
  </si>
  <si>
    <t>2vxzy8y73szqe1ks0r02vxzyxov25g11</t>
  </si>
  <si>
    <t>Manuela</t>
  </si>
  <si>
    <t>Salazar</t>
  </si>
  <si>
    <t>https://api.typeform.com/responses/files/7277a8592610fee3dd7c62913d9337ec7e96bd0b9db9cb4a1706a85f47193c61/75791248_21BC_4FDF_81B6_7F551F1C83B6.jpeg</t>
  </si>
  <si>
    <t>Manuela.salazar@flushinginternational.org</t>
  </si>
  <si>
    <t>+13479449639</t>
  </si>
  <si>
    <t>143 07 Sanford Ave Flushing</t>
  </si>
  <si>
    <t>Gloria</t>
  </si>
  <si>
    <t>gloriaguardia2013@gmail.com</t>
  </si>
  <si>
    <t>143 07 Sanford Ave flushing</t>
  </si>
  <si>
    <t>+13474840602</t>
  </si>
  <si>
    <t>Flushing international High School</t>
  </si>
  <si>
    <t>Barclay Ave, Queens Ny</t>
  </si>
  <si>
    <t>Queens, NY</t>
  </si>
  <si>
    <t>https://api.typeform.com/responses/files/e738e5aad24b473255dac380a347d03e7503bbf72a7cadd69908cce218fa4389/2CF7E464_DB00_4B34_9616_3494C067BA42.png</t>
  </si>
  <si>
    <t>Colombia</t>
  </si>
  <si>
    <t>Translate, do some presentation to school, helping students with assignments, food distribution.</t>
  </si>
  <si>
    <t>La Guardia Community College, York College , Brooklyn College , Manhattan Bourough  Community College</t>
  </si>
  <si>
    <t>Photography, Dance teacher , Science teacher, Actor or writer</t>
  </si>
  <si>
    <t>My future goal is go to La Guardia college to be able to study Veterinary then do 2 or 3 years to can have a Associate Degree then I could transfer to the Veterinary School and do 4 or 6 years more to can be a Professional Veterinarian</t>
  </si>
  <si>
    <t>Hope, individual, always try</t>
  </si>
  <si>
    <t>Responsibility, encourage and dedication</t>
  </si>
  <si>
    <t>https://api.typeform.com/responses/files/fe5c0b1e991591475bb05ffe326d37b537b675a64cd5fa4e93425d9f756dd739/5BCF6E84_DCBA_48E1_BA8E_A8044F293FBF.png</t>
  </si>
  <si>
    <t>7</t>
  </si>
  <si>
    <t>South American</t>
  </si>
  <si>
    <t>mzmvdnrx0yw4p7f03d53qffomzmvdnrf</t>
  </si>
  <si>
    <t>Xinyao</t>
  </si>
  <si>
    <t>Yang</t>
  </si>
  <si>
    <t>https://api.typeform.com/responses/files/669a970d5562ff60f3afd7d8bae680556d9110bdcc2c66697ace0921306b3788/IMG_4677.JPG</t>
  </si>
  <si>
    <t>xinyao2019@flushinginternational.org</t>
  </si>
  <si>
    <t>+13475422729</t>
  </si>
  <si>
    <t>4255 Colden Street, Flushing, NY 11355</t>
  </si>
  <si>
    <t>Instagram: x.ylol</t>
  </si>
  <si>
    <t>Xiuling Liu</t>
  </si>
  <si>
    <t>XiulingL610@gmail.com</t>
  </si>
  <si>
    <t>+19178920509</t>
  </si>
  <si>
    <t>Flushing International High School</t>
  </si>
  <si>
    <t>144-80 Barclay Avenue</t>
  </si>
  <si>
    <t>https://api.typeform.com/responses/files/f9a3a679bf506608c0b878329b75155a30e964700a45fa23dfb929d796dc6946/Screenshot_2021_02_15_at_11.23.52_PM.png</t>
  </si>
  <si>
    <t>Chinese-Mandarin</t>
  </si>
  <si>
    <t>Fashion Designer</t>
  </si>
  <si>
    <t>It is fashion designer</t>
  </si>
  <si>
    <t>Specific: I will improve skills, Measurable: by 6 points, Attainable: from a 90 to 100 Relevant: Learning more skills from my Champions in my academic work, Timely: by the end of the school year</t>
  </si>
  <si>
    <t>conscientious, curious, cold because I like to do everything perfectly, and I have a lot questions, but I don't really like to talk.</t>
  </si>
  <si>
    <t>imagination, drawing</t>
  </si>
  <si>
    <t>I want to learn new skills that can help me in my career.</t>
  </si>
  <si>
    <t>https://api.typeform.com/responses/files/3adc7c471ab53953b9c0eb318e20e31bf732a08ae8bc2a704f3b7dd74709600e/SPEAKHIRE_Parent.Guardian_Consent_Form.pdf</t>
  </si>
  <si>
    <t>green card pending</t>
  </si>
  <si>
    <t>Buddhism</t>
  </si>
  <si>
    <t>aln3ltcbayyhi3n276jg9hialn3lte6s</t>
  </si>
  <si>
    <t>Hanbin</t>
  </si>
  <si>
    <t>Wan</t>
  </si>
  <si>
    <t>https://api.typeform.com/responses/files/8f34d21045e2ba1e85d10b08faf5fbcb7be633655d65ee46ba648f004d51d40f/portrait_.jpg</t>
  </si>
  <si>
    <t>hanbin.wan@flushinginternational.org</t>
  </si>
  <si>
    <t>3620 Bowne st 6k</t>
  </si>
  <si>
    <t>Wechat and Whatsapp</t>
  </si>
  <si>
    <t>Xian Gao</t>
  </si>
  <si>
    <t>cicigao123@gmail.com</t>
  </si>
  <si>
    <t>3620 Bowne st, 6k, Flushing, NY, 11354</t>
  </si>
  <si>
    <t>+17187916116</t>
  </si>
  <si>
    <t>14480 Barclay AVE</t>
  </si>
  <si>
    <t>https://api.typeform.com/responses/files/cbb59369580a1aebf97e1db18bd866bfc59ac72cc42567331069d5bb7d2a4793/Transcriptevaluation_12___RISE.docx</t>
  </si>
  <si>
    <t>Yellow</t>
  </si>
  <si>
    <t>graphic maker</t>
  </si>
  <si>
    <t>My Reception is responsible for the recording of child's name and helps parents to pick up their children.</t>
  </si>
  <si>
    <t>SUNY New Paltz, SUNY stony brook, Queens College, City College, York College, Gatten community college, Manhattan community college, and queens community college.</t>
  </si>
  <si>
    <t>My goal is specific: I will improve my GPA as well as possible before the end of spring semester.</t>
  </si>
  <si>
    <t>Tall, Introvert, and slient</t>
  </si>
  <si>
    <t>Respect, focusing, and care</t>
  </si>
  <si>
    <t>I want to know some skills of photography.</t>
  </si>
  <si>
    <t>https://api.typeform.com/responses/files/cd9465e715dd774d857ae1ccd74cb7c817b26b94badf41daefd1dd4c16369b74/Parent.Guardian_Consent_Form.pdf</t>
  </si>
  <si>
    <t>wd0fetcew32k8k75ojj34wd0fetanxgd</t>
  </si>
  <si>
    <t>I Chean</t>
  </si>
  <si>
    <t>Hung</t>
  </si>
  <si>
    <t>https://api.typeform.com/responses/files/b647bfd1573e4671dc38cfefeee91c022152cd4a9e81cbb13cb12238f23ec019/IMG_8220.JPG</t>
  </si>
  <si>
    <t>ichean2019@flushinginternational.org</t>
  </si>
  <si>
    <t>+13479053126</t>
  </si>
  <si>
    <t>132-06 Avery Avenue, Flushing, Queens, NY 11355</t>
  </si>
  <si>
    <t>Meng Qiu</t>
  </si>
  <si>
    <t>annieqiu0605@gmail.com</t>
  </si>
  <si>
    <t>+13472820088</t>
  </si>
  <si>
    <t>144-80 Barclay Avenue, Flushing, NY 11355</t>
  </si>
  <si>
    <t>https://api.typeform.com/responses/files/e041b808fa6fb491bf7e98c2cd18c6d7ad38a314da7b4d4bf495c0a74fb9a40e/Transcriptevaluation_11__templet_.docx</t>
  </si>
  <si>
    <t>Laboratory researcher</t>
  </si>
  <si>
    <t>Bookkeeper, for guardian's friend</t>
  </si>
  <si>
    <t>The City College Of New York, NYU, University of Washington</t>
  </si>
  <si>
    <t>Biology, Psychology</t>
  </si>
  <si>
    <t>Specific: I'll prevent my GPA from decreasing, Measurable: by 5 points, Attainable: from a 95 to 100, Relevant: by applying the skills I learn from my Champions in my academic work, Timely: by the end of the school year</t>
  </si>
  <si>
    <t>Creative because I always put something on my works that differences from others. Passionate, I can be extremely persuasive when I'm passionate. Optimistic, always look at the bright side.</t>
  </si>
  <si>
    <t>Optimistic, passionate, curious</t>
  </si>
  <si>
    <t>That's it :) (oh, I go by Veronica and I prefer to be called like that)</t>
  </si>
  <si>
    <t>https://api.typeform.com/responses/files/ffad25fc77474ac1075443431786472956825b61fbd983e98586483d16d1192a/Parent.Guardian_Consent_Form.pdf</t>
  </si>
  <si>
    <t>9nq26pgbrhl09ayqfbbs9nqjemw2572e</t>
  </si>
  <si>
    <t>Devin</t>
  </si>
  <si>
    <t>Rhodie</t>
  </si>
  <si>
    <t>https://api.typeform.com/responses/files/c2df23c6cd81b223e377de9f8c22c04e000b5ab91d37a94bb2d448f1d99b12d3/IMG_2782.jpeg</t>
  </si>
  <si>
    <t>devinrhodie@gmail.com</t>
  </si>
  <si>
    <t>+15164020127</t>
  </si>
  <si>
    <t>253-20-147Drive Rosedale 11422</t>
  </si>
  <si>
    <t>Skip</t>
  </si>
  <si>
    <t>Tanya Rhodie</t>
  </si>
  <si>
    <t>trhodie@yahoo.com</t>
  </si>
  <si>
    <t>+16469125974</t>
  </si>
  <si>
    <t>Queens Preparatory Academy</t>
  </si>
  <si>
    <t>143-10 Springfield Blvd, Queens, NY 11413</t>
  </si>
  <si>
    <t>https://api.typeform.com/responses/files/4b6cc99cf6a145ec78e5625b7f1e7555263272f026517178d8f7e256c91976d4/RhodieMP3reportcard.pdf</t>
  </si>
  <si>
    <t>34 years ago</t>
  </si>
  <si>
    <t>I'm a African American</t>
  </si>
  <si>
    <t>computer engineering</t>
  </si>
  <si>
    <t>computer engineer</t>
  </si>
  <si>
    <t>Stony brook,Harvard,Hunter,Syracuse,Baruch,Pittsburgh,Queens,Cornell,Maritime,Columbia</t>
  </si>
  <si>
    <t>astronomer,electrical engineering,Neurosurgeon,Corporate Lawyer, cinematographer</t>
  </si>
  <si>
    <t>My goal is to boost my grades by getting above 90's with the skills I will learn in this program by the end of the semester.</t>
  </si>
  <si>
    <t>Gain skills I can use at a future job, Learn about careers</t>
  </si>
  <si>
    <t>Persistent, encouraging and reliable because those qualities define me everyday when I go to school or in daily life.</t>
  </si>
  <si>
    <t>Active listening,Communication, and problem solving.</t>
  </si>
  <si>
    <t>I have nothing else to add</t>
  </si>
  <si>
    <t>https://api.typeform.com/responses/files/c75635107b7329ba386f29018800150f27f2ee90d84d1fbb8fd4b2c453d54f9a/Speakhire_Consent_Form_Devin_Rhodie.docx</t>
  </si>
  <si>
    <t>4.75</t>
  </si>
  <si>
    <t>io69l11iixot7skdnqehio69l11lshbr</t>
  </si>
  <si>
    <t>Xiuyan</t>
  </si>
  <si>
    <t>Piao</t>
  </si>
  <si>
    <t>https://api.typeform.com/responses/files/ef8031b80c67933e9ebf1632ec83108714e77f13f3fd4e6f545f36dca97f170d/IMG_4778.jpg</t>
  </si>
  <si>
    <t>x.piao2018@flushinginternational.org</t>
  </si>
  <si>
    <t>+19292131625</t>
  </si>
  <si>
    <t>38-34 147St Flushing NY,11354</t>
  </si>
  <si>
    <t>IG: suyon_03blink</t>
  </si>
  <si>
    <t>Ying Cui</t>
  </si>
  <si>
    <t>cuiying0217@gamil.com</t>
  </si>
  <si>
    <t>+13476540435</t>
  </si>
  <si>
    <t>144-80 Barclay Ave</t>
  </si>
  <si>
    <t>https://api.typeform.com/responses/files/3f70421d38c627acc93c96a10e153fe17295e88a09c832324a519710d2f83974/Screen_Shot_2021_02_15_at_11.31.26_AM.png</t>
  </si>
  <si>
    <t>About 15 years ago</t>
  </si>
  <si>
    <t>I was born in America, but I went back to China when I was 2.</t>
  </si>
  <si>
    <t>engineer, teacher, accounting</t>
  </si>
  <si>
    <t>engineer</t>
  </si>
  <si>
    <t>Stony brook, NYU, Queens College</t>
  </si>
  <si>
    <t>Education, business, art, Health science, Media</t>
  </si>
  <si>
    <t>I will improve my GPA by 95 by the end of the semester. I will use the notes I take in the class to help to do my assignment.</t>
  </si>
  <si>
    <t>Learn about careers, Learn about colleges, Gain skills I can use at a future job, Get coaches and mentors who can help me with college and career, Get an internship</t>
  </si>
  <si>
    <t>ambitious-I always trying my best to do something, optimistic-I am a positive person, friendly-I like to talk with others.</t>
  </si>
  <si>
    <t>kindness, patient, leadership</t>
  </si>
  <si>
    <t>https://api.typeform.com/responses/files/195ed2932ef25e77579bfb547aa33e623fdcf281c1e14d48692bb38c61c4d7f4/Parent.Guardian_Consent_Form.pdf</t>
  </si>
  <si>
    <t>91.37</t>
  </si>
  <si>
    <t>2e9ioj931lm9g0nh1x54s2e9ioi6ap10</t>
  </si>
  <si>
    <t>Blair</t>
  </si>
  <si>
    <t>Vales</t>
  </si>
  <si>
    <t>https://api.typeform.com/responses/files/b9eee22701ec0139f0efdc2f12c5ffcce08de787b269031c347e25decb48b79d/File_000.jpeg</t>
  </si>
  <si>
    <t>valesblair@gmail.com</t>
  </si>
  <si>
    <t>+13473533408</t>
  </si>
  <si>
    <t>144-30 224th st Springfield Gardens 11413 Queens New York</t>
  </si>
  <si>
    <t>Nadine Beausejour</t>
  </si>
  <si>
    <t>nadlove507@gmail.com</t>
  </si>
  <si>
    <t>144-30 224th st Springfield Gardens 11413 Queens New york</t>
  </si>
  <si>
    <t>+13477850102</t>
  </si>
  <si>
    <t>Queens Preparatory Academy High School</t>
  </si>
  <si>
    <t>https://api.typeform.com/responses/files/17810d6855ddf6e9d5b8ae45f68e056371372e15cf5d4ae61698196359b87f09/ReportCard__5_.pdf</t>
  </si>
  <si>
    <t>I am black</t>
  </si>
  <si>
    <t>Haitian creole</t>
  </si>
  <si>
    <t>teaching or medicine</t>
  </si>
  <si>
    <t>Tutoring/ teachers assistant</t>
  </si>
  <si>
    <t>Cornell, VCU, Standford Queens college.</t>
  </si>
  <si>
    <t>Law, Teaching/ Education, medicine,</t>
  </si>
  <si>
    <t>1. will improve my overall average by 5 point</t>
  </si>
  <si>
    <t>Get an internship, Learn about colleges, Learn about careers, Gain skills I can use at a future job, Make new friends, Get coaches and mentors who can help me with college and career</t>
  </si>
  <si>
    <t>I am caring, I am vocal, respectful 
I am caring because i love helping and making people around me feel happy. I am Vocal because i speak my mind about things and what makes me comfortable and what does not. Last but not least i am Respectful because i feel like i oew respect for everyone around me.</t>
  </si>
  <si>
    <t>I have teaching skill, Motivational skill and active listening skills</t>
  </si>
  <si>
    <t>I can be very competative</t>
  </si>
  <si>
    <t>https://api.typeform.com/responses/files/99437e6eb82e5daad4faa1000f6c8e99d2fe0067a1591cf2a49fc2f6817e6801/Vales_parent_consent_form_.docx</t>
  </si>
  <si>
    <t>I Feel like i am connected with my community.</t>
  </si>
  <si>
    <t>3.2</t>
  </si>
  <si>
    <t>5oedeb8m0ui9wj5oedqvyqpfbwz7yqkf</t>
  </si>
  <si>
    <t>Jhennel</t>
  </si>
  <si>
    <t>Bailey</t>
  </si>
  <si>
    <t>https://api.typeform.com/responses/files/06f53e2bfeb9f29b42fca52714633072ce0635163969fa46ce3c951f48d0f075/FFCB72C3_B26D_4335_A65E_D8E69EABC526.jpeg</t>
  </si>
  <si>
    <t>jhennelbailey@gmail.com</t>
  </si>
  <si>
    <t>+19174557204</t>
  </si>
  <si>
    <t>158-19-137 Ave Jamaica NY 11434</t>
  </si>
  <si>
    <t>Hyacinth Bailey</t>
  </si>
  <si>
    <t>Webbail65@gmail.com</t>
  </si>
  <si>
    <t>+13472603830</t>
  </si>
  <si>
    <t>143-10 Springfield Blvd</t>
  </si>
  <si>
    <t>https://api.typeform.com/responses/files/de34ed7cac4e9f29c608227e4525297fbdff6a59987531529b88098a68820580/E69EBD9A_F23B_4142_B54A_015E7954A75C.jpeg</t>
  </si>
  <si>
    <t>My mom arrived 22 years ago, and my dad arrived 39 years ago</t>
  </si>
  <si>
    <t>No there is not</t>
  </si>
  <si>
    <t>Public Sector/Social Impact (Government/Nonprofit)</t>
  </si>
  <si>
    <t>Social working</t>
  </si>
  <si>
    <t>80-90</t>
  </si>
  <si>
    <t>SYEP is a summer job and I got an email about it</t>
  </si>
  <si>
    <t>Stony Brook, St.Johns, Buff State, Queens College, York College, Brockport,</t>
  </si>
  <si>
    <t>Nursing, Real estate, Accounting,</t>
  </si>
  <si>
    <t>My goal is to graduate this program confidently knowing wha career choice I’m most comfortable with</t>
  </si>
  <si>
    <t>Gain skills I can use at a future job, Learn about careers, Learn about colleges, Get an internship, Get coaches and mentors who can help me with college and career</t>
  </si>
  <si>
    <t>Respectful, smart, and kind</t>
  </si>
  <si>
    <t>I’m empathetic, look out for others, and I have some sort of people skills</t>
  </si>
  <si>
    <t>There is nothing else</t>
  </si>
  <si>
    <t>https://api.typeform.com/responses/files/fd35f0b3f2306bcbd429b3d394eca987a4a36795d8974b48e23a7051771e7236/Bailey_Parent_Consent.gdoc</t>
  </si>
  <si>
    <t>Safe and connected</t>
  </si>
  <si>
    <t>sfudggpjb8z0cgaxosfuofo93xs2o0p9</t>
  </si>
  <si>
    <t>Bradley</t>
  </si>
  <si>
    <t>Edwards</t>
  </si>
  <si>
    <t>https://api.typeform.com/responses/files/6cc2ef4cbdd1867e42c4d996bde2701fbd113e555d18a799d6d03e05fda0eed9/20210217_114920.jpg</t>
  </si>
  <si>
    <t>bradleye13@nycstudents.net</t>
  </si>
  <si>
    <t>+13477422847</t>
  </si>
  <si>
    <t>715 New York Ave North Baldwin</t>
  </si>
  <si>
    <t>dont use social media</t>
  </si>
  <si>
    <t>Anecka Jean-Francois</t>
  </si>
  <si>
    <t>Aneckaphillip81@gmail.com</t>
  </si>
  <si>
    <t>1046 Winthrop Street, 3F Brooklyn NY 11212</t>
  </si>
  <si>
    <t>+13476458165</t>
  </si>
  <si>
    <t>https://api.typeform.com/responses/files/2e3c75ad98607ffd690a5bba2ec42b13345a275cdbc27a8615b3374ce88dee05/ReportCard.pdf</t>
  </si>
  <si>
    <t>around 16-20 years</t>
  </si>
  <si>
    <t>i grew up in the west indies</t>
  </si>
  <si>
    <t>english</t>
  </si>
  <si>
    <t>surgeon</t>
  </si>
  <si>
    <t>medical</t>
  </si>
  <si>
    <t>Colombia university, New York university, university of Pennsylvania , Hofstra university Denison university</t>
  </si>
  <si>
    <t>law, engineering ,  pediatrician, business</t>
  </si>
  <si>
    <t>goal is to raise grades of struggling classes by 5-10 points this would allow for academic success</t>
  </si>
  <si>
    <t>Get an internship, Learn about careers, Gain skills I can use at a future job, Get coaches and mentors who can help me with college and career, Make new friends, Learn about colleges</t>
  </si>
  <si>
    <t>curious, friendly and talkative</t>
  </si>
  <si>
    <t>focus, determination, communication</t>
  </si>
  <si>
    <t>https://api.typeform.com/responses/files/66d1c8f7ad59189d7afb9cbaa6616a206de3639ba02c400520e50ad8ea4c271f/perant_consent.pdf</t>
  </si>
  <si>
    <t>not religious</t>
  </si>
  <si>
    <t>88.4</t>
  </si>
  <si>
    <t>xiz14zbxyzrzfiwxxiz14jk8ldqyv3xe</t>
  </si>
  <si>
    <t>Mingyu(Carl)</t>
  </si>
  <si>
    <t>Huo</t>
  </si>
  <si>
    <t>https://api.typeform.com/responses/files/ad5749fefe85811c30d9ec857cba35531756ff0c516be5fd83c8f3dccac489ff/FAB68A3B_1CE4_463C_B062_7674A8242F24.jpeg</t>
  </si>
  <si>
    <t>m.huo2018@flushinginternational.org</t>
  </si>
  <si>
    <t>+19293199980</t>
  </si>
  <si>
    <t>133-06 41st Ave Flushing NY 11355</t>
  </si>
  <si>
    <t>Ins:yuming414_carl              Facebook:Yu Ming</t>
  </si>
  <si>
    <t>Wu yan</t>
  </si>
  <si>
    <t>mi577957@gmail.com</t>
  </si>
  <si>
    <t>133-06 41st Ave flushing NY 11355</t>
  </si>
  <si>
    <t>+16463010630</t>
  </si>
  <si>
    <t>144-80 Barclay Ave Flushing, NY  11355 United States</t>
  </si>
  <si>
    <t>https://api.typeform.com/responses/files/0bf2cae1813492fa8da9f69a76b2f93acfddda4e6c8d76970f42ebb8c4ed5ccf/62ED3448_AEC6_4016_A875_5BE60F134E13.png</t>
  </si>
  <si>
    <t>Nope</t>
  </si>
  <si>
    <t>Computer science, and engineering.</t>
  </si>
  <si>
    <t>The job that I have done before is passing flyer to different people on the street, and I got that job by my friends introduced it to me.</t>
  </si>
  <si>
    <t>New York University, pace university, the city college of New York, Baruch college</t>
  </si>
  <si>
    <t>Computer science, computer engineering, math, business, informational science.</t>
  </si>
  <si>
    <t>I will get more information, formal people’s experience and the requirements for some majors that I interest in, by attend classes each week. Also I will learn these majors from mentors in this program, and be knowledgeable at the end of this program.</t>
  </si>
  <si>
    <t>Friendly, helpful, and quiet, because I will always help my friends if they need me, and I can get along with most people, and I like to stay in a quiet place when I have a private time. It can calm myself.</t>
  </si>
  <si>
    <t>Codeing skills (scratch, p5, readymaker), math, and collaboration skills.</t>
  </si>
  <si>
    <t>I’m still exploring my majors, so I haven’t decided which one is best fit for me.</t>
  </si>
  <si>
    <t>https://api.typeform.com/responses/files/6c14927a890ee4df6ee211de1ee04e5c4103997dfbdaf0e1e49b43373742a53c/Parent.Guardian_Consent_Form.pdf</t>
  </si>
  <si>
    <t>Safe, supported, connected, and like I belong.</t>
  </si>
  <si>
    <t>94.63</t>
  </si>
  <si>
    <t>ytmvhip84fizmo6iu195ytmv0gikael9</t>
  </si>
  <si>
    <t>Shikha</t>
  </si>
  <si>
    <t>Chauhan</t>
  </si>
  <si>
    <t>https://api.typeform.com/responses/files/ff8eea83d8944a81790e32ec19021d5451055cf15967653365a04ada5fce6ab4/Copy_of_File_001.jpeg</t>
  </si>
  <si>
    <t>s.chauhan2018@flushinginternational.org</t>
  </si>
  <si>
    <t>+19292939060</t>
  </si>
  <si>
    <t>112-45 39th Ave 4f Corona,NY(11368)</t>
  </si>
  <si>
    <t>Facebook: Shikha Chauhan ,  Instagram: shikha_chau</t>
  </si>
  <si>
    <t>Shradha Chauhan</t>
  </si>
  <si>
    <t>shradhac703@gmail.com</t>
  </si>
  <si>
    <t>+16466202430</t>
  </si>
  <si>
    <t>144-80 Barclay Ave, Flushing, NY 11355</t>
  </si>
  <si>
    <t>https://api.typeform.com/responses/files/fc5d1a113c1a6a6b892c60ef051765b1e9d332f1e2003654439c13d42ea37fae/Screen_Shot_2021_02_17_at_12.14.39_PM.png</t>
  </si>
  <si>
    <t>Nepal</t>
  </si>
  <si>
    <t>Race: Asian , Ethnicity: Nepali , Nationality: Nepali</t>
  </si>
  <si>
    <t>Nepali and English</t>
  </si>
  <si>
    <t>I am interest in being a nurse and pursue on getting a degree on nursing.</t>
  </si>
  <si>
    <t>Working on a hospital</t>
  </si>
  <si>
    <t>Hunter, Lehman, York, Queens, New York University. These are the only colleges I know.</t>
  </si>
  <si>
    <t>Business, Assistant, Front Desk Medical Receptionist,Teacher and Guidance councilor for high school.</t>
  </si>
  <si>
    <t>I would apply for Youth Leader at my school this summer. As I am free in summer I will attend classes (Youth leader training) to learn more about applying in colleges.By applying the skills, information learned during the training I would help my peers and students to apply in colleges and tell them more about colleges.</t>
  </si>
  <si>
    <t>Focused, Attentive and considerate</t>
  </si>
  <si>
    <t>Patience, Good listener and Leadership</t>
  </si>
  <si>
    <t>The reason I got interested on nursing was because of my grandmother. When I was young my grandma was admitted to hospital and was in ICU for several days. I visited her in hospital seeing her in that condition and getting healthy again I began to get interested in Nursing and want to be a nurse.</t>
  </si>
  <si>
    <t>https://api.typeform.com/responses/files/3bdc376750f4ad2e099a504a89822646bd9bbefd2c45de5a0a7aee289e3d09a6/Parent.Guardian_Consent_Form.docx</t>
  </si>
  <si>
    <t>supported</t>
  </si>
  <si>
    <t>Buddhism and Hinduism</t>
  </si>
  <si>
    <t>92.18</t>
  </si>
  <si>
    <t>232m40lmg8xm45nv232m47mf0o6fprz0</t>
  </si>
  <si>
    <t>Ivelisse</t>
  </si>
  <si>
    <t>Valentin</t>
  </si>
  <si>
    <t>https://api.typeform.com/responses/files/457944848aead042cf9fec9c26900711a73d30654fce4b6bd72ad4d60b6c7afd/0BB33485_81D2_4A40_ACE3_CB49C296284C.jpeg</t>
  </si>
  <si>
    <t>ivelissev108@gmail.com</t>
  </si>
  <si>
    <t>+19176966681</t>
  </si>
  <si>
    <t>Brooklyn New York 11207</t>
  </si>
  <si>
    <t>Carmen D. Rios</t>
  </si>
  <si>
    <t>Bleujem16@gmail.com</t>
  </si>
  <si>
    <t>25 Ashford Street, Brooklyn, NY 11207</t>
  </si>
  <si>
    <t>+19176965355</t>
  </si>
  <si>
    <t>Cypress Hills Collegiate Preparatory High School</t>
  </si>
  <si>
    <t>999 Jamaica Avenue, Brooklyn, NY 11208</t>
  </si>
  <si>
    <t>https://api.typeform.com/responses/files/45ad06f4314c2bd95d586efd34d042e107ae6899f6e925f9c549663968360caf/image.jpg</t>
  </si>
  <si>
    <t>I am Hispanic of Puerto Rican descent</t>
  </si>
  <si>
    <t>English and some Spanish</t>
  </si>
  <si>
    <t>Pediatric Nurse or an Occupational Therapist</t>
  </si>
  <si>
    <t>Pediatric Nurse</t>
  </si>
  <si>
    <t>New York University, Molly’s College, Brooklyn College, Queens College,</t>
  </si>
  <si>
    <t>Occupational Therapist for children,  teacher for Early Childhood Elementary or Special Needs for Early Childhood,</t>
  </si>
  <si>
    <t>I will graduate from High School by 2022.  I will improve my overall average by 5 points, from a 91 to 96.  By learning from my mistakes and from teachers assistance, I will be able to do this by the end of the school year.</t>
  </si>
  <si>
    <t>Get an internship, Get coaches and mentors who can help me with college and career, Gain skills I can use at a future job, Learn about colleges, Learn about careers</t>
  </si>
  <si>
    <t>I am friendly, hard working, and caring because I am someone that likes to make people feel comfortable, especially children.  I work hard to get good grades.  I care a lot about people and how they feel.</t>
  </si>
  <si>
    <t>Ability to work others, committed, and willingness to learn.</t>
  </si>
  <si>
    <t>I like being with children.  Comforting them when they are sad or scared.  My mom is an Elementary school teacher.  The few times I have gone to work with her I loved playing with them and watching them experience things for the first time.  I feel happy and joyful watching them and listening to them talk and share.</t>
  </si>
  <si>
    <t>https://api.typeform.com/responses/files/f065be5d6f78d6ba6480ded5e3dd2355690757863d05cc998df25b13836e7e5f/image.jpg</t>
  </si>
  <si>
    <t>I feel fine</t>
  </si>
  <si>
    <t>91.4</t>
  </si>
  <si>
    <t>bnfxj5gfhqlt5kpizlbnfxg3rx27scww</t>
  </si>
  <si>
    <t>Rakdh</t>
  </si>
  <si>
    <t>Alzukary</t>
  </si>
  <si>
    <t>https://api.typeform.com/responses/files/aacd7eaa2618bf2664d2a724dadf2096b4b4b665c64bfbbebda4334c33a6c0fb/Rakdh_s_Head_image.jpg</t>
  </si>
  <si>
    <t>ralzukary3377@chcprep.net</t>
  </si>
  <si>
    <t>133 Grant Avenue, Brooklyn, NY 11208</t>
  </si>
  <si>
    <t>Saleh Alzukary</t>
  </si>
  <si>
    <t>loveusa347@gmail.com</t>
  </si>
  <si>
    <t>+13479258921</t>
  </si>
  <si>
    <t>Cypress Hills Collegiate Prep</t>
  </si>
  <si>
    <t>999 Jamaica Ave, Brooklyn, NY 11208</t>
  </si>
  <si>
    <t>https://api.typeform.com/responses/files/dc688bf0baaa36ed614ab05529aade5a9225bd32cea605815ddc8081be9772c0/Rakdh_Alzukary_report_card.pdf</t>
  </si>
  <si>
    <t>Neurosurgeon</t>
  </si>
  <si>
    <t>100+</t>
  </si>
  <si>
    <t>Youth Leadership is one of my jobs, and it includes the following: Counsel students with their college process by teaching them how to research colleges, showing the steps to apply for financial aid and filling in college applications ● Participate in SSC hiring committee and conducted interviews of youth and adult staff ● Lead workshops with youth leaders and college advisors to inform students about college requirements and financial aid ● Co-facilitate events with college advisors, such as parent nights, field day, FAFSA night, Super Saturday, SAT prep ● Inform parents about school events and important documents to bring for their children’s college application by calling home or sending emails.</t>
  </si>
  <si>
    <t>SUNY: Polytechnic institute, Purchase college , Stony Brook , Old Westbury+, Environmental Science &amp; Forestry+, Buffalo. CUNY:Brooklyn college,City College, Lehman College, Queens College.</t>
  </si>
  <si>
    <t>(Arts, Design, Entertainment, Sports, and Media Occupations), (Community and Social Services Occupations), (Life, Physical, and Social Science Occupations), (Personal Care and Service Occupations),(Business and Financial Operations Occupations).</t>
  </si>
  <si>
    <t>By the end of the school year, I want to be the valedictorian. In order for me to reach my goal, I will improve my GPA by 2-3 points, which will move it from 97 to 99-100. I will do this by completing all my assignments perfectly and redo them if I miss any point. I will also try to do extra work for extra points to guarantee my goal.</t>
  </si>
  <si>
    <t>Get an internship, Gain skills I can use at a future job, Learn about careers, Learn about colleges, Make new friends, Get coaches and mentors who can help me with college and career</t>
  </si>
  <si>
    <t>Hard-working: I work very hard to achieve my goals. Competitive: I compete and take risks to win what I demand. Hasty: Sometimes I want the results of my hard work to show immediately.</t>
  </si>
  <si>
    <t>Communication skills
Leadership skills
Management skills</t>
  </si>
  <si>
    <t>I was chosen to be the ambassador of my school this year, therefore, I believe this program would push me the hardest to be able to represent my school in the best image.</t>
  </si>
  <si>
    <t>https://api.typeform.com/responses/files/0bf74a6043761e04e1fe6e0799fd68b7b3b168c5c2703e88ee5d539f95becacb/Parent.Guardian_Consent_Form__1_.pdf</t>
  </si>
  <si>
    <t>My community coexist well with each other, therefore, I feel safe in my community.</t>
  </si>
  <si>
    <t>97%</t>
  </si>
  <si>
    <t>molpzt4ihv92pfc1uvmolpzt4tjvnnp4</t>
  </si>
  <si>
    <t>Jeimery</t>
  </si>
  <si>
    <t>Sosa</t>
  </si>
  <si>
    <t>https://api.typeform.com/responses/files/a878bf2720c8cac5c6dbc018c996e0b775144a99d0e5a5f464b13660ef3a321c/IMG_8864.jpg</t>
  </si>
  <si>
    <t>jeimery123@gmail.com</t>
  </si>
  <si>
    <t>+19294946713</t>
  </si>
  <si>
    <t>8710 85st Woodhaven Queens New York 11421</t>
  </si>
  <si>
    <t>Facebook- Jeimery Sosa</t>
  </si>
  <si>
    <t>Maria Anglero</t>
  </si>
  <si>
    <t>mariabella182@gmail.com</t>
  </si>
  <si>
    <t>+16468043307</t>
  </si>
  <si>
    <t>Cypress Hills Collegiate Preparatory School</t>
  </si>
  <si>
    <t>999 Jamaica Ave</t>
  </si>
  <si>
    <t>https://api.typeform.com/responses/files/bf1c6815c822892bbee50770d3925b93f617f20bded6bb0e0d689d45c80bef18/Sosa.Jeimery_transcript.pdf</t>
  </si>
  <si>
    <t>27 years ago</t>
  </si>
  <si>
    <t>Hispanic</t>
  </si>
  <si>
    <t>Service/Hospitality Industry</t>
  </si>
  <si>
    <t>The Job I have now is a internship With Syep what I do in my Job is work with young youth in a after school program.</t>
  </si>
  <si>
    <t>1.Queensborough Community College 2.Hunter College 3.York College 4.Borough of Manhattan 5.SUNY Downstate Medical Center 6.Phillips School of Nursing At Mount Sinai Beth Israel 7.New York University 8. University of Rochester 9.Cuny Lehman college 10.University at Buffalo</t>
  </si>
  <si>
    <t>pediatric nursing, Neonatal nurse ,Clinical Nurse Specialist (CNS),Registered Nurse (RN), Family Nurse Practitioner (FNP)</t>
  </si>
  <si>
    <t>Specific-Improve my overall average this year Measurable-to 90 average Attainable- Have all my credits by the end of highschool Relevant- My goal is to have all my classes passed and have all my credits. Timely-By the end of the school year.</t>
  </si>
  <si>
    <t>Gain skills I can use at a future job, Get coaches and mentors who can help me with college and career, Learn about careers, Learn about colleges, Get an internship, Make new friends</t>
  </si>
  <si>
    <t>Hardworking, Caring,communicative</t>
  </si>
  <si>
    <t>Leadership, Teamwork,Communication</t>
  </si>
  <si>
    <t>I'm a open book and I'm also commutative , Love helping others.</t>
  </si>
  <si>
    <t>https://api.typeform.com/responses/files/1686ff6ab2ac583d558af492fa5f3c81efc4c99de8617d3852430b224ffdfbbf/Parent.Guardian_Consent_Form_2.pdf</t>
  </si>
  <si>
    <t>I feel safe, supported and connected</t>
  </si>
  <si>
    <t>31.50</t>
  </si>
  <si>
    <t>sawt4m4b8t6j1psawd90y4vnusriymwu</t>
  </si>
  <si>
    <t>Jose</t>
  </si>
  <si>
    <t>Montalvan</t>
  </si>
  <si>
    <t>https://api.typeform.com/responses/files/1379a2670f337db64bde8f2952b7433cd54e3c4d1adffd882f67854e80c16874/150219799_1353444635026222_7529510060019594823_n.jpg</t>
  </si>
  <si>
    <t>ilonjose57@gmail.com</t>
  </si>
  <si>
    <t>+13478139198</t>
  </si>
  <si>
    <t>3033 88th st, East Elmhurst, United States, NY 11369-1412</t>
  </si>
  <si>
    <t>@marshfuhny in instagram</t>
  </si>
  <si>
    <t>Aida Bartolome</t>
  </si>
  <si>
    <t>shelteromg7@gmail.com</t>
  </si>
  <si>
    <t>3033 88th st, East Elmhurst, NY 11368-1412, United States</t>
  </si>
  <si>
    <t>+16463310351</t>
  </si>
  <si>
    <t>The Flushing International Highschool</t>
  </si>
  <si>
    <t>https://api.typeform.com/responses/files/baad87b6af6e1d7f2e582aaa7ac45be714db17c67e14856ec1c77d8cec57ede4/Transcript_Review_Form___j.montalvan2018_flushinginternational.org___Flushing_International_High_School_Mail___Google_Chrome_2_16_2021_2_21_26_PM.png</t>
  </si>
  <si>
    <t>Ecuador</t>
  </si>
  <si>
    <t>I identify myself as a American guy than Ecuadorian most of times.</t>
  </si>
  <si>
    <t>Spanish and Chinese</t>
  </si>
  <si>
    <t>pediatrician, psychologist, data analyzer, and Pharmacologist.</t>
  </si>
  <si>
    <t>pediatrician, dentist, pediatric dentist, psychologist, and pharmacologist</t>
  </si>
  <si>
    <t>Hunter College, Stony Brook University, and New York University</t>
  </si>
  <si>
    <t>biology, social sciences, statistics, anatomy, and humanities</t>
  </si>
  <si>
    <t>I will improve my GPA from 90.73 to 96 by applying skills that I'm learning at school &amp; CollegeNow classes and spending time to study and master topics spoken in class. Also, I will be using skills from my Champions and by the end of the school year I will be achieving my goal.</t>
  </si>
  <si>
    <t>Get coaches and mentors who can help me with college and career, Gain skills I can use at a future job, Learn about careers, Get an internship, Learn about colleges</t>
  </si>
  <si>
    <t>dedicated, sensible and modest in view of the fact that all the time I will try my best on my task, even though it's hard. Also, I'm someone who's really easy to feel bad or feel excited for situations or things that happens in my surroundings. An example, dramas or when people talk to me about their life, It's easy for me to get touched. Moreover, I'm someone that knows my limits, things I'm good at, and things I'm bad at. But, I will always try to explore new things that I feel interest for.</t>
  </si>
  <si>
    <t>team work, time management, and problem-solving skills.</t>
  </si>
  <si>
    <t>I'm thinking in become a Doctor but I'm not sure if this career fits me.</t>
  </si>
  <si>
    <t>https://api.typeform.com/responses/files/2a398e1faf9491f8fbc76725ab7f2b5e4b297ce145939186ab8c18d81d5b7ba0/SPEAKHIRE_Parent.Guardian_Consent_Form.pdf___Lumin_Pdf___Google_Chrome_2_16_2021_3_48_00_PM.png</t>
  </si>
  <si>
    <t>90.73</t>
  </si>
  <si>
    <t>64hc67yvu3st9nbxy5qon64hc67yv5ea</t>
  </si>
  <si>
    <t>Nasif</t>
  </si>
  <si>
    <t>Zaman</t>
  </si>
  <si>
    <t>https://api.typeform.com/responses/files/ece5c1c722d7c7351e1ccb544e0614191e33a45adf048a1cafa8d2e0ba4ccc78/Screenshot_2021_02_19_at_12.16.51_PM.png</t>
  </si>
  <si>
    <t>nasifbishal56@gmail.com</t>
  </si>
  <si>
    <t>+19292255322</t>
  </si>
  <si>
    <t>146 52 Tuskegee Airmen Way, Jamaica, NY, 11435</t>
  </si>
  <si>
    <t>Farzana Sume</t>
  </si>
  <si>
    <t>farzanazamansume@gmail.com</t>
  </si>
  <si>
    <t>+19292162299</t>
  </si>
  <si>
    <t>https://api.typeform.com/responses/files/9395015bbaae27bee2ea3dd9aab015fe19151a6b4c0e83e340fccd7dd0f3fd16/Screenshot_2021_02_19_at_11.28.18_AM.png</t>
  </si>
  <si>
    <t>Bengali</t>
  </si>
  <si>
    <t>FBI Special Agent</t>
  </si>
  <si>
    <t>I got the job from my school call WLG.</t>
  </si>
  <si>
    <t>John Jay College of criminal Justice, CUNY School of law, Baruch College, City College, Stony Brook University, University at Buffalo, Syracuse University, CUNY Queens College, City Tech,</t>
  </si>
  <si>
    <t>Businessman, Teacher, Police, fashion designer, engineer</t>
  </si>
  <si>
    <t>I will improve my grades even more than I need to.
I will improve 10 points more so I have a Perfect grade. from 82 to 92, From the skills I learn from work extra class to my school work. Finish all the work before the due time.</t>
  </si>
  <si>
    <t>Kind, Friendly, Time punctual.</t>
  </si>
  <si>
    <t>Atletic, Respectful, hard-working.</t>
  </si>
  <si>
    <t>I'm really friendly and respect everyone I like to do
athletic things, I play badminton, soccer. I'm really
responsible.</t>
  </si>
  <si>
    <t>https://api.typeform.com/responses/files/b646d7144d01ca31821f5f82f6e73d719bdc7ccf873685df7bbbccdd011c6796/Parent.Guardian_Consent_Form.pdf</t>
  </si>
  <si>
    <t>82.18</t>
  </si>
  <si>
    <t>12fptgpuecejv6cwnj612fpdzd3gr2rj</t>
  </si>
  <si>
    <t>Khondoker</t>
  </si>
  <si>
    <t>Rahman</t>
  </si>
  <si>
    <t>https://api.typeform.com/responses/files/bf90e381fe9457d349004594b6896c37d75d966021aef5fa30a61e658a4e9e2d/IMG_7215.JPG</t>
  </si>
  <si>
    <t>k.rahman2018@flushinginternational.org</t>
  </si>
  <si>
    <t>+16465772548</t>
  </si>
  <si>
    <t>92-28 195 PL , Jamaica, Hollis, NY, 11423</t>
  </si>
  <si>
    <t>Whatapps</t>
  </si>
  <si>
    <t>Khondoker Salim</t>
  </si>
  <si>
    <t>k.salim.ny@gmail.com</t>
  </si>
  <si>
    <t>43-26 56th street, Woodside, NY 11377</t>
  </si>
  <si>
    <t>+13477258568</t>
  </si>
  <si>
    <t>https://api.typeform.com/responses/files/4ad9b5784c25e312c7963c5b1a80bf691f453a74946e1bb2c227daab9fee5907/Transcriptevaluation_12___RISE.pages</t>
  </si>
  <si>
    <t>Computer Science</t>
  </si>
  <si>
    <t>Computer science</t>
  </si>
  <si>
    <t>York college, Hunter college , City Tech, Medger Evers college,</t>
  </si>
  <si>
    <t>computer science, accounting, photography</t>
  </si>
  <si>
    <t>I will improve my time</t>
  </si>
  <si>
    <t>hard-working, honest, Expeience</t>
  </si>
  <si>
    <t>Teamwork, leadership, collaboration</t>
  </si>
  <si>
    <t>I am also interested about photography</t>
  </si>
  <si>
    <t>https://api.typeform.com/responses/files/ad0c768d3e76d808a22a60f2c5a6b99b1d095857672d4bd1546d4b7d32690f9e/Parent.Guardian_Consent_Form__1_.pdf</t>
  </si>
  <si>
    <t>safe, connected</t>
  </si>
  <si>
    <t>80%</t>
  </si>
  <si>
    <t>td15fszx8pezgnxtd15116q8tuqpchj3</t>
  </si>
  <si>
    <t>Yongqiang</t>
  </si>
  <si>
    <t>Tan</t>
  </si>
  <si>
    <t>https://api.typeform.com/responses/files/f10c198ea5684bef87516d5a91a8e8d6e999d30c44465583a34acf03d03066eb/真我2.jpg</t>
  </si>
  <si>
    <t>y.tan2018@flushinginternational.org</t>
  </si>
  <si>
    <t>+13475065599</t>
  </si>
  <si>
    <t>206-54 46th ave 1F bayside NY 11361</t>
  </si>
  <si>
    <t>wechat</t>
  </si>
  <si>
    <t>Li and Tan</t>
  </si>
  <si>
    <t>tyq2003827ch@gmail.com</t>
  </si>
  <si>
    <t>+19293910881</t>
  </si>
  <si>
    <t>flushing international high school</t>
  </si>
  <si>
    <t>https://api.typeform.com/responses/files/c598263e3d973db604ab47621216ff5159320dea88c504a7cf838ca1965051a0/成绩单.jpg</t>
  </si>
  <si>
    <t>china</t>
  </si>
  <si>
    <t>Asian, Chinese nationality</t>
  </si>
  <si>
    <t>我爱你</t>
  </si>
  <si>
    <t>I will pay attention to my dress and prepare a good resume for the interview</t>
  </si>
  <si>
    <t>Harvard University, Massachusetts Institute of Technology, Cornell University, Columbia University, Princeton University, Yale University, Stanford University, New York University, Queens University, University of Rochester</t>
  </si>
  <si>
    <t>Construction engineers, computer engineers, programmers, police, civil engineering</t>
  </si>
  <si>
    <t>Improve my English and improve my mathematics</t>
  </si>
  <si>
    <t>Gain skills I can use at a future job, Learn about careers, Get an internship, Learn about colleges, Make new friends, Get coaches and mentors who can help me with college and career</t>
  </si>
  <si>
    <t>Friendly, kind, peaceful</t>
  </si>
  <si>
    <t>Calculation, drawing, language</t>
  </si>
  <si>
    <t>Good at math</t>
  </si>
  <si>
    <t>https://api.typeform.com/responses/files/1bc7d44d807f0653e80b06d1521fdbd9ce11778333a8765bc5b13e4e4a9e9771/资料.jpg</t>
  </si>
  <si>
    <t>South East Asian</t>
  </si>
  <si>
    <t>72.66</t>
  </si>
  <si>
    <t>6jwkw97gyu92wlcavwr6jwkw98au5l0l</t>
  </si>
  <si>
    <t>Jaiahna</t>
  </si>
  <si>
    <t>Gadsden</t>
  </si>
  <si>
    <t>https://api.typeform.com/responses/files/f88cc42e18b916ab2000572e561bacdcbb18716cdde8dab77acfca4b26d37185/4F803221_4C91_4948_8BDC_EFC4AD175028.jpeg</t>
  </si>
  <si>
    <t>jaiahnagadsden@gmail.com</t>
  </si>
  <si>
    <t>+19179420966</t>
  </si>
  <si>
    <t>118-21 189th street Saint Albans, NY 11412</t>
  </si>
  <si>
    <t>Diahann Gadsden</t>
  </si>
  <si>
    <t>diahannfrancis@gmail.com</t>
  </si>
  <si>
    <t>+19179814060</t>
  </si>
  <si>
    <t>https://api.typeform.com/responses/files/e0821c0a955ce60c4ca1130d18f501ed188e62ee7ceafcd2fa277d3b0438564c/37B9A8BC_4F71_44B7_B7CA_B255E38921E9.png</t>
  </si>
  <si>
    <t>26 years ago</t>
  </si>
  <si>
    <t>Neonatal Nursing</t>
  </si>
  <si>
    <t>Stony brook University, Lincoln University, Delaware State university, Morgan state University, Coppin State University, Norfolk State University, State University of New York at Plattsburgh</t>
  </si>
  <si>
    <t>I will improve my overall Average by at least 10 points, I can get this done because in my previous years I was able to have an 80 and above average, which will impact my gpa to a higher level. By applying the skills I learn in day school and night school into my academic work properly by the need of the semester</t>
  </si>
  <si>
    <t>Gain skills I can use at a future job, Get an internship, Get coaches and mentors who can help me with college and career, Make new friends</t>
  </si>
  <si>
    <t>Emotional, Self-confident, and Chill</t>
  </si>
  <si>
    <t>Social, Supportive and I pay attention to details</t>
  </si>
  <si>
    <t>https://api.typeform.com/responses/files/74821fa79b7c1f6c00ddb63c7260b09a96704b945e3ed21e0f4a64fe3bec9bdf/Parent.Guardian_Consent_Form.pdf</t>
  </si>
  <si>
    <t>ag5jblm8st7983f3i27ag5jblm8des2l</t>
  </si>
  <si>
    <t>Chenming</t>
  </si>
  <si>
    <t>Tian</t>
  </si>
  <si>
    <t>https://api.typeform.com/responses/files/9db6eda6e9fdc780f756c66682d513853c9481d7e0b165ea621fb7e9e2bf4feb/IMG_1554.JPG</t>
  </si>
  <si>
    <t>ctian@flushinginternational.org</t>
  </si>
  <si>
    <t>+13473489081</t>
  </si>
  <si>
    <t>42-71 Murray St Flushing NY 11355</t>
  </si>
  <si>
    <t>Baojun Tian</t>
  </si>
  <si>
    <t>baojuntian889@gmail.com</t>
  </si>
  <si>
    <t>+16466236201</t>
  </si>
  <si>
    <t>The Flushing International High school</t>
  </si>
  <si>
    <t>144-80 Barclay Avenue Flushing  NY 11355</t>
  </si>
  <si>
    <t>https://api.typeform.com/responses/files/bb2727ac599e9e57587891d6ad6ab8e057d2512688ad138fe0315415957c1834/Screen_Shot_2021_02_15_at_11.36.27.png</t>
  </si>
  <si>
    <t>Chinese, Han nationality</t>
  </si>
  <si>
    <t>I most interested in learned about design</t>
  </si>
  <si>
    <t>My job was introduced through the school. The main content of my work is to help office teachers do some activities, including poster design, statistics, etc.</t>
  </si>
  <si>
    <t>FIT, Parsons Design, Pratt Institute,The New School,School of Visual Arts</t>
  </si>
  <si>
    <t>Fashion design, illustrator, pastry chef, singer, graphic design</t>
  </si>
  <si>
    <t>My SMART goal is to complete my PBAT and have a good GPA, which allows me to enter the university I like better.</t>
  </si>
  <si>
    <t>Get coaches and mentors who can help me with college and career, Learn about careers, Gain skills I can use at a future job, Learn about colleges, Make new friends, Get an internship</t>
  </si>
  <si>
    <t>Serious, collaboration, respect. Because seriousness means taking work seriously, collaboration means having a good communication with colleagues, and respect means respecting everyone and all work</t>
  </si>
  <si>
    <t>Perfect expression skills, good writing skills, interesting ideas</t>
  </si>
  <si>
    <t>I hope my career is related to art</t>
  </si>
  <si>
    <t>https://api.typeform.com/responses/files/dcb9d6e13cc463ee2883938b1fecfc33226ebfd13c24985db5f9c2d97666ae18/Parent.Guardian_Consent_Form.pdf</t>
  </si>
  <si>
    <t>join forces</t>
  </si>
  <si>
    <t>79.05%</t>
  </si>
  <si>
    <t>m1wnx337tlosm1htb41wom1wnx37tykm</t>
  </si>
  <si>
    <t>Jiaying</t>
  </si>
  <si>
    <t>Zhu</t>
  </si>
  <si>
    <t>https://api.typeform.com/responses/files/601cb8b4457689bbcc949c0715ff4ac47d847c9da217da635bc2c5abe871b891/WechatIMG309.jpeg</t>
  </si>
  <si>
    <t>j.zhu2018@flushinginternational.org</t>
  </si>
  <si>
    <t>+19175193971</t>
  </si>
  <si>
    <t>163-60, 20th Ave, Whitestone, NY, 11357</t>
  </si>
  <si>
    <t>https://www.instagram.com/_jiaaa_</t>
  </si>
  <si>
    <t>Zaccur Zhu</t>
  </si>
  <si>
    <t>zaccurzhu@gmail.com</t>
  </si>
  <si>
    <t>+19178324995</t>
  </si>
  <si>
    <t>https://api.typeform.com/responses/files/da4f48d6e73f989dae9e3ac6ffe5de59c69bcd88e12d574fd64a293b10cf6d05/Jiaying_Zhu__Transcript.pdf</t>
  </si>
  <si>
    <t>Chinese, English</t>
  </si>
  <si>
    <t>Early Childhood Education</t>
  </si>
  <si>
    <t>4 - 7</t>
  </si>
  <si>
    <t>It was SYEP Summer Bridge 2020 which I saw a flyer at my school.</t>
  </si>
  <si>
    <t>Hunter College, Yeshiva University, New Paltz, NYU</t>
  </si>
  <si>
    <t>Choreographer; Dancer; Teacher Assistant; Tutor; Talent Director.</t>
  </si>
  <si>
    <t>Specific: I will develop my English speaking and reading skills, Measurable: by learning 10 words per day, Attainable: from 70% to 90% understanding of SAT articles, Relevant: by communicating with other people in this program, Timely: by the end of the school year.</t>
  </si>
  <si>
    <t>Gain skills I can use at a future job, Learn about careers, Learn about colleges, Get coaches and mentors who can help me with college and career, Make new friends</t>
  </si>
  <si>
    <t>Artistic - I'm good at dancing, performing, and photographing; Analytical - I always look at different shapes and think about different aspects of things; Quiet - I prefer to listen to others and feel a little bit shy to talk about myself, especially to strangers.</t>
  </si>
  <si>
    <t>Creativity, Multitasking, Attention to detail</t>
  </si>
  <si>
    <t>I prefer dancing to educating.</t>
  </si>
  <si>
    <t>https://api.typeform.com/responses/files/2f3cfa37db3475507a09940caadd183208519e0e8de7285e460184a9006d24b6/Parent.Guardian_Consent_Form.pdf</t>
  </si>
  <si>
    <t>93.24</t>
  </si>
  <si>
    <t>1fhlyr2ts1ugtfyhvg1fhlyr4ena9iab</t>
  </si>
  <si>
    <t>Ahnaf</t>
  </si>
  <si>
    <t>Chowdhury</t>
  </si>
  <si>
    <t>https://api.typeform.com/responses/files/c99376492f76299ec1741df6e51c11b063150cce2e96732657c69bf96ad20720/File_000__9_.png</t>
  </si>
  <si>
    <t>ahnaf2019@flushinginternational.org</t>
  </si>
  <si>
    <t>2637 91st Street East Elmhurst, Queens, NY 11369</t>
  </si>
  <si>
    <t>I only have snapchat, email and Facetime</t>
  </si>
  <si>
    <t>Farhana Chowdhury</t>
  </si>
  <si>
    <t>chyrouf@gmail.com</t>
  </si>
  <si>
    <t>+13479444349</t>
  </si>
  <si>
    <t>144-80 Barclay Ave Flushing, NY 11355</t>
  </si>
  <si>
    <t>https://api.typeform.com/responses/files/6749836919946b12295936b566dc150c3e8f2763156224bc83c6db9f77627277/CHOWDHURY__AHNAF.pdf</t>
  </si>
  <si>
    <t>We all are from a country in South Asia named Bangladesh</t>
  </si>
  <si>
    <t>We all arrived in the U.S in 2019</t>
  </si>
  <si>
    <t>I want to be a Psychiatrist</t>
  </si>
  <si>
    <t>I am a teacher assistant in an after school program and  got the job through a program called work learn and grow</t>
  </si>
  <si>
    <t>Columbia University, Hunter, Baruch, NYU, Macaulay , Sophie Davis School of Biomedical Education, City College of New York School of Medicine, City College of New York, Harvard University, Yale University</t>
  </si>
  <si>
    <t>Psychiatrist, Investment banker, Physical therapists, Physician Assistant, Pharmacist,</t>
  </si>
  <si>
    <t>I will have an idea about which college I want to go to and why by talking and learning from my champion by the end of the program.</t>
  </si>
  <si>
    <t>Get coaches and mentors who can help me with college and career, Gain skills I can use at a future job, Learn about careers, Learn about colleges, Make new friends, Get an internship</t>
  </si>
  <si>
    <t>Hardworking, friendly, conscientiousness.</t>
  </si>
  <si>
    <t>I am flexible, honest, and hardworking and I think this will help me in the future</t>
  </si>
  <si>
    <t>I am very friendly and I tend to lose confidence in myself very often.</t>
  </si>
  <si>
    <t>https://api.typeform.com/responses/files/b51b846a28190bab1129abdaad52657365def8be8a61f0dd2641bd191c2b7c36/Parent.Guardian_Consent_Form.pdf</t>
  </si>
  <si>
    <t>My community makes me feel safe, supported and I feel connected to them.</t>
  </si>
  <si>
    <t>97.04%</t>
  </si>
  <si>
    <t>s1w3cdpond6lr1mhabnd8s1w3wfkm7nm</t>
  </si>
  <si>
    <t>Madina</t>
  </si>
  <si>
    <t>Raufi</t>
  </si>
  <si>
    <t>https://api.typeform.com/responses/files/e914bc4176f89767741c8d0535ab34f13411d36bb778397c6fa0ace0d486ebdb/IMG_5149__1_.jpg</t>
  </si>
  <si>
    <t>madina.rawofi@gmail.com</t>
  </si>
  <si>
    <t>+17187993207</t>
  </si>
  <si>
    <t>71-71 Parsons Blvd Fresh Meadows, NY 11365 United States</t>
  </si>
  <si>
    <t>Lema Raufi</t>
  </si>
  <si>
    <t>Lema.raufi12@gmail.com</t>
  </si>
  <si>
    <t>+17187992619</t>
  </si>
  <si>
    <t>https://api.typeform.com/responses/files/2e29f356c8850083d3cac7a1078aedcedc22f7fb7ccd0ee3129cdfb6cb1f0b98/Screenshot_2021_02_18_at_12.12.40_PM.png</t>
  </si>
  <si>
    <t>I would like to tell you that I am an afghan Muslim girl. I could speak 3 languages: Farsi, Pashto and English.</t>
  </si>
  <si>
    <t>Pashto and Farsi</t>
  </si>
  <si>
    <t>I would like to learn about Computer engineering.</t>
  </si>
  <si>
    <t>I'm a high school student and I am planing to do Computer engineering.</t>
  </si>
  <si>
    <t>New York University, Columbia University, Queens College, United States Military Academy, Cornell University, Colgate university, Hamilton College.</t>
  </si>
  <si>
    <t>Pilot, Cabin crew, Nursing, Works with Google, Computer science.</t>
  </si>
  <si>
    <t>My resolution is to improve my knowledge about computer engineering in 2021. From the basics introduction of coding to the highest level of computer coding language. By applying computer engineering skills and activities with my academic trainers and the group. I will try my best to get know about the bsasic of computer engineering by the end of this year.</t>
  </si>
  <si>
    <t>Learn about careers, Gain skills I can use at a future job, Learn about colleges, Make new friends, Get coaches and mentors who can help me with college and career, Get an internship</t>
  </si>
  <si>
    <t>Communicative, Friendly, and Social, because I like to meet new people from different countries and communicate with them to learn more about their cultures and ideas. I am very friendly because I like to make new friends and learn their native languages. However, I am good at group activities.</t>
  </si>
  <si>
    <t>I could speak 3 languages. (Farsi, Pashto, English). I am good at managing group activities and projects.  I could be a good leader for my co-workers. I am independent and strong.</t>
  </si>
  <si>
    <t>I'm an open-minded person. I love to share my ideas and interested to listen to others' ideas. I always love to work with people and a peaceful environment with no racism.</t>
  </si>
  <si>
    <t>https://api.typeform.com/responses/files/15e896ad80c631ab0330ffdb6369b0a173639ea6df31a670636ceb0edf747a95/Screenshot_2021_02_18_at_10.40.27_PM.png</t>
  </si>
  <si>
    <t>Sometimes I feel connected and sometimes I feel like I am not belong here.</t>
  </si>
  <si>
    <t>We have A-2 type visa.</t>
  </si>
  <si>
    <t>My current GPA is 89.46%.</t>
  </si>
  <si>
    <t>mf49cwc3j77c68cbt0dvumf49cswwx1y</t>
  </si>
  <si>
    <t>cindy</t>
  </si>
  <si>
    <t>herrera</t>
  </si>
  <si>
    <t>https://api.typeform.com/responses/files/eb78f08bedbf5689b18befc3c0d691bdfffccf48b21bc1921899380f249c9989/e950e6d9_bc61_4145_a755_26792b201c76.jpeg</t>
  </si>
  <si>
    <t>cindyherrera206@gmail.com</t>
  </si>
  <si>
    <t>+18133897570</t>
  </si>
  <si>
    <t>78-07 95th avenue ozone park ny 11416</t>
  </si>
  <si>
    <t>Facebook -Cindy Herrera</t>
  </si>
  <si>
    <t>Orlando Herrera</t>
  </si>
  <si>
    <t>campusano12@gmail.com</t>
  </si>
  <si>
    <t>+15164006490</t>
  </si>
  <si>
    <t>cypress hills collegiate preparatory school</t>
  </si>
  <si>
    <t>999 jamaica ave brooklyn ny 11208</t>
  </si>
  <si>
    <t>https://api.typeform.com/responses/files/dceb91c15d539d99043d7ba2bb3dfab8b8ec1254988d86121d7abd690f43bb2c/e316d77a_3426_47c6_b2b2_683a49154e5c.jpeg</t>
  </si>
  <si>
    <t>dominican republic</t>
  </si>
  <si>
    <t>35</t>
  </si>
  <si>
    <t>hispanic</t>
  </si>
  <si>
    <t>english and spanish</t>
  </si>
  <si>
    <t>movie director</t>
  </si>
  <si>
    <t>one word to describe my job is loving because i work with kids and my school gave me the  job</t>
  </si>
  <si>
    <t>1columbia university 2john university3john jay college of criminal justice4queen college city 5brooklyn college6berkeley college6laguardia7cuny8NYU9fashion institute of technology10stony brook</t>
  </si>
  <si>
    <t>1 movie director 2  therapist 3 social worker 4 nurse 5 actor</t>
  </si>
  <si>
    <t>i want my grades to be good i wanna do better in my classes</t>
  </si>
  <si>
    <t>1 honey 2 loyal 3 caring</t>
  </si>
  <si>
    <t>1 seaking spanish 2 team work 3 Critical thinking</t>
  </si>
  <si>
    <t>i'm very creative and i'm always  coming up with good ideas</t>
  </si>
  <si>
    <t>https://api.typeform.com/responses/files/30455fd90ad44f82c47352b586a6e4835e1a4e628396baf442d2d5f44536c9e3/Parent.Guardian_Consent_Form.pdf</t>
  </si>
  <si>
    <t>unequal</t>
  </si>
  <si>
    <t>catholicism</t>
  </si>
  <si>
    <t>76.95</t>
  </si>
  <si>
    <t>4pteysi9kydru60z34ptltrgymewrkpq</t>
  </si>
  <si>
    <t>Jabez</t>
  </si>
  <si>
    <t>Yorrick</t>
  </si>
  <si>
    <t>https://api.typeform.com/responses/files/f03f7db48af763755b05bfdbb93e7438a6329d44e9868baf65c40370bf4b5531/IMG_2521.JPG</t>
  </si>
  <si>
    <t>yorrickjabez@gmail.com</t>
  </si>
  <si>
    <t>+13479426193</t>
  </si>
  <si>
    <t>1116 145th street linden blvd, Queens New York, 11435</t>
  </si>
  <si>
    <t>Jabez Yorrick- Facebook</t>
  </si>
  <si>
    <t>Deniese Yorrick</t>
  </si>
  <si>
    <t>dyorrick40@gmail.com</t>
  </si>
  <si>
    <t>11116 145th street linden blvd, Queens New York, 11435</t>
  </si>
  <si>
    <t>+13475861715</t>
  </si>
  <si>
    <t>143-10 Springfield Blvd, Springfield Gardens NY 11413</t>
  </si>
  <si>
    <t>https://api.typeform.com/responses/files/55c5234d964aba97d6e39824205f0117a8a8ad120ce19114983688feb35eb181/ReportCard__1_.pdf</t>
  </si>
  <si>
    <t>Guyana</t>
  </si>
  <si>
    <t>1 year</t>
  </si>
  <si>
    <t>Electrical Enginerring</t>
  </si>
  <si>
    <t>Electrical engineer</t>
  </si>
  <si>
    <t>High pressure boiler engineer, refrigeration engineer and electrical engineer</t>
  </si>
  <si>
    <t>I will show how much potential i have to to develop these skills and work</t>
  </si>
  <si>
    <t>I'll a calm, jolly and sweet person</t>
  </si>
  <si>
    <t>I don't have any skills yet</t>
  </si>
  <si>
    <t>Nothing else</t>
  </si>
  <si>
    <t>https://api.typeform.com/responses/files/efa0f3c4bcd86137261f9d21fac1d47462b37048d7217c6dfa5bda3b504c0827/Copy_of_Parent.Guardian_Consent_Form.docx</t>
  </si>
  <si>
    <t>3.0</t>
  </si>
  <si>
    <t>7skejk8xnus6s9oa87skejkw5wv31sw3</t>
  </si>
  <si>
    <t>Masooma</t>
  </si>
  <si>
    <t>Chaudhry</t>
  </si>
  <si>
    <t>https://api.typeform.com/responses/files/178aefa67391dee90ec5759aaa5abf2b660632d22639cbeb42b8e5b1a5e2ef6b/IMG_5012.PNG</t>
  </si>
  <si>
    <t>m.chaudhry2018@flushinginternational.org</t>
  </si>
  <si>
    <t>+19294667567</t>
  </si>
  <si>
    <t>140-70 Ash avenue, apartment 305 Flushing, Queens, NY 11355</t>
  </si>
  <si>
    <t>@masooma.zahraaa</t>
  </si>
  <si>
    <t>Misbah Tariq</t>
  </si>
  <si>
    <t>misbhatariq512@gmail.com</t>
  </si>
  <si>
    <t>140-70 Ash avenue apartment 305 Flushing, Queens, NY 11355</t>
  </si>
  <si>
    <t>+19176155712</t>
  </si>
  <si>
    <t>144-80 Barclay Ave, Flushing, NY 11355, United States</t>
  </si>
  <si>
    <t>https://api.typeform.com/responses/files/9e6ad4d5931fd58348ad31cfbdd1120c658430dbea85bdd8cf51e7d8c8a3f0d5/Transcriptevaluation_11__templet___1_.docx</t>
  </si>
  <si>
    <t>Pakistan</t>
  </si>
  <si>
    <t>25+ years (dad) 6 years (Mom)</t>
  </si>
  <si>
    <t>I was born in Pakistan and moved to NYC, USA at a very young age.</t>
  </si>
  <si>
    <t>English and Urdu</t>
  </si>
  <si>
    <t>Being a Pharmacist or a Lawyer.</t>
  </si>
  <si>
    <t>Barnard College,  Baruch College,  Hunter College,  The city college of New York,  Kingsborough Community College,  LaGuardia Community College,  Queens College,  Guttman Community College, Manhattan College,  Lehman College.</t>
  </si>
  <si>
    <t>Pharmacist, Lawyer, Banking, Media, Sports</t>
  </si>
  <si>
    <t>S- Get in more after school programs
M- At least, 3 more after school programs
A- Will be good to connect and meet other people and would look good in the college application. 
R- Will make me feel connected and more open to people.
T- At the end of this semester.</t>
  </si>
  <si>
    <t>Confident, Reliable, and Honest. 
Confident- I'm a positive person and I give myself positive affirmations which makes me and my self-esteem higher, it is very important to do that, and always being positive helps me a lot in my daily life too. 
Reliable- I like to listen to people instead of judging them, I truly feel and think that everyone is always going through something which they can/can't tell about, so it's always important for me to listen even if I can't help, it makes the other person feel better. 
Honest- Honesty has always been my top thing, I feel like if someone is asking me for advise and I intentionally say something which I know is wrong, won't make my life easier, I'm always honest, and if I know that my honesty will hurt the other person's feelings I tend to say it in a different way or explain it to them!</t>
  </si>
  <si>
    <t>Communication, Leadership, and Confidence.</t>
  </si>
  <si>
    <t>I'm very interested in the career choices I've typed about, so I'd love to be matched with someone with my career interests!</t>
  </si>
  <si>
    <t>https://api.typeform.com/responses/files/70a73f77b874f25e7a5ea5da279427cff3e77b6ef4771130e0b52f199718c0a1/Parent.Guardian_Consent_Form.pdf</t>
  </si>
  <si>
    <t>91.85% (3.7)</t>
  </si>
  <si>
    <t>m8bdkp3336vim5ybck39tp6zyqm8bdkp</t>
  </si>
  <si>
    <t>Jia Meng</t>
  </si>
  <si>
    <t>Woon</t>
  </si>
  <si>
    <t>https://api.typeform.com/responses/files/5296137f1e121355393012ebbc671bdf98a882ead7705b93978c3f1934a96a08/A49BA226_8EC2_4D2A_BE67_0FB99A2F624F.jpeg</t>
  </si>
  <si>
    <t>jiameng2019@flushinginternational.org</t>
  </si>
  <si>
    <t>+19176205336</t>
  </si>
  <si>
    <t>6701 198th st Fresh Meadows, Queens 11365 NY</t>
  </si>
  <si>
    <t>Instagram (bryan_w020429)</t>
  </si>
  <si>
    <t>Li Hoi Woon</t>
  </si>
  <si>
    <t>lhwoon6@gmail.com</t>
  </si>
  <si>
    <t>6791 198th st Fresh Meadows,Queens 11365 NY</t>
  </si>
  <si>
    <t>+19175992978</t>
  </si>
  <si>
    <t>Ms Pops</t>
  </si>
  <si>
    <t>144-80 Barclay Ave, Flushing ,NY 11355</t>
  </si>
  <si>
    <t>https://api.typeform.com/responses/files/9ed87f12b8aa98e29ac8367dfef691a28e738a86af9057421daacdec938cef33/B7412100_E36A_4A4D_A0E1_B4939F6D890E.jpeg</t>
  </si>
  <si>
    <t>Malaysia</t>
  </si>
  <si>
    <t>My other aunt had be living here about 30 years .</t>
  </si>
  <si>
    <t>Chinese or Cantonese</t>
  </si>
  <si>
    <t>I worked at nails salon before is to help my aunt because the salon is my aunt career. I felt out the point is I like how to service customers, I always be help full to anyone and helped me practice my English in conversation. Also, I have been babysitting recently at house.</t>
  </si>
  <si>
    <t>Hunter College, ,Columbia University, Queen college</t>
  </si>
  <si>
    <t>Nurse, Designer, interior designer , health care</t>
  </si>
  <si>
    <t>Attend to every meeting through online internship every one week to understanding more information about careers I want to achieve. Complete task I have to accomplish, it  helped me what should I study in college ,which college I go to, help build on my strength and relationships with them , be in team I enjoy  working with.</t>
  </si>
  <si>
    <t>Gain skills I can use at a future job, Learn about careers, Learn about colleges, Make new friends</t>
  </si>
  <si>
    <t>I'm hardworking to looking what future I wanted to have or what's career I can achieve. Honest to the person or with someone always welcome. Also Participants, it makes me see more opportunities and challenges toward in life.</t>
  </si>
  <si>
    <t>Collaboration, time or money management , self care such as cleaning</t>
  </si>
  <si>
    <t>I’m very exited for this internship , it seen very interesting how can I find my ways to college or future career. But My English skill doesn’t good at the time , I’m afraid that I can’t achieve this program.</t>
  </si>
  <si>
    <t>https://api.typeform.com/responses/files/a293a389c1668b17c1f8ccef5dd95fb5de3ba2609a095a7129154b1562cda5e3/Parent.Guardian_Consent_Form.pdf</t>
  </si>
  <si>
    <t>The community now make me feel more difficult to survive but at the time I feel supported. It’s because of where community I’m now provide more helps to everyone or student , I hope I can learn and having some goal through the internship program.</t>
  </si>
  <si>
    <t>78.33</t>
  </si>
  <si>
    <t>v7mayjkcojkmfhmzs5v7mayp5s52mkjr</t>
  </si>
  <si>
    <t>Dijonay Mogg</t>
  </si>
  <si>
    <t>Mogg</t>
  </si>
  <si>
    <t>https://api.typeform.com/responses/files/d65797c78a9235218b97f7e4dd9616947542470e909562fddeed8cd57b131af9/my_picture.jpg</t>
  </si>
  <si>
    <t>dijonaymogg11@gmail.com</t>
  </si>
  <si>
    <t>+19295011437</t>
  </si>
  <si>
    <t>190-66 111 road saint albans, new york, 11412</t>
  </si>
  <si>
    <t>Norman Mogg</t>
  </si>
  <si>
    <t>normanmogg1@gmail.com</t>
  </si>
  <si>
    <t>+19295011434</t>
  </si>
  <si>
    <t>queens preparatory academy</t>
  </si>
  <si>
    <t>https://api.typeform.com/responses/files/795df0c13e8677c5913663e98a3ba6ac966197f45c28cd07c22aebb6ea775c3b/ReportCard.pdf</t>
  </si>
  <si>
    <t>Jamaica</t>
  </si>
  <si>
    <t>English or creole</t>
  </si>
  <si>
    <t>somewhere in the doctor field not sure, as long as it is not too stressful</t>
  </si>
  <si>
    <t>Medical Doctor</t>
  </si>
  <si>
    <t>i dont know any</t>
  </si>
  <si>
    <t>medical doctor or nurse</t>
  </si>
  <si>
    <t>I will improve my overall average by 5 points,  from a 93 to 100 by applying the skills I learn from my Champions in my academic work,  by the end of the school year.</t>
  </si>
  <si>
    <t>Antisocial, Funny, and Determine. I say this because sometimes I like to be alone, I love to laugh, and if I put my mind to something I will try and try till I get it done.</t>
  </si>
  <si>
    <t>Active listening, organization and writing</t>
  </si>
  <si>
    <t>I just want to get my mind together and understand everything about college and my career</t>
  </si>
  <si>
    <t>https://api.typeform.com/responses/files/f32fb821d8d359057ca6e2cc330821dc1e0f9c285c9e80542a2193943d845bc7/Copy_of_Parent.Guardian_Consent_Form.pdf</t>
  </si>
  <si>
    <t>Like i belong</t>
  </si>
  <si>
    <t>4.0</t>
  </si>
  <si>
    <t>kwged4ws4even8z7kwgediqo6cej6xxe</t>
  </si>
  <si>
    <t>Dante</t>
  </si>
  <si>
    <t>Matthews</t>
  </si>
  <si>
    <t>https://api.typeform.com/responses/files/880b84ea99013b43f0ef6f5907f46896febf11578813cd413d1a99a132e5a280/IMG_2342.PNG</t>
  </si>
  <si>
    <t>chillo2kk@gmail.com</t>
  </si>
  <si>
    <t>+16315729832</t>
  </si>
  <si>
    <t>191-18 115 Drive, Saint Albans, NY, 11412</t>
  </si>
  <si>
    <t>Jaqueline Hanson</t>
  </si>
  <si>
    <t>jackiem4040@hotmail.com</t>
  </si>
  <si>
    <t>191-18 115 Drive ,Saint Albans,NY 11412</t>
  </si>
  <si>
    <t>+19177766564</t>
  </si>
  <si>
    <t>https://api.typeform.com/responses/files/ac86e7330c27134323392d6798bae7df779c6dc430065d22c6e2375d0dd69fae/ReportCard__2_.pdf</t>
  </si>
  <si>
    <t>Jamaican</t>
  </si>
  <si>
    <t>English, Jamaican Patois.</t>
  </si>
  <si>
    <t>architecture</t>
  </si>
  <si>
    <t>Doctor, Engineer,</t>
  </si>
  <si>
    <t>I will do even more work and try to have someone help me with the field I would like to work in.</t>
  </si>
  <si>
    <t>Get coaches and mentors who can help me with college and career, Gain skills I can use at a future job, Learn about careers, Learn about colleges</t>
  </si>
  <si>
    <t>Patient, Respectful, Reliable</t>
  </si>
  <si>
    <t>Bravery, Hardworking, Commitment</t>
  </si>
  <si>
    <t>Im Jamaican,</t>
  </si>
  <si>
    <t>https://api.typeform.com/responses/files/11e587beee75bc9aaa141d5d90bac24b4b440a6c3e87aec49960e4cea7c1d100/Copy_of_Parent.Guardian_Consent_Form_Dante_Matthews_.pdf</t>
  </si>
  <si>
    <t>B</t>
  </si>
  <si>
    <t>o9x0gt28v5m2e161ryy6o9x0g7hajsh8</t>
  </si>
  <si>
    <t>Yemili</t>
  </si>
  <si>
    <t>Goodridge</t>
  </si>
  <si>
    <t>https://api.typeform.com/responses/files/71589aadcc0e8e256d3d4e1e3f88ace5b95cc2741154b17341472875845bf575/received_851734565630434.jpeg</t>
  </si>
  <si>
    <t>yemiligoodridge04@gmail.com</t>
  </si>
  <si>
    <t>+15169438771</t>
  </si>
  <si>
    <t>90-25 212th st Queens Village, NY 11428</t>
  </si>
  <si>
    <t>Deborah Ramdhan de Goodridge</t>
  </si>
  <si>
    <t>+13475863942</t>
  </si>
  <si>
    <t>Flushing international high school</t>
  </si>
  <si>
    <t>https://api.typeform.com/responses/files/e9cef60b0fdbe4d950f1c47f4d0d896b1b2409202894c4541071675e0bec81dc/11__dragged_.pdf</t>
  </si>
  <si>
    <t>I am from Venezuela and my parents are from Guyana</t>
  </si>
  <si>
    <t>Guyanese English</t>
  </si>
  <si>
    <t>Civil engineering</t>
  </si>
  <si>
    <t>My job is about human resources and it's an internship i got from my school programs</t>
  </si>
  <si>
    <t>I'm not sure, but i applied to la guardia, city college, qcc, city tech, and bmcc</t>
  </si>
  <si>
    <t>I will try to focus more and practice on the math that is required for my career. I will start from the basic math like pre-calculus and then move on to calculus and so on. I will take this few months that i still have to graduate and work hard. By the end of the school year i hope to understand math better and improve my skills.</t>
  </si>
  <si>
    <t>Get an internship, Gain skills I can use at a future job, Get coaches and mentors who can help me with college and career, Learn about careers, Learn about colleges, Make new friends</t>
  </si>
  <si>
    <t>I am a responsible person because i always focus on my things. Creative because i like to to create my own things and use my hands to make things. Lastly i am a mature person but depending on the situation i am in.</t>
  </si>
  <si>
    <t>Hard worker, creative, perseverant</t>
  </si>
  <si>
    <t>I love craft</t>
  </si>
  <si>
    <t>https://api.typeform.com/responses/files/d5e4a305730c413595c3406aca3c1647395ff22141fa5be5f228922c31b88428/Parent.Guardian_Consent_Form__1___1_.pdf</t>
  </si>
  <si>
    <t>Christian</t>
  </si>
  <si>
    <t>3.7</t>
  </si>
  <si>
    <t>7whsc1y2qjlve6tqoswpc7whsc1ysbyd</t>
  </si>
  <si>
    <t>Ariah</t>
  </si>
  <si>
    <t>Martin</t>
  </si>
  <si>
    <t>https://api.typeform.com/responses/files/25c1c3bf8276f5b97eca1e8e5a3650923afe07ad774e8b96be359fd4cf434ed2/20210225_151001.jpg</t>
  </si>
  <si>
    <t>amartin.02.04.04@gmail.com</t>
  </si>
  <si>
    <t>+13478459174</t>
  </si>
  <si>
    <t>239-15 148th Ave. Rosedale NY 11422</t>
  </si>
  <si>
    <t>tazia.martin</t>
  </si>
  <si>
    <t>Marcia Brown</t>
  </si>
  <si>
    <t>brownmarcia64@gmail.com</t>
  </si>
  <si>
    <t>+13478459642</t>
  </si>
  <si>
    <t>143-10 Springfield Boulevard</t>
  </si>
  <si>
    <t>https://api.typeform.com/responses/files/15f27d07cd1a3724c5f2bb2f68eb71a015269797179c2fee2d157dd167dda9df/MP3_Report_Card.pdf</t>
  </si>
  <si>
    <t>Antigua and Barbuda, Jamaica</t>
  </si>
  <si>
    <t>9</t>
  </si>
  <si>
    <t>Black</t>
  </si>
  <si>
    <t>Zoologist/Animal Biology</t>
  </si>
  <si>
    <t>Zoologist</t>
  </si>
  <si>
    <t>University of Wisconsin, Colorado State University, Michigan State University, SUNY College of Environmental Science and Forestry</t>
  </si>
  <si>
    <t>Veterinarian, Marine Biologist</t>
  </si>
  <si>
    <t>I will improve my overall average by 3 points from a 95 to 98 by applying the skills I learn from my Champions in my academic work before the end of the school year.</t>
  </si>
  <si>
    <t>Intelligent, helpful, persistent I am motivated to succeed and try my best with everything I do.</t>
  </si>
  <si>
    <t>Patience, communication skills, work well in teams</t>
  </si>
  <si>
    <t>I want our knowledge of animals to grow.</t>
  </si>
  <si>
    <t>https://api.typeform.com/responses/files/0976dfd860a502cae64fd6c4a46260093985b887fb72b3b9514a6bad7ac02284/Parent_Guardian_Consent_Form.docx</t>
  </si>
  <si>
    <t>rk2rca30z0vp3umhhfl3brk2rca3zi4c</t>
  </si>
  <si>
    <t>Ajahni</t>
  </si>
  <si>
    <t>Richards</t>
  </si>
  <si>
    <t>https://api.typeform.com/responses/files/aca265c697c6db44183453567ae86671e08bc9377374020ef527c01e25bf02be/IMG_0582.jpg</t>
  </si>
  <si>
    <t>ajahnirichards500@gmail.com</t>
  </si>
  <si>
    <t>+13472853876</t>
  </si>
  <si>
    <t>Queens, New York 11434</t>
  </si>
  <si>
    <t>Mona Collymore</t>
  </si>
  <si>
    <t>collymoremona95@gmail.com</t>
  </si>
  <si>
    <t>+13472514567</t>
  </si>
  <si>
    <t>Queens Prepatory Academy</t>
  </si>
  <si>
    <t>143-10 Springfield Blvd,</t>
  </si>
  <si>
    <t>https://api.typeform.com/responses/files/03b41749f2e8593eb84565bfd85661d4b3ec64e9b826728aabc6b96571e3d980/ReportCard.pdf</t>
  </si>
  <si>
    <t>computer technology</t>
  </si>
  <si>
    <t>I worked as a laborer on a construction site with my step father</t>
  </si>
  <si>
    <t>I do not know any collages</t>
  </si>
  <si>
    <t>entertainment, sports</t>
  </si>
  <si>
    <t>i will continue to have a 85 average by the end of the school year</t>
  </si>
  <si>
    <t>energetic, curious, attentive</t>
  </si>
  <si>
    <t>communication</t>
  </si>
  <si>
    <t>I like sports and music</t>
  </si>
  <si>
    <t>https://api.typeform.com/responses/files/02efb263a0bf742352c4e7e06114a311431757db57bc4a8e39e6287fc6dbdfcd/Copy_of_Parent.Guardian_Consent_Form__1_.pdf</t>
  </si>
  <si>
    <t>ce0yftmkknpzho189zrce0yftqef1w9m</t>
  </si>
  <si>
    <t>Angely</t>
  </si>
  <si>
    <t>Li Zheng</t>
  </si>
  <si>
    <t>https://api.typeform.com/responses/files/016acdf0ea6c5f7484d9b99468116c0dd9c48f85f78408636e0a92e3d2bb7436/AD10AC5A_BABB_41AE_A0A9_D930F912C929.jpeg</t>
  </si>
  <si>
    <t>a.lizheng2018@flushinginternational.org</t>
  </si>
  <si>
    <t>+19294918881</t>
  </si>
  <si>
    <t>42-39 147th st, Flushing, NY, 11355</t>
  </si>
  <si>
    <t>My instagram is @angelyli33</t>
  </si>
  <si>
    <t>Frank Chang</t>
  </si>
  <si>
    <t>liangely02@hotmail.com</t>
  </si>
  <si>
    <t>+19294219216</t>
  </si>
  <si>
    <t>14480 Barclay Avenue, Flushing, NY 11355</t>
  </si>
  <si>
    <t>https://api.typeform.com/responses/files/20e5f2d6372c3148ad24bbcbc3290040e90211c2cdb8668ecca4a5eb7f1c8611/Progress_Report_for_Angely_Lizheng_2021_02_25_19_58.pdf</t>
  </si>
  <si>
    <t>I was born and raised in Anzoategui, Venezuela and both of my parents were born in China</t>
  </si>
  <si>
    <t>They don’t live here with me</t>
  </si>
  <si>
    <t>Since I was born, I have been raised and taught both cultures</t>
  </si>
  <si>
    <t>Cantonese and spanish</t>
  </si>
  <si>
    <t>I would like to learn more about cosmetology or dermatology</t>
  </si>
  <si>
    <t>I work in a driving school</t>
  </si>
  <si>
    <t>Macaulay Honors college program, lehman college, hunter college, city college,</t>
  </si>
  <si>
    <t>Medicine, digital marketing, business psychology</t>
  </si>
  <si>
    <t>My smart goal is to gain as much knowledge as I can in this program by giving my best, asking questions, being committed, researching on my own, and be punctual</t>
  </si>
  <si>
    <t>Resilient, persevere, compassionate</t>
  </si>
  <si>
    <t>Quick thinker, innovative, good listener and learner</t>
  </si>
  <si>
    <t>I will be so happy to work with a champion and get to learn as much as I can from them and ask them questions</t>
  </si>
  <si>
    <t>https://api.typeform.com/responses/files/3fd0dce1ba19047b1ab283d50c73d2bdd9c8f1563fc9647f688d631d1fa29659/Parent.Guardian_Consent_Form.pdf</t>
  </si>
  <si>
    <t>My community makes me feel heard, understood, safe, connected and related</t>
  </si>
  <si>
    <t>I’m not really sure</t>
  </si>
  <si>
    <t>Flushing, NY</t>
  </si>
  <si>
    <t>6urztwwpw57c3yw0jzy6urzt72rk97ko</t>
  </si>
  <si>
    <t>Bryan</t>
  </si>
  <si>
    <t>Payana</t>
  </si>
  <si>
    <t>https://api.typeform.com/responses/files/601d5d29836d6b880d76b95aa291faceb7e9dae32c9181b39468d4b85f3febb7/20210225_145927.jpg</t>
  </si>
  <si>
    <t>b.payana2018@flushinginternational.org</t>
  </si>
  <si>
    <t>+13476444552</t>
  </si>
  <si>
    <t>3551-95th, D11, Jackson Heights, NY, 11372</t>
  </si>
  <si>
    <t>payanabryan</t>
  </si>
  <si>
    <t>Claudia Pani</t>
  </si>
  <si>
    <t>claudiapani83@gmail.com</t>
  </si>
  <si>
    <t>+19176514003</t>
  </si>
  <si>
    <t>144-80 Barclay Ave, Flushing, NY, 11355</t>
  </si>
  <si>
    <t>https://api.typeform.com/responses/files/89bf9752fffe2b11c19e1560b9c4833390540aaee8d9877bc08ee57cd59bf2c0/Screenshot_20210225_150710_Gmail.jpg</t>
  </si>
  <si>
    <t>15 years ago my mom</t>
  </si>
  <si>
    <t>I worked in construction and a restaurant</t>
  </si>
  <si>
    <t>Columbia University College of Dental medicine,  Toronto College  of Dental medicine,</t>
  </si>
  <si>
    <t>Layer, engineer, surgeon, veterinarian.</t>
  </si>
  <si>
    <t>I will improve all my grades, I want all be MT by completely all homework and do my best in each one, I will try until end of the school year</t>
  </si>
  <si>
    <t>Get coaches and mentors who can help me with college and career, Learn about colleges, Gain skills I can use at a future job, Get an internship, Learn about careers</t>
  </si>
  <si>
    <t>Seriously, because almost always I'm reserved and think  many things by myself 
Tryhard, since I always try to do my 110% when something is very important for me</t>
  </si>
  <si>
    <t>Communication, concentration,</t>
  </si>
  <si>
    <t>I really want know more about college since some day I would like go</t>
  </si>
  <si>
    <t>https://api.typeform.com/responses/files/614879565aab335faf1cb2c16070acfc21b61c83539494d22c5c41513d85f5d7/20210225_155530.jpg</t>
  </si>
  <si>
    <t>Weird</t>
  </si>
  <si>
    <t>78.69</t>
  </si>
  <si>
    <t>pu997mddg4cctra6opu99y8365adxksa</t>
  </si>
  <si>
    <t>Sadi</t>
  </si>
  <si>
    <t>https://api.typeform.com/responses/files/b6cb0b3031653c8de115eb45c1f6fa8965f6d615b3f07bcbee11440862a4f095/IMG_0325.JPG</t>
  </si>
  <si>
    <t>isadi143@gmail.com</t>
  </si>
  <si>
    <t>+13472856637</t>
  </si>
  <si>
    <t>89 18 188th hollies, Queens NY-11423</t>
  </si>
  <si>
    <t>sadi islam</t>
  </si>
  <si>
    <t>Zinnat Islam</t>
  </si>
  <si>
    <t>89-18 188th Street, Jamaica, NY</t>
  </si>
  <si>
    <t>+19294859192</t>
  </si>
  <si>
    <t>https://api.typeform.com/responses/files/cfb5196833d8050987ff6d11c2ed4625c4ec8d419c5f91777d4ca8af3c543917/IMG_7B5F4D4125E6_1.jpeg</t>
  </si>
  <si>
    <t>Mostly Bengali</t>
  </si>
  <si>
    <t>software engineer</t>
  </si>
  <si>
    <t>SYEP job from my school</t>
  </si>
  <si>
    <t>hunter, Colombia, Queens , citi colleges etc</t>
  </si>
  <si>
    <t>lawyer, business, videographer</t>
  </si>
  <si>
    <t>I am confused about my goal. hopefully this program give a right path</t>
  </si>
  <si>
    <t>Learn about careers, Learn about colleges, Gain skills I can use at a future job, Get coaches and mentors who can help me with college and career, Get an internship, Make new friends</t>
  </si>
  <si>
    <t>helpful, faithful,happy</t>
  </si>
  <si>
    <t>focuses, learner, look forward</t>
  </si>
  <si>
    <t>I want to join video graphics and photographic</t>
  </si>
  <si>
    <t>https://api.typeform.com/responses/files/6bd05cda480f9fe3515deae32a3a9429988a3badb42b2ec11699a1927ba72503/IMG_0939.HEIC</t>
  </si>
  <si>
    <t>safe but not all the time</t>
  </si>
  <si>
    <t>4eufj70xfcmkcoa24eufjus9msq8tlg7</t>
  </si>
  <si>
    <t>Bindadevi</t>
  </si>
  <si>
    <t>Sukhandan</t>
  </si>
  <si>
    <t>https://api.typeform.com/responses/files/1473977a507d81ab531805074ed5e8f4d53b0e5357ed13b150c81489eed32aa7/Image_1.jpg</t>
  </si>
  <si>
    <t>bindaa28@gmail.com</t>
  </si>
  <si>
    <t>210-26 94th ave Queens Village NY 11428</t>
  </si>
  <si>
    <t>don't have any</t>
  </si>
  <si>
    <t>Seema Sukhandan</t>
  </si>
  <si>
    <t>+16463746510</t>
  </si>
  <si>
    <t>Queens preparatory academy</t>
  </si>
  <si>
    <t>https://api.typeform.com/responses/files/e337a902391cc4458c60f8faff7fc7441a1d95c66a4d5e9004a0b4683b874629/ReportCard.pdf</t>
  </si>
  <si>
    <t>I'm Guyanese</t>
  </si>
  <si>
    <t>i am not sure</t>
  </si>
  <si>
    <t>i'm not sure</t>
  </si>
  <si>
    <t>new York university, city college of new York, queens college, city university, Brooklyn college, York college, pace university</t>
  </si>
  <si>
    <t>veterinarian, doctor, lawyer</t>
  </si>
  <si>
    <t>I will improve my grades by using the skills I learned from the program</t>
  </si>
  <si>
    <t>honest, ambitious, hardworking. I picked these three because they mostly describe who I am. I am always honest, I have a strong desire for my success and achievement. Whenever i struggle with something I always try and and try my best to understand it.</t>
  </si>
  <si>
    <t>critical thinking, communication and innovative mindset.</t>
  </si>
  <si>
    <t>I'm not sure what career I want to do in the future yet.</t>
  </si>
  <si>
    <t>https://api.typeform.com/responses/files/f49af84f05071d4fafdb38ba12a85a51b3a8d409ad91766affc9d7f94ca961f7/Copy_of_Parent.Guardian_Consent_Form.docx.pdf</t>
  </si>
  <si>
    <t>hinduism</t>
  </si>
  <si>
    <t>hubycaz2y2meolq37hubyc2nzu0popl6</t>
  </si>
  <si>
    <t>Luis</t>
  </si>
  <si>
    <t>Parra Pestana</t>
  </si>
  <si>
    <t>https://api.typeform.com/responses/files/cc9fd513643d5e24342c2a2c203b6a6e8a045d640524d3977c33178e6e272ad2/7E66E117_E167_4C19_97BA_A38E6EE594B4.jpeg</t>
  </si>
  <si>
    <t>p.parra2018@flushinginternational.org</t>
  </si>
  <si>
    <t>25-05 127Th St, College point, 11354</t>
  </si>
  <si>
    <t>Sheila Pestana</t>
  </si>
  <si>
    <t>pestana50@gmail.com</t>
  </si>
  <si>
    <t>25-05 127Th St, College Point, 11354</t>
  </si>
  <si>
    <t>+19294219984</t>
  </si>
  <si>
    <t>Flushing International High school</t>
  </si>
  <si>
    <t>https://api.typeform.com/responses/files/52b07c9cd461a73968821f8d83e50db1136b7dc55ece69edca94c2d3852b2867/86C1F1C4_D51D_4CDB_9DAE_DBD7C88F84E4.jpeg</t>
  </si>
  <si>
    <t>Venezuela</t>
  </si>
  <si>
    <t>Medicine, doctor</t>
  </si>
  <si>
    <t>I don’t currently have a job</t>
  </si>
  <si>
    <t>Fordham university, peace University, St John’s university and St.Joseph university</t>
  </si>
  <si>
    <t>Dentistry, Laws, marketing and business</t>
  </si>
  <si>
    <t>If I have the opportunity of participating in this program I would give my 100 percent to gain knowledge and experience, and also I’d commit myself to be an active member of the program.</t>
  </si>
  <si>
    <t>Get coaches and mentors who can help me with college and career, Gain skills I can use at a future job, Learn about colleges, Make new friends, Learn about careers, Get an internship</t>
  </si>
  <si>
    <t>Respectful, Responsible and resilient.</t>
  </si>
  <si>
    <t>I have good communication and leadership skills and I’m a good problem-Solver.</t>
  </si>
  <si>
    <t>I would really like to participate in this program and learn about my dream career</t>
  </si>
  <si>
    <t>https://api.typeform.com/responses/files/cea8e48fb14e17fccbb8d6bc7caad0f6298b242b533698f015732548f7e34648/Parent.Guardian_Consent_Form.pdf</t>
  </si>
  <si>
    <t>Great</t>
  </si>
  <si>
    <t>Western European</t>
  </si>
  <si>
    <t>azvfoayzs293yf7bby1yazvfoa74faoj</t>
  </si>
  <si>
    <t>Samar</t>
  </si>
  <si>
    <t>https://api.typeform.com/responses/files/e0e84c8d37e8f5fc5eaf8fc40d2201a8358aedc71dd28e6ba8aedc3a032e1452/IMG_6684.jpg</t>
  </si>
  <si>
    <t>schaudhry2018@flushinginternational.org</t>
  </si>
  <si>
    <t>+19294144128</t>
  </si>
  <si>
    <t>140-70 ash ave flushing, Queens NY 11355</t>
  </si>
  <si>
    <t>Instagram @samar.sc</t>
  </si>
  <si>
    <t>+13473686142</t>
  </si>
  <si>
    <t>https://api.typeform.com/responses/files/e48a953af01816a18d4cfb62c34b60f4c8cbf01b4c65bd1a55ebcc23c2c1f893/Transcriptevaluation_12__templet_.docx</t>
  </si>
  <si>
    <t>My father came 25+ years ago and Mom 6 years.</t>
  </si>
  <si>
    <t>I'm Muslim and my religion is Islam</t>
  </si>
  <si>
    <t>English/Urdu</t>
  </si>
  <si>
    <t>Law, medicine, pharmacist, art, business, education and media</t>
  </si>
  <si>
    <t>A business women.</t>
  </si>
  <si>
    <t>Hunter, Queens College,  QCC,Guttman, Laguardia, Baruch, BMCC</t>
  </si>
  <si>
    <t>Dermatology, Architecture, Psychology, Medicine, Arts</t>
  </si>
  <si>
    <t>I will improve my grades by 5 points from 80 to 85 by working hard on my school work by the end of this month.</t>
  </si>
  <si>
    <t>Communicative, confident, and talkative. I like to volunteer and challenge myself.</t>
  </si>
  <si>
    <t>Responsible, honest, and confident.</t>
  </si>
  <si>
    <t>I want to explore much career and get skills from them, I love to explore new careers and find the right one for me.</t>
  </si>
  <si>
    <t>https://api.typeform.com/responses/files/38fa4ec241fe33bf52b2fe738743c58bcfb89f8b1056fe8bd790462617c77e1f/Parent.Guardian_Consent_Form.pdf</t>
  </si>
  <si>
    <t>I feel comfortable</t>
  </si>
  <si>
    <t>88.03</t>
  </si>
  <si>
    <t>k9ro8vj1t0p8yurnkwypk9ro8vquy5rm</t>
  </si>
  <si>
    <t>Munir ahmad</t>
  </si>
  <si>
    <t>Bakhtyar</t>
  </si>
  <si>
    <t>https://api.typeform.com/responses/files/0004c9459fca4fecf646c1d1f068bb0fd71dc77b7344c9680e34ceb451bf786e/78F0AF18_956A_4777_8000_2B23ABF2D62A.jpeg</t>
  </si>
  <si>
    <t>mbakhtyar@flushinginternational.org</t>
  </si>
  <si>
    <t>+16466595476</t>
  </si>
  <si>
    <t>11355</t>
  </si>
  <si>
    <t>I don’t do social media</t>
  </si>
  <si>
    <t>BASHIR Ahmad</t>
  </si>
  <si>
    <t>bashirahmadbakhtyar786@gmail.com</t>
  </si>
  <si>
    <t>+19143127820</t>
  </si>
  <si>
    <t>144-80 Barclay ave</t>
  </si>
  <si>
    <t>https://api.typeform.com/responses/files/49186b9901c4cfa232404af869ec657831e4721d350de5d7ee8384290cc93b72/AE717DC3_A0E7_4AF2_984F_182E35EA8B76.jpeg</t>
  </si>
  <si>
    <t>Afghanitan</t>
  </si>
  <si>
    <t>Pashto and farsi</t>
  </si>
  <si>
    <t>Piloting</t>
  </si>
  <si>
    <t>Right now I am working in father Resturant in the kitchen. But before that I was working in a fast food store.</t>
  </si>
  <si>
    <t>Vaghun college</t>
  </si>
  <si>
    <t>Pilots, work in air port control tower, dentist, surgeon, electrition, and mechanic.</t>
  </si>
  <si>
    <t>Policing is very specific,</t>
  </si>
  <si>
    <t>Make new friends, Gain skills I can use at a future job, Get an internship, Learn about careers</t>
  </si>
  <si>
    <t>Reliable, strong, hardworking</t>
  </si>
  <si>
    <t>Patient, understanding others, and friendly</t>
  </si>
  <si>
    <t>https://api.typeform.com/responses/files/5f5c47c0a9307e4f2f06ad239c8cf9f749fe65e48afac357d61d6cdd4f68b9f3/809DF963_AC8F_454A_9223_0AD4A67FC12B.jpeg</t>
  </si>
  <si>
    <t>Proud because of all the support</t>
  </si>
  <si>
    <t>Muslim</t>
  </si>
  <si>
    <t>lkrnq8jel5ddylo36qgukblkrnq85grq</t>
  </si>
  <si>
    <t>Juliana</t>
  </si>
  <si>
    <t>Cáceres</t>
  </si>
  <si>
    <t>https://api.typeform.com/responses/files/99546b5aee45358f9fb1fd070c7a186774109621bdcb62e091147910250dcddc/1CA81D6D_E095_4667_A038_315CFDF2535E.jpeg</t>
  </si>
  <si>
    <t>julianac2019@flsuhinginternational.org</t>
  </si>
  <si>
    <t>11 60 167 st Fresh Meadows ny 11365</t>
  </si>
  <si>
    <t>Rosa Méndez</t>
  </si>
  <si>
    <t>lindamendez641@gmail.com</t>
  </si>
  <si>
    <t>60 11 167st Fresh Meadows ny 11365</t>
  </si>
  <si>
    <t>+19292354970</t>
  </si>
  <si>
    <t>https://api.typeform.com/responses/files/fb0fc8b59474a3c2839495994fd9529b52ec258b75da595a200e63ff23c11656/1A3A1884_7B5A_46E3_AD47_D397C5690BC5.jpeg</t>
  </si>
  <si>
    <t>I am from Spain, my parent are from Ecuador</t>
  </si>
  <si>
    <t>3 years</t>
  </si>
  <si>
    <t>Spanish and sometime English with my little brother</t>
  </si>
  <si>
    <t>Pshychology</t>
  </si>
  <si>
    <t>Psychology, nurse, social worker and Early Childhood Education Teacher</t>
  </si>
  <si>
    <t>Specific : I will improve in my my average of some classes that I am bad
Measurable: by 4
Attainable: from 80-90
Relevant: by applying the skills I learn from my Champions in my academic wowed and also do the best of me.
Timely, By the end of school year</t>
  </si>
  <si>
    <t>I am very honest, I always go with the truth, respectful because I like that they also respect me, and very helpful because I really like to help people when they need something</t>
  </si>
  <si>
    <t>Meet people, help others and be kind</t>
  </si>
  <si>
    <t>Yes, honestly, I want you to know that sometimes I really have a hard time studying sometimes, I get confused and sometimes I don't understand things, and I would need help to calmly explain about it since it will be something new for me.  But I really would like to be someone in life, to be able to have a stable job etc, and be well</t>
  </si>
  <si>
    <t>https://api.typeform.com/responses/files/a1c13d549a647612f50b88b9e3137b6092de4c83672589a3fe369a296a3306e6/2668E690_25CA_4E0D_A33B_702485613A61.jpeg</t>
  </si>
  <si>
    <t>Visa</t>
  </si>
  <si>
    <t>im9fvkq1illf6nim9f8buvczf9zcionn</t>
  </si>
  <si>
    <t>Allan</t>
  </si>
  <si>
    <t>Gonzalez</t>
  </si>
  <si>
    <t>https://api.typeform.com/responses/files/fdedaa24a7c5efd93e224f3c94794250376aee10ed7e67ce9988ed2ee37cd9e3/20210217_112652.jpg</t>
  </si>
  <si>
    <t>gonzalezsam022@gmail.com</t>
  </si>
  <si>
    <t>+15166147041</t>
  </si>
  <si>
    <t>37-07 147th St, Flushing, NY 11354</t>
  </si>
  <si>
    <t>IG  @s.allango_</t>
  </si>
  <si>
    <t>Miriam Estrada</t>
  </si>
  <si>
    <t>alisaestrada11@gmail.com</t>
  </si>
  <si>
    <t>37-07 147th st, Flushing, NY 11354</t>
  </si>
  <si>
    <t>+13479688274</t>
  </si>
  <si>
    <t>https://api.typeform.com/responses/files/65ea0fb40303e3c9d17337dde4c0a10e0ffce6168797386a244379e9ab0bd39a/Progress_Report_for_Allan_Gonzalez_2021_02_25_19_55__1_.pdf</t>
  </si>
  <si>
    <t>I don't know.</t>
  </si>
  <si>
    <t>Spanish with the Adults and English when I talk to a kid.</t>
  </si>
  <si>
    <t>Lawyer</t>
  </si>
  <si>
    <t>A job where I can apply my knowledge, a lawyer perhaps.</t>
  </si>
  <si>
    <t>Hunter college, Baruch college, York college.</t>
  </si>
  <si>
    <t>Engineering, architecture, forensic science.</t>
  </si>
  <si>
    <t>Specific: I want to decrease my unnecessary screen time,  Measurable: by 2 hours in all my social media, Attainable: because I already achieve my goal in two of my social media I can do it with the other three, Relevant: decreasing my unnecessary screen time will help me to have better control over my time, and use it in my academical development, Tiely: I want to achive my goal before summer starts.</t>
  </si>
  <si>
    <t>Get coaches and mentors who can help me with college and career, Gain skills I can use at a future job, Learn about careers, Learn about colleges, Make new friends</t>
  </si>
  <si>
    <t>Curious because if I find something interesting, I will try to learn about it as much as I can and find out the small details and secrets behind it. Perseverant because every time I start something new I don't give up easily, even if it is hard at the beginning, I prefer to spend extra time trying to master it before giving up. Patient because I consider myself as someone who won't get frustrated out of anything, I will take my time to do my work properly if needed.</t>
  </si>
  <si>
    <t>I focus on details, I persevere, I  take criticism as a way to improve my weaknesses.</t>
  </si>
  <si>
    <t>Nothing else.</t>
  </si>
  <si>
    <t>https://api.typeform.com/responses/files/4f5871ba9447e2b75d9765b5b3298bbcbd98fe2aff5d10822cf6fe0afc9045dd/Parent.Guardian_Consent_Form_1done_.pdf</t>
  </si>
  <si>
    <t>Connected.</t>
  </si>
  <si>
    <t>Christianity.</t>
  </si>
  <si>
    <t>TBD</t>
  </si>
  <si>
    <t>p9rb603vpjlp9rb6lr2xu72kh2d29tnh</t>
  </si>
  <si>
    <t>Joanna</t>
  </si>
  <si>
    <t>Veletanga</t>
  </si>
  <si>
    <t>https://api.typeform.com/responses/files/14c1249a5320f78cef10e127a77ad60f790bcfa29dd4154681d0906945cfb7b4/image.jpg</t>
  </si>
  <si>
    <t>j.veletanga2018@flushinginternational.org</t>
  </si>
  <si>
    <t>+17185943496</t>
  </si>
  <si>
    <t>59-37 van Doren st queens New York  11368</t>
  </si>
  <si>
    <t>Facebook Elizabeth vele Instagram elixx_m_</t>
  </si>
  <si>
    <t>Maria fajardo</t>
  </si>
  <si>
    <t>59-37 van doren st corona queens New York 11368</t>
  </si>
  <si>
    <t>+13479879260</t>
  </si>
  <si>
    <t>144-80 Barclay ave flushing ny 11355</t>
  </si>
  <si>
    <t>https://api.typeform.com/responses/files/79a3a6de310436a32d92b4282289726982fcdb3fa6e8a9e0ae1fb0ef1db87eb7/4F244641_A47B_486B_B6CC_43AF449F2528.png</t>
  </si>
  <si>
    <t>I am Hispanic</t>
  </si>
  <si>
    <t>Harvard college Purdue college</t>
  </si>
  <si>
    <t>Actuar nursing ingeniera lawyer teacher</t>
  </si>
  <si>
    <t>I want to be a nurse I will take 4 to 5 years I need study and experience from a nurse I will get to achieve that goal by applying the skills I learn from my champions in my academic work by the end of the school year</t>
  </si>
  <si>
    <t>Get coaches and mentors who can help me with college and career, Gain skills I can use at a future job, Get an internship, Learn about careers, Learn about colleges, Make new friends</t>
  </si>
  <si>
    <t>Friendly sometimes serious</t>
  </si>
  <si>
    <t>Respect responsibility enthusiasm</t>
  </si>
  <si>
    <t>https://api.typeform.com/responses/files/c23ec68fba82d3c6466e651b456fed07902777d65820b35161ed09e503c5612c/B245673A_2D5D_4C49_8801_B291EBFD2CAF.png</t>
  </si>
  <si>
    <t>Flushing New York</t>
  </si>
  <si>
    <t>c63rnvpw1i60x4izmnc63rnvvww2lkwg</t>
  </si>
  <si>
    <t>Luisa</t>
  </si>
  <si>
    <t>Rosario</t>
  </si>
  <si>
    <t>https://api.typeform.com/responses/files/e6360d2d4dad0865dedfedd652bc76b0c8d0779d2353a4410d3121d5222b2299/9BD86A89_8599_4E11_A29C_BC613155E2F5.jpeg</t>
  </si>
  <si>
    <t>luisa.rosario@flushinginternational.org</t>
  </si>
  <si>
    <t>+19294539003</t>
  </si>
  <si>
    <t>28-08 Brookhaven Ave 11691</t>
  </si>
  <si>
    <t>Samantha Ulloa</t>
  </si>
  <si>
    <t>Maria Marte</t>
  </si>
  <si>
    <t>119-59 27th Ave flushing, NY 11354</t>
  </si>
  <si>
    <t>+19296004096</t>
  </si>
  <si>
    <t>Flushing international school</t>
  </si>
  <si>
    <t>144-80 barclay ave, flushing, NY 11355</t>
  </si>
  <si>
    <t>https://api.typeform.com/responses/files/075419cbb3dab4708e342c4d594b00ea880cfd96e84bd1c9ae11f4325999e3c2/5F9A66B0_E592_44A2_873D_34C193C64F7A.png</t>
  </si>
  <si>
    <t>I was born in a different country and only one of my parents/guardians was born in America</t>
  </si>
  <si>
    <t>Criminology</t>
  </si>
  <si>
    <t>Street Vendor project is an organization that helps people who are sellers on the streets with their tickets, in court etc.</t>
  </si>
  <si>
    <t>John jay collage of criminal juste. La guardia community collage</t>
  </si>
  <si>
    <t>Art, vet, doctor, law</t>
  </si>
  <si>
    <t>My theme is to be able to go to college prepared to finish it and to be able to walk firmly to my career being an FBI detective</t>
  </si>
  <si>
    <t>Cheerful, sincere, optimistic</t>
  </si>
  <si>
    <t>Work under pressure, dependent, focus</t>
  </si>
  <si>
    <t>https://api.typeform.com/responses/files/32fb6f4da636bbf108b911925019d591e60cce5d9c2a44762b9312a53490b011/539AC81A_74AE_4951_A89D_2EA94B2343DD.png</t>
  </si>
  <si>
    <t>83</t>
  </si>
  <si>
    <t>kn6bksgc5mgs63vg1zkn6bkykn8gttoa</t>
  </si>
  <si>
    <t>Dariel</t>
  </si>
  <si>
    <t>Harrison</t>
  </si>
  <si>
    <t>7/17/0005</t>
  </si>
  <si>
    <t>https://api.typeform.com/responses/files/9670570123b7d204f0db08c5f6631ed5b1436ab97ebef8e3c19098f606ee6fe5/IMG_3882.PNG</t>
  </si>
  <si>
    <t>lovely17auntie@gmail.com</t>
  </si>
  <si>
    <t>+19294424179</t>
  </si>
  <si>
    <t>129-19 Harry Douglas Way, Jamaica Queens,Ny,11413</t>
  </si>
  <si>
    <t>Walter Harrison</t>
  </si>
  <si>
    <t>129-19 Harry Douglas Way, Jamaica Queens,11413</t>
  </si>
  <si>
    <t>https://api.typeform.com/responses/files/43a8af63336ddd3ca9542cc1e188141e00572b46c8254a5695700efeeedcb6d0/ReportCard__3_.pdf</t>
  </si>
  <si>
    <t>African American</t>
  </si>
  <si>
    <t>mental health practitioner</t>
  </si>
  <si>
    <t>Columbia ,NYU, Clark Atlanta University, University of Houston</t>
  </si>
  <si>
    <t>Nursing,Something with math</t>
  </si>
  <si>
    <t>What I will do to pursue goals are to get better grades in school and stay focus.</t>
  </si>
  <si>
    <t>Learn about colleges, Learn about careers, Gain skills I can use at a future job, Get an internship, Get coaches and mentors who can help me with college and career</t>
  </si>
  <si>
    <t>Hardworking, Friendly, Patient</t>
  </si>
  <si>
    <t>My socializing skills, Being a team player, Being Hardworking</t>
  </si>
  <si>
    <t>My horoscope is cancer, so im very emotional</t>
  </si>
  <si>
    <t>https://api.typeform.com/responses/files/ae77bf7c5aa87b2a18ad3c233a3e47bef9bac44f302b653a9c8785c068132a96/Copy_of_Parent.Guardian_Consent_Form.pdf</t>
  </si>
  <si>
    <t>B+</t>
  </si>
  <si>
    <t>21qwq1hqwe11k9u9ofqx21qwq1hd6ops</t>
  </si>
  <si>
    <t>https://api.typeform.com/responses/files/173f06ee57802334df52f297c25a7b3128fe84aed5b052ca2f86547485f35f00/154815544_288807082670423_5909238493511609801_n.jpg</t>
  </si>
  <si>
    <t>640 Wales Avenue, Bronx, NY, 10455</t>
  </si>
  <si>
    <t>+13477686529</t>
  </si>
  <si>
    <t>345 Brook Ave, The Bronx, NY, 10454</t>
  </si>
  <si>
    <t>https://api.typeform.com/responses/files/76cc60b3b4c6d525bdada41f926c9483d8217a6119b6c9b41fe1f5566bf42b62/abd8a9a92f50d51b95c90aa465848765.jpg</t>
  </si>
  <si>
    <t>2 years</t>
  </si>
  <si>
    <t>I worked in an art supplies store, I got this job because I saw a vacant.</t>
  </si>
  <si>
    <t>Columbia Univesity.</t>
  </si>
  <si>
    <t>Aviation, Interior Design</t>
  </si>
  <si>
    <t>I will increase my average to 5 percent in each class</t>
  </si>
  <si>
    <t>Respectful because I always respect every single person around me and I also hope that the people respect me, Serious because I like to concentrate on my own things and Quit because I like a calm environment</t>
  </si>
  <si>
    <t>Organized, Patient and Determined</t>
  </si>
  <si>
    <t>https://api.typeform.com/responses/files/7a4ed73ed0601116dffd1a5914ffa2e6b113859c3b8a5b2c715acda75bb23ee7/Parent.Guardian_Consent_Form.docx</t>
  </si>
  <si>
    <t>z4o6xgn0mjsg26m8fyz4o65ufdiuzpfs</t>
  </si>
  <si>
    <t>Amir</t>
  </si>
  <si>
    <t>Soman</t>
  </si>
  <si>
    <t>8/21/0003</t>
  </si>
  <si>
    <t>https://api.typeform.com/responses/files/28342b7f074547efb355aa8b1fa81b5df9f44603c68f4583aca15a41e88de97d/1CB0231E_572B_49EC_8A54_4D68423A0571.jpeg</t>
  </si>
  <si>
    <t>amirsoman356@gmail.com</t>
  </si>
  <si>
    <t>+15166681872</t>
  </si>
  <si>
    <t>157-23 129th ave, queens new york, 11434</t>
  </si>
  <si>
    <t>dont have facebook</t>
  </si>
  <si>
    <t>Iesha Stephenson</t>
  </si>
  <si>
    <t>Amirakeel35@gmail.com</t>
  </si>
  <si>
    <t>157-23 129th ave, Qeens new york, 11434</t>
  </si>
  <si>
    <t>+13472796615</t>
  </si>
  <si>
    <t>Qeens prepatory academy</t>
  </si>
  <si>
    <t>143-10 Springfield Blvd, queens, NY 11434</t>
  </si>
  <si>
    <t>https://api.typeform.com/responses/files/27d679d4f5c3d49cad9f3705a8b69cfeaf7d485044e5362878a71ed5caf69cad/IMG_0149.jpeg</t>
  </si>
  <si>
    <t>I am Jamaican</t>
  </si>
  <si>
    <t>none of the above</t>
  </si>
  <si>
    <t>Bail Bond Agent Aka Bounty Hunter</t>
  </si>
  <si>
    <t>Being A Bail Bond Agent on the field</t>
  </si>
  <si>
    <t>skip</t>
  </si>
  <si>
    <t>business, NFL</t>
  </si>
  <si>
    <t>i will succeed in my goal to reach where i want to be, i will increase my GPA for a better chance, it will increase from a 3 to 3.5, this will happen by aplying the skills that i've learned, by the time i graduate</t>
  </si>
  <si>
    <t>nice, calm, quiet</t>
  </si>
  <si>
    <t>strength, good mindset,</t>
  </si>
  <si>
    <t>i want my family to live easy i have to succeed in my future job by doing this because its something that i really want to do</t>
  </si>
  <si>
    <t>https://api.typeform.com/responses/files/de229956c1c978a7f06609066cd78832229e7b246e04ab59417ab3abcc1397ff/Copy_of_Parent.Guardian_Consent_Form.docx</t>
  </si>
  <si>
    <t>c8jbdnkhy3ul8rbly7c8jbdjgkcn02b7</t>
  </si>
  <si>
    <t>Jahzion</t>
  </si>
  <si>
    <t>Plummer</t>
  </si>
  <si>
    <t>https://api.typeform.com/responses/files/397e062703b2604460e26824cee83fe2bc4c80ef9e1d4dd062b50ad18c5a2384/user.JPG</t>
  </si>
  <si>
    <t>jahzionplummer@gmail.com</t>
  </si>
  <si>
    <t>+15167276886</t>
  </si>
  <si>
    <t>134 22 220 new york laurelton 11413</t>
  </si>
  <si>
    <t>dont have any</t>
  </si>
  <si>
    <t>Sherice hall</t>
  </si>
  <si>
    <t>rosedale42@icloud.com</t>
  </si>
  <si>
    <t>same</t>
  </si>
  <si>
    <t>+15167276723</t>
  </si>
  <si>
    <t>https://api.typeform.com/responses/files/34cdb4f131c7aed6d27057e8940685b133f3b7ab668d9dac0063ba830a1bdbef/ReportCard.pdf</t>
  </si>
  <si>
    <t>english,patios</t>
  </si>
  <si>
    <t>Label Ceo</t>
  </si>
  <si>
    <t>ohio state,northwestern,marshall.</t>
  </si>
  <si>
    <t>Sports career,photography</t>
  </si>
  <si>
    <t>I will make my average quite exemplar by 5 points from a 2.7 to a 3.2 by applying the skills I shall learn in this program by the commenment of the school year</t>
  </si>
  <si>
    <t>Charismatic,Dashing,Humble</t>
  </si>
  <si>
    <t>determination</t>
  </si>
  <si>
    <t>https://api.typeform.com/responses/files/aa6f2becf62efba680be026397f06875df64dfc1b32f1d93678e0da439391836/Copy_of_Parent.Guardian_Consent_Form.docx</t>
  </si>
  <si>
    <t>christian</t>
  </si>
  <si>
    <t>2.7</t>
  </si>
  <si>
    <t>hf6v1bxhpd15drc5t655rmhf6v1bx9x2</t>
  </si>
  <si>
    <t>D'marjia</t>
  </si>
  <si>
    <t>Rankine</t>
  </si>
  <si>
    <t>https://api.typeform.com/responses/files/9344e4318e936bc078d02ef171c795cdb417b2183b3af74d243e8974e7ab0d6b/Snapchat_880339627.jpg</t>
  </si>
  <si>
    <t>dmarjiar@gmail.com</t>
  </si>
  <si>
    <t>184-03 North Conduit avenue, Springfield Garden, Queens New York, 11413</t>
  </si>
  <si>
    <t>non</t>
  </si>
  <si>
    <t>Suwayne Rankine</t>
  </si>
  <si>
    <t>Kingarankine33@gmail.com</t>
  </si>
  <si>
    <t>184-03 North Conduit Avenue, Springfield Garden, Queens New York, 11413</t>
  </si>
  <si>
    <t>+16468184678</t>
  </si>
  <si>
    <t>https://api.typeform.com/responses/files/73c4e1bac17fa69d360aa680e276773c353090879dd6bf285b8e7a3ea81a58bd/ReportCard__3_.pdf</t>
  </si>
  <si>
    <t>15 years ago</t>
  </si>
  <si>
    <t>black lady / Jamaican</t>
  </si>
  <si>
    <t>Pathologist</t>
  </si>
  <si>
    <t>doctor</t>
  </si>
  <si>
    <t>I don't know any yet</t>
  </si>
  <si>
    <t>Singer</t>
  </si>
  <si>
    <t>Specific: I will Improve My overall average, Measurable: by has much as I can</t>
  </si>
  <si>
    <t>Gain skills I can use at a future job, Get coaches and mentors who can help me with college and career, Get an internship, Learn about careers, Learn about colleges, Make new friends</t>
  </si>
  <si>
    <t>Dedicated, Smiley and Hardworking</t>
  </si>
  <si>
    <t>I am good at math, Good with people and Brave</t>
  </si>
  <si>
    <t>I would like to have interest in acting and I will work really hard to prove myself</t>
  </si>
  <si>
    <t>https://api.typeform.com/responses/files/83052a8f1a470f772279901604d63e6f9fcf129d9ef2e9225a639c8c1128f62e/Parent.Guardian_Consent_Form.docx</t>
  </si>
  <si>
    <t>cjxu97kbzyq0x1fu8oscjxutk0y5vwah</t>
  </si>
  <si>
    <t>Ben Junior</t>
  </si>
  <si>
    <t>Polynice</t>
  </si>
  <si>
    <t>https://api.typeform.com/responses/files/97824fa09efa8ffac67d4bcc2e7229a5bb9bfc8d95f3c732c32d5b1501038f5f/157726559_1512396095637845_587213178243130950_n.jpg</t>
  </si>
  <si>
    <t>polynicebenjunior90@gmail.com</t>
  </si>
  <si>
    <t>+15163953620</t>
  </si>
  <si>
    <t>179-04 Anderson Rd,Queens NY 11434</t>
  </si>
  <si>
    <t>@polyniceb on instagram</t>
  </si>
  <si>
    <t>Polynice Robens</t>
  </si>
  <si>
    <t>jjay58178@gmail.com</t>
  </si>
  <si>
    <t>179-04 Anderson Rd ,Queens 11434</t>
  </si>
  <si>
    <t>Queens Prep Academy High school</t>
  </si>
  <si>
    <t>Springfield Boulevard</t>
  </si>
  <si>
    <t>https://api.typeform.com/responses/files/c51fed8ce4f4a2c9659c945479e25cd6b6c29c3b59fa9428498b4cd07c4ced3a/ReportCard__3___1_.pdf</t>
  </si>
  <si>
    <t>3 years ago</t>
  </si>
  <si>
    <t>entrepreneur</t>
  </si>
  <si>
    <t>alabama, clemson, lsu,miama heat, Oklohama sooner,syracuse,</t>
  </si>
  <si>
    <t>bussiness,nfl  player,doctor,</t>
  </si>
  <si>
    <t>My goal is specific because i see  a lot of peoples on the internet start with $0 then grow up to make millions. They said they spend like 30 minutes on the internet to check stuff that they invest in ,or stock market.That a easy life for everyone who want to study bussiness</t>
  </si>
  <si>
    <t>perseverance,understandable,work</t>
  </si>
  <si>
    <t>very competitive,patiant</t>
  </si>
  <si>
    <t>https://api.typeform.com/responses/files/71ba623cf6ed8c66aee302aa705be0af51177730ae1f8f0b0c1124980217667d/parent.docx</t>
  </si>
  <si>
    <t>christianity</t>
  </si>
  <si>
    <t>1.7</t>
  </si>
  <si>
    <t>26gtkq976gafkwmluvre1k26gtkq9jje</t>
  </si>
  <si>
    <t>Iyana</t>
  </si>
  <si>
    <t>Rankin</t>
  </si>
  <si>
    <t>https://api.typeform.com/responses/files/8001a7da8198137bd04aeb5f4692bcbce6416a178b3fbaa9a2b899c96fca6e1e/IMG_20210312_083458.jpg</t>
  </si>
  <si>
    <t>irankin8889@chcprep.net</t>
  </si>
  <si>
    <t>+13475456409</t>
  </si>
  <si>
    <t>636 East 96 Street Brooklyn, NY 11236</t>
  </si>
  <si>
    <t>My Instagram is: treasures.art</t>
  </si>
  <si>
    <t>Donna Kornegay</t>
  </si>
  <si>
    <t>Donnakornegay33@gmail.com</t>
  </si>
  <si>
    <t>636 East 96 Street, Brooklyn, NY 11236</t>
  </si>
  <si>
    <t>+13475457951</t>
  </si>
  <si>
    <t>999 Jamaica Ave 11208</t>
  </si>
  <si>
    <t>https://api.typeform.com/responses/files/0ed4281fa91f1ebdee030d913afab87d957bf854ddaa4aa7f38d19792fde4f96/Rankin.Iyana_transcript.pdf</t>
  </si>
  <si>
    <t>I'm not really sure, I just want to work in an art field.</t>
  </si>
  <si>
    <t>I worked at a summer camp in NJ. I was in the arts and theater department. I got the job through someone I knew. I also had a job with SYEP. I learned how to produce and market beats. I got the job through my school.</t>
  </si>
  <si>
    <t>University at Albany, Sonoma State University, University of Georgia, University of Southern California,</t>
  </si>
  <si>
    <t>Fine artists, interior designer, multimedia artists and animator</t>
  </si>
  <si>
    <t>I will improve my skills with drawing anatomy and develop my own art style by practicing 3 times a week and by the end of next year I will have improved.</t>
  </si>
  <si>
    <t>Gain skills I can use at a future job, Learn about colleges, Get coaches and mentors who can help me with college and career, Make new friends, Learn about careers</t>
  </si>
  <si>
    <t>shy, willing, lazy. I chose these words because when I first meet people I'm very quite, I don't like to do stuff and I don't really go outside often but I'm willing to what I need to do to get to where I want to be in life.</t>
  </si>
  <si>
    <t>I am good at drawing, I'm hard working, and I can work well with others.</t>
  </si>
  <si>
    <t>I want improve my art skills and be able to use different art styles and also expand my choice of careers.</t>
  </si>
  <si>
    <t>https://api.typeform.com/responses/files/863e2b876117cdb11c7d921dd41dc8217f4180159226623c48d1de56acd8e1f8/Parent.Guardian_Consent_Form.pdf</t>
  </si>
  <si>
    <t>93.01%</t>
  </si>
  <si>
    <t>6begvveg23ep4qtm6begvo0d9cbjjwy0</t>
  </si>
  <si>
    <t>Tamema</t>
  </si>
  <si>
    <t>tjahan2228@clintonhs.net</t>
  </si>
  <si>
    <t>+19293040071</t>
  </si>
  <si>
    <t>Bronx NY 10467</t>
  </si>
  <si>
    <t>Md F Haque</t>
  </si>
  <si>
    <t>jahantamema@gmail.com</t>
  </si>
  <si>
    <t>Dewitt clinton high school</t>
  </si>
  <si>
    <t>100 W Mosholu Pkwy S, Bronx, NY 10468</t>
  </si>
  <si>
    <t>about 3 years</t>
  </si>
  <si>
    <t>Bangali</t>
  </si>
  <si>
    <t>Stanford University,Harvard University,Massachusetts Institute of Technologe,Columbia Universite,Cornell Universite,Rice University,University of Floride,Barnard College</t>
  </si>
  <si>
    <t>teacher,Doctor,engineering, cosmetology chemist,Banker</t>
  </si>
  <si>
    <t>I geol  to doing well In my math test I will be able to do that by doing finish my lesson on time</t>
  </si>
  <si>
    <t>Calm,hard worker,helping other.</t>
  </si>
  <si>
    <t>helping other,speaking up,and trying best</t>
  </si>
  <si>
    <t>nope</t>
  </si>
  <si>
    <t>Safe and Connected</t>
  </si>
  <si>
    <t>95.06</t>
  </si>
  <si>
    <t>c6t3rgssb8yx92xyc6t35f72d5t8s99l</t>
  </si>
  <si>
    <t>An</t>
  </si>
  <si>
    <t>Nguyen</t>
  </si>
  <si>
    <t>an.nguyen@ellisprep.com</t>
  </si>
  <si>
    <t>+13476973565</t>
  </si>
  <si>
    <t>the Bronx, New York city 10468</t>
  </si>
  <si>
    <t>Facebook, Instagram</t>
  </si>
  <si>
    <t>Binh Nguyen</t>
  </si>
  <si>
    <t>binhnguyen0387@gmail.com</t>
  </si>
  <si>
    <t>+13473433567</t>
  </si>
  <si>
    <t>Ellis</t>
  </si>
  <si>
    <t>99 Terrace View Avenue, Bronx, NY 10463</t>
  </si>
  <si>
    <t>Vietnam</t>
  </si>
  <si>
    <t>5 years</t>
  </si>
  <si>
    <t>I am an Asian.</t>
  </si>
  <si>
    <t>Vietnamese</t>
  </si>
  <si>
    <t>The stability</t>
  </si>
  <si>
    <t>NYU University</t>
  </si>
  <si>
    <t>Business, create and edit video, travel</t>
  </si>
  <si>
    <t>I will improve my language first, because my English very bad now. To do that, I think I must usually go out, meet and use English to communicate.</t>
  </si>
  <si>
    <t>Learn about careers, Make new friends</t>
  </si>
  <si>
    <t>I think I'm a person that, or I don't do something, and if I do, I'll try my best.</t>
  </si>
  <si>
    <t>I have two job I love. I love business too, but I feel don't safely about my life. And I like computer science, to find a goob job after graduated.</t>
  </si>
  <si>
    <t>Payment of 95.00 from Binh T Nguyen with card ending in 8451 was successful</t>
  </si>
  <si>
    <t>I still haven't GPA at the end of the year</t>
  </si>
  <si>
    <t>fexi7p3uja48f8lz7fexitdh16iqc5xw</t>
  </si>
  <si>
    <t>Micaias</t>
  </si>
  <si>
    <t>Infante</t>
  </si>
  <si>
    <t>obedm695@gmail.com</t>
  </si>
  <si>
    <t>+19143493099</t>
  </si>
  <si>
    <t>268 west256th st.</t>
  </si>
  <si>
    <t>Nadiye Gonzalez</t>
  </si>
  <si>
    <t>Nadiyegonzalez@gmail.com</t>
  </si>
  <si>
    <t>268 west 256th st.</t>
  </si>
  <si>
    <t>+13474886278</t>
  </si>
  <si>
    <t>ELLIS</t>
  </si>
  <si>
    <t>231st</t>
  </si>
  <si>
    <t>dominican and jewish</t>
  </si>
  <si>
    <t>english &amp; spanish</t>
  </si>
  <si>
    <t>real estate, architecure, STEM, &amp; computer programming</t>
  </si>
  <si>
    <t>a family friends buisness</t>
  </si>
  <si>
    <t>NYU, columbia, rutgers, Umiami, UCLA, Stanford, USC</t>
  </si>
  <si>
    <t>real estate, archietcture, stem, computer programming, space</t>
  </si>
  <si>
    <t>give me 5 years</t>
  </si>
  <si>
    <t>Get coaches and mentors who can help me with college and career, Gain skills I can use at a future job, Learn about careers, Get an internship</t>
  </si>
  <si>
    <t>hard-working, passionate, intelligent</t>
  </si>
  <si>
    <t>very excited</t>
  </si>
  <si>
    <t>judaism</t>
  </si>
  <si>
    <t>idk</t>
  </si>
  <si>
    <t>vch2prf1hme21fvvi8of07lj6vi97tbx</t>
  </si>
  <si>
    <t>Djaka</t>
  </si>
  <si>
    <t>Kante</t>
  </si>
  <si>
    <t>Djaka.kante@Ellisprep.com</t>
  </si>
  <si>
    <t>+16465087683</t>
  </si>
  <si>
    <t>NY, Bronx 963 sherman ave 10456</t>
  </si>
  <si>
    <t>facebook: Djaka Kante   Instangram:faiza _johar1  Snapchat:Djaka_off</t>
  </si>
  <si>
    <t>Mariam Kante</t>
  </si>
  <si>
    <t>MariamKante49@yahoo.com</t>
  </si>
  <si>
    <t>+13475899714</t>
  </si>
  <si>
    <t>Ellis Preparatory Academy</t>
  </si>
  <si>
    <t>99 Terrace view Avenue</t>
  </si>
  <si>
    <t>Ivory Coast west Africa</t>
  </si>
  <si>
    <t>my father was 2007 if I remember correctly my mother 2020</t>
  </si>
  <si>
    <t>French, Mandingo sometime English</t>
  </si>
  <si>
    <t>marketing</t>
  </si>
  <si>
    <t>business marketing or doctor surgeon</t>
  </si>
  <si>
    <t>work in  toys factory, surgeon, business</t>
  </si>
  <si>
    <t>Timely: by the end of the school year)</t>
  </si>
  <si>
    <t>Learn about colleges, Learn about careers, Make new friends, Gain skills I can use at a future job, Get coaches and mentors who can help me with college and career, Get an internship</t>
  </si>
  <si>
    <t>Fantastic, have the career I want and go to college because these are my goals and want to realize them</t>
  </si>
  <si>
    <t>Teamwork  collaboration and  problem solving.</t>
  </si>
  <si>
    <t>I talk a lot but sometime not</t>
  </si>
  <si>
    <t>see my Transcript</t>
  </si>
  <si>
    <t>uxwkfg48xvnqsv9l5buxwkf6jo6y9x3k</t>
  </si>
  <si>
    <t>Denuar</t>
  </si>
  <si>
    <t>Batiz</t>
  </si>
  <si>
    <t>denuarbatiz@gmail.com</t>
  </si>
  <si>
    <t>+13473604721</t>
  </si>
  <si>
    <t>5731 Broadway (New York) Bronx (10463)</t>
  </si>
  <si>
    <t>facebook= denuarbatiz</t>
  </si>
  <si>
    <t>Larisa Bastiz</t>
  </si>
  <si>
    <t>larisabatiz34@gmail.com</t>
  </si>
  <si>
    <t>5731Broadway (New york) zip 10463</t>
  </si>
  <si>
    <t>+18322662589</t>
  </si>
  <si>
    <t>Ellis Preparatory Acadamy</t>
  </si>
  <si>
    <t>99 Terrace view avenue Bronx NY 10463</t>
  </si>
  <si>
    <t>2 years ago</t>
  </si>
  <si>
    <t>something about Entertainment like soccer.</t>
  </si>
  <si>
    <t>fishing</t>
  </si>
  <si>
    <t>arts,Architecture,law,Business,Health Sciencies/medicine</t>
  </si>
  <si>
    <t>I want to progress because I want to be someone better in life</t>
  </si>
  <si>
    <t>friendly,respectful,cheerful because that's all my friend and family said.</t>
  </si>
  <si>
    <t>intelligence,capacity,agility</t>
  </si>
  <si>
    <t>i don't know</t>
  </si>
  <si>
    <t>nioicehrsky90y80gunioico7smp1q5b</t>
  </si>
  <si>
    <t>Rasel</t>
  </si>
  <si>
    <t>Ali</t>
  </si>
  <si>
    <t>raselali833@gmail.com</t>
  </si>
  <si>
    <t>+13473185044</t>
  </si>
  <si>
    <t>1349 Taylor Avenue, Bronx NY, 10472</t>
  </si>
  <si>
    <t>My Instagram handles are : epicmaster_photos and raselali_</t>
  </si>
  <si>
    <t>Lalita Begum</t>
  </si>
  <si>
    <t>+13477013463</t>
  </si>
  <si>
    <t>International community high school</t>
  </si>
  <si>
    <t>345 Brook Avenue</t>
  </si>
  <si>
    <t>SPEAKHIRE Ambassador</t>
  </si>
  <si>
    <t>We came from Bangladesh</t>
  </si>
  <si>
    <t>I speak Bangla at home</t>
  </si>
  <si>
    <t>Software development</t>
  </si>
  <si>
    <t>I am not sure yet</t>
  </si>
  <si>
    <t>BMCC, BCC, Binghamton, University of Potsdam Hunter College, City Tech</t>
  </si>
  <si>
    <t>Software engineering, Media, nurse, artist, and editor</t>
  </si>
  <si>
    <t>I will improve my grade by 10score, from 85 to 95, by reading, writing, and completing  the work on time, at the end of this semester.</t>
  </si>
  <si>
    <t>Innocent, kind, and eager. I like to be a easy person to meet new people. I am kind because I don’t bully people based on their looks, ethnicity or anything I like to be nice with everyone around me. And I am also eager to learn and hear from different people.</t>
  </si>
  <si>
    <t>Public speaking, producing interview, and presentation</t>
  </si>
  <si>
    <t>One thing I would like to let you guys know is that I am not 100% sure that I want be a software developer. But this does fall in the computer science major so it may in the future. Basically I am not sure what career I wanna be in specifically!</t>
  </si>
  <si>
    <t>85.17</t>
  </si>
  <si>
    <t>6ye7qyku42fqiav33ur6ye7qykon6kek</t>
  </si>
  <si>
    <t>Oceanne</t>
  </si>
  <si>
    <t>Compaore</t>
  </si>
  <si>
    <t>oceannecompaore@gmail.com</t>
  </si>
  <si>
    <t>+19295327299</t>
  </si>
  <si>
    <t>932 bronx park south,  Appartement 5A, bronx,10460,New York</t>
  </si>
  <si>
    <t>Oceanne compaore</t>
  </si>
  <si>
    <t>Zalissa ouedraogo</t>
  </si>
  <si>
    <t>zalissa.ouedraogo@gmail.com</t>
  </si>
  <si>
    <t>932 bronx park south,Appartement 5A, bronx,New York  10460</t>
  </si>
  <si>
    <t>+19292419675</t>
  </si>
  <si>
    <t>99Terrace view avenue #4B bronx N.Y 10463</t>
  </si>
  <si>
    <t>Black, moose, Burkinabè</t>
  </si>
  <si>
    <t>I want to become a doctor</t>
  </si>
  <si>
    <t>Yes</t>
  </si>
  <si>
    <t>I want to help the sick people I hope I wanna realize this.</t>
  </si>
  <si>
    <t>I'm generous,intelligent,and  kind</t>
  </si>
  <si>
    <t>I need to learn more English, and learn more about the career.</t>
  </si>
  <si>
    <t>No nothing for the moment</t>
  </si>
  <si>
    <t>9fe89v0kgwzprbc649fe89dj7bc8lbs2</t>
  </si>
  <si>
    <t>oumou</t>
  </si>
  <si>
    <t>oumou.diallo@ellisprep.com</t>
  </si>
  <si>
    <t>+16466675524</t>
  </si>
  <si>
    <t>2839 8avenue Fredrick Douglass blvd #4B 10039</t>
  </si>
  <si>
    <t>FB- oumou koulsoumi diallo, IG- oumou koulsoumi diallo</t>
  </si>
  <si>
    <t>oumar diallo</t>
  </si>
  <si>
    <t>Odiallo1962@gmail.com</t>
  </si>
  <si>
    <t>2839 8avenue Fredrick Douglass blvd #4B Harlem N.Y 10039</t>
  </si>
  <si>
    <t>+13474473075</t>
  </si>
  <si>
    <t>Ellis Prepartory Accademy</t>
  </si>
  <si>
    <t>99 Terrace view Avenue Bronx, N.Y 10463</t>
  </si>
  <si>
    <t>west Africa ( Guinea)</t>
  </si>
  <si>
    <t>2001</t>
  </si>
  <si>
    <t>I'm a black woman origin of african</t>
  </si>
  <si>
    <t>Doctor( medicine)</t>
  </si>
  <si>
    <t>N.Y University, Baruch College, Columbia University</t>
  </si>
  <si>
    <t>Business, , Architecture and engineering Finance, Science and technology</t>
  </si>
  <si>
    <t>Timely</t>
  </si>
  <si>
    <t>Get an internship, Get coaches and mentors who can help me with college and career, Learn about colleges, Gain skills I can use at a future job</t>
  </si>
  <si>
    <t>curious, ambitious and passionate her three things are part of my personality because I have ambition and very curious about things to discover more.</t>
  </si>
  <si>
    <t>Brave, courageous and strong.</t>
  </si>
  <si>
    <t>almost everything but over time you will find out more about me.</t>
  </si>
  <si>
    <t>safe, I belong</t>
  </si>
  <si>
    <t>it is on my report card transcript.</t>
  </si>
  <si>
    <t>62yroxqn1m93l4u62y1ngz5hmva53o0c</t>
  </si>
  <si>
    <t>Thanwer</t>
  </si>
  <si>
    <t>Mahmud</t>
  </si>
  <si>
    <t>thanwer.mahmud@gmail.com</t>
  </si>
  <si>
    <t>+16469057352</t>
  </si>
  <si>
    <t>1257 ward avenue bronx. 10472</t>
  </si>
  <si>
    <t>facebook, news portal online.</t>
  </si>
  <si>
    <t>Mohammed hussain</t>
  </si>
  <si>
    <t>mohammedhussain.personal@gmail.com</t>
  </si>
  <si>
    <t>345 brook avenue bronx. 10454</t>
  </si>
  <si>
    <t>I work as a pharmacy technician. I got that job true research online</t>
  </si>
  <si>
    <t>York college, university of buffalo. University of albany. Bronx community college. LIU.</t>
  </si>
  <si>
    <t>Automotive engineer. P D. Pharmacist. Nursing. Airport manager.</t>
  </si>
  <si>
    <t>I will provide latter</t>
  </si>
  <si>
    <t>Pleasant.  happy</t>
  </si>
  <si>
    <t>woking on hand. working with customers. and getting customerś attention quick. peer mediting.</t>
  </si>
  <si>
    <t>gi0qnu4dwm3t2ulhiynabv9gi0qnu4dw</t>
  </si>
  <si>
    <t>7/4/0004</t>
  </si>
  <si>
    <t>Claribelisa.gonzalez@ichsbronx.org</t>
  </si>
  <si>
    <t>138str brook avenue 10454</t>
  </si>
  <si>
    <t>Elixa Gonxalex</t>
  </si>
  <si>
    <t>Blandina Gonzalez</t>
  </si>
  <si>
    <t>Blandina.gonzalez@gmail.com</t>
  </si>
  <si>
    <t>International Community High school</t>
  </si>
  <si>
    <t>138 str bronx 10454</t>
  </si>
  <si>
    <t>Counselor</t>
  </si>
  <si>
    <t>A Counselor</t>
  </si>
  <si>
    <t>Hoston</t>
  </si>
  <si>
    <t>Hoston college</t>
  </si>
  <si>
    <t>90</t>
  </si>
  <si>
    <t>Learn about careers</t>
  </si>
  <si>
    <t>listening because i like to learn new idea.</t>
  </si>
  <si>
    <t>Friendly, patience, responsible.</t>
  </si>
  <si>
    <t>For now no</t>
  </si>
  <si>
    <t>Safe, Supported, Connected.</t>
  </si>
  <si>
    <t>3.03</t>
  </si>
  <si>
    <t>f4w6hm9pbpoh2cqs34f4w6hm9miilw9z</t>
  </si>
  <si>
    <t>Ofelia (Sara)</t>
  </si>
  <si>
    <t>Lopez</t>
  </si>
  <si>
    <t>ofelia.lopez@ellisprep.com</t>
  </si>
  <si>
    <t>+13474315802</t>
  </si>
  <si>
    <t>8 west farms square plaza apt 1f bronx NY 10460</t>
  </si>
  <si>
    <t>Ofelia.lopez@ellisprep.com</t>
  </si>
  <si>
    <t>8 w farms square plaza #1F bronx NY 10560</t>
  </si>
  <si>
    <t>+13479816198</t>
  </si>
  <si>
    <t>99 Terrace View Avenue</t>
  </si>
  <si>
    <t>HONDURAS</t>
  </si>
  <si>
    <t>I take care of my brother's girl</t>
  </si>
  <si>
    <t>doctors, police officer.arts</t>
  </si>
  <si>
    <t>My goal is to improve my  grades from NX to High Proficiency by studying more by next school year</t>
  </si>
  <si>
    <t>Helpful , happy , because I like help others person,</t>
  </si>
  <si>
    <t>smart, learn fast, active</t>
  </si>
  <si>
    <t>see my transcript</t>
  </si>
  <si>
    <t>hbcsyw4y1cylkdv4bc9hbcsyw4oytxa7</t>
  </si>
  <si>
    <t>Annel</t>
  </si>
  <si>
    <t>maria.mejia@ellisprep.com</t>
  </si>
  <si>
    <t>+13478433941</t>
  </si>
  <si>
    <t>99 Audobon Avenue #4B Bronx, N.Y. 10463</t>
  </si>
  <si>
    <t>Fb-ELLISSTATEOFMIND</t>
  </si>
  <si>
    <t>Dominga Tineo</t>
  </si>
  <si>
    <t>ms.annel@ellisprep.com</t>
  </si>
  <si>
    <t>99 Terrace View Avenue #4B Bronx, N.Y. 10463</t>
  </si>
  <si>
    <t>I am garifuna</t>
  </si>
  <si>
    <t>I work in a restuarant. I am a waitress. I applied for the job.</t>
  </si>
  <si>
    <t>nurse</t>
  </si>
  <si>
    <t>My goal is to complete this internship successfully by the end of the summer.</t>
  </si>
  <si>
    <t>Hard-worker be have a job and also attend school, Patient and Kind</t>
  </si>
  <si>
    <t>Thank you.</t>
  </si>
  <si>
    <t>See my Transcript /Report Card</t>
  </si>
  <si>
    <t>l7j61ndb6aky1irzzl7j616yp2a2bcf1</t>
  </si>
  <si>
    <t>Rafialy</t>
  </si>
  <si>
    <t>rafialy.reyes@ellisprep.com</t>
  </si>
  <si>
    <t>+19175002916</t>
  </si>
  <si>
    <t>2515 Olinville Ave apt 3D Bronx NY ,10467</t>
  </si>
  <si>
    <t>No one</t>
  </si>
  <si>
    <t>Zoila Reyes</t>
  </si>
  <si>
    <t>zoila.acevedo@gmail.com</t>
  </si>
  <si>
    <t>2515 Olinville Ave apt 3D Bronx 10467</t>
  </si>
  <si>
    <t>+19143350264</t>
  </si>
  <si>
    <t>2 and 6 months</t>
  </si>
  <si>
    <t>I’m Dominican</t>
  </si>
  <si>
    <t>radiologist</t>
  </si>
  <si>
    <t>I work on Mc Donald’s and I find this job because my friend talk me</t>
  </si>
  <si>
    <t>I want a colleges in New York</t>
  </si>
  <si>
    <t>Pilot  radiologist</t>
  </si>
  <si>
    <t>Be radiologist</t>
  </si>
  <si>
    <t>I am funny smart and hardworking</t>
  </si>
  <si>
    <t>teaching me about how I can achieve my profession and in learning</t>
  </si>
  <si>
    <t>I am someone who is willing to learn about everything that matters to me</t>
  </si>
  <si>
    <t>1y7qu1dwnp70w2zip1y7qzt8heyc6ehd</t>
  </si>
  <si>
    <t>Michael Steven</t>
  </si>
  <si>
    <t>Paredes Franco</t>
  </si>
  <si>
    <t>steven.paredes@ichsbronx.org</t>
  </si>
  <si>
    <t>+13472579901</t>
  </si>
  <si>
    <t>347 e 156 st, 12c, bronx, NY10451</t>
  </si>
  <si>
    <t>nono</t>
  </si>
  <si>
    <t>Rosa Carmen Franco</t>
  </si>
  <si>
    <t>346 e 156 st,#12c,bronx, NY10451</t>
  </si>
  <si>
    <t>+13472579494</t>
  </si>
  <si>
    <t>8 Years</t>
  </si>
  <si>
    <t>Company</t>
  </si>
  <si>
    <t>politic</t>
  </si>
  <si>
    <t>Specific do well in my next grade. Measurable  try hard and giving my best of me in the school. Attainable 90 to 95. Relevant it will giving me more opportunity for applying for college. Timely, 4 hours every day.</t>
  </si>
  <si>
    <t>Learn about colleges, Learn about careers, Gain skills I can use at a future job, Get coaches and mentors who can help me with college and career</t>
  </si>
  <si>
    <t>Adaptable, Generous, Trustworthy</t>
  </si>
  <si>
    <t>Communication, Time management, Empathy.</t>
  </si>
  <si>
    <t>I am a serious person, when it comes to work I always give my best. I am also a very sentimental person, when I see that things do not go as I would like, I decay, but I always try to never give up</t>
  </si>
  <si>
    <t>It make me feel happy,comfortable</t>
  </si>
  <si>
    <t>ka40xx9nqz8guy36xo0ka40xxltwyc9u</t>
  </si>
  <si>
    <t>Cheikh</t>
  </si>
  <si>
    <t>Ka</t>
  </si>
  <si>
    <t>cheikh.ka@ichsbronx.org</t>
  </si>
  <si>
    <t>+17184732879</t>
  </si>
  <si>
    <t>376 E 158th Street Bronx NY 10451 # B</t>
  </si>
  <si>
    <t>Facebook only</t>
  </si>
  <si>
    <t>Gora ka</t>
  </si>
  <si>
    <t>goraka136@gmail.com</t>
  </si>
  <si>
    <t>376 E 158th Street Bronx NY 10451AptB</t>
  </si>
  <si>
    <t>+19293202721</t>
  </si>
  <si>
    <t>Senegal</t>
  </si>
  <si>
    <t>Wolof</t>
  </si>
  <si>
    <t>Chef</t>
  </si>
  <si>
    <t>Delivery driver for Doordash</t>
  </si>
  <si>
    <t>BCC,John Jay College Criminal Justice, Borough of Manhattan Community College, CSI,KCC, ICE</t>
  </si>
  <si>
    <t>Social worker, Transportation, Landlord, Real Estate agent and Soldier</t>
  </si>
  <si>
    <t>I want to improve my vocabulary</t>
  </si>
  <si>
    <t>Teamwork, communication, and patient</t>
  </si>
  <si>
    <t>Cleanliness, teamwork, and Attention to detail</t>
  </si>
  <si>
    <t>I’m also little bit shy</t>
  </si>
  <si>
    <t>xja3oxeum1jnoua9qknwxja3oxfrhnhs</t>
  </si>
  <si>
    <t>Jeremy</t>
  </si>
  <si>
    <t>jeremyzj2003@gmail.com</t>
  </si>
  <si>
    <t>1532 s Hanover st, Nanticoke, PA 18634</t>
  </si>
  <si>
    <t>IG: yyellouw</t>
  </si>
  <si>
    <t>Augusto Zapata</t>
  </si>
  <si>
    <t>282 Brook Av, Bronx, NY 10454</t>
  </si>
  <si>
    <t>+16464070662</t>
  </si>
  <si>
    <t>Like 30 or more</t>
  </si>
  <si>
    <t>System developer, Computer science, or something relate with Technology</t>
  </si>
  <si>
    <t>I don’t have one now.</t>
  </si>
  <si>
    <t>University of Florida, University of Pennsylvania</t>
  </si>
  <si>
    <t>Architect, web developer, game developer, and more technology</t>
  </si>
  <si>
    <t>I not sure</t>
  </si>
  <si>
    <t>Curious, thinker, and beginner because I always ask for things and I always start things.</t>
  </si>
  <si>
    <t>Languages (English and Spanish), Conversation, Being Active.</t>
  </si>
  <si>
    <t>m5lfk15vmxuzjzeyoxkm5lfk1qvowcmu</t>
  </si>
  <si>
    <t>mouhamed</t>
  </si>
  <si>
    <t>samb</t>
  </si>
  <si>
    <t>mouhamed.samb@ichsbronx.org</t>
  </si>
  <si>
    <t>W 181st Grand Ave</t>
  </si>
  <si>
    <t>Ngouille Cisse</t>
  </si>
  <si>
    <t>cisse55443@hotmail.com</t>
  </si>
  <si>
    <t>+19178701932</t>
  </si>
  <si>
    <t>international community high school</t>
  </si>
  <si>
    <t>345 Brook Ave</t>
  </si>
  <si>
    <t>Africa</t>
  </si>
  <si>
    <t>wolof and English</t>
  </si>
  <si>
    <t>Manhattan College, List College, Nyc College,City college</t>
  </si>
  <si>
    <t>military</t>
  </si>
  <si>
    <t>a better understanding of my career</t>
  </si>
  <si>
    <t>Gain skills I can use at a future job, Get an internship, Get coaches and mentors who can help me with college and career</t>
  </si>
  <si>
    <t>hot working</t>
  </si>
  <si>
    <t>focus</t>
  </si>
  <si>
    <t>I'm shy</t>
  </si>
  <si>
    <t>2.0</t>
  </si>
  <si>
    <t>58j1vr6do76nwnbz6sdp58j1vnpnxy5k</t>
  </si>
  <si>
    <t>billa</t>
  </si>
  <si>
    <t>870 E 163 St</t>
  </si>
  <si>
    <t>I use facebook and Instagram</t>
  </si>
  <si>
    <t>Safeitou Gampine</t>
  </si>
  <si>
    <t>Safeitoulatifu98@gmail.com</t>
  </si>
  <si>
    <t>870 E 163 st, Bronx, NY 10459</t>
  </si>
  <si>
    <t>345 Brook Av, Bronx, NY 10454</t>
  </si>
  <si>
    <t>13</t>
  </si>
  <si>
    <t>I speak Bissa, Moore and French</t>
  </si>
  <si>
    <t>Physical Therapiest, Nurse and business</t>
  </si>
  <si>
    <t>I got the job by the help of a brother who helped me get it .</t>
  </si>
  <si>
    <t>Lehman colleg, Binghampton</t>
  </si>
  <si>
    <t>Physical therapist, docter, personal gym trainer</t>
  </si>
  <si>
    <t>Im going to learn more skill about my career choice by the end of this program.</t>
  </si>
  <si>
    <t>Gain skills I can use at a future job, Learn about careers, Learn about colleges, Get coaches and mentors who can help me with college and career</t>
  </si>
  <si>
    <t>Religieux, Respectful, Courageoux because i dont like giving up .</t>
  </si>
  <si>
    <t>Communication, Learde ship and teamwork</t>
  </si>
  <si>
    <t>Dont have Any</t>
  </si>
  <si>
    <t>3.3</t>
  </si>
  <si>
    <t>1pwghxcl7ezlu06rmn811pwg5ppscq30</t>
  </si>
  <si>
    <t>Akira</t>
  </si>
  <si>
    <t>Quezada</t>
  </si>
  <si>
    <t>akiramartinez02@gmail.com</t>
  </si>
  <si>
    <t>+17188442579</t>
  </si>
  <si>
    <t>353 Cypress Avenue apt 4E, Bronx, New York 10454</t>
  </si>
  <si>
    <t>Akira_martinez02</t>
  </si>
  <si>
    <t>Jose Quezada</t>
  </si>
  <si>
    <t>Josequezada02@gmail.com</t>
  </si>
  <si>
    <t>353 Cypress Avenue apt 4E, Bronx New York 10454</t>
  </si>
  <si>
    <t>+19173781412</t>
  </si>
  <si>
    <t>I'm From Dominican Republic</t>
  </si>
  <si>
    <t>Mechatronic Engineer</t>
  </si>
  <si>
    <t>I'm part of the SEYP program, I did not start the real job yet but I will work coding at the computer for the NYPD.</t>
  </si>
  <si>
    <t>Massachusetts Institute of Technology, Stanford University, University of Illinois at Urbana-Champaign, University of California, Berkeley, Georgia Institute of Technology, California Institute of Technology, Carnegie Mellon University, University of Michigan, Purdue University, The University of Texas at Austin.</t>
  </si>
  <si>
    <t>Computer Hardware Engineer, Biomedical Engineer, Environmental Engineer, Zoologist, Wildlife Biologist.</t>
  </si>
  <si>
    <t>I will acquire new skills, at least two or three, from this program by learning the assignments and doing the work by the end of this program.</t>
  </si>
  <si>
    <t>Get coaches and mentors who can help me with college and career, Gain skills I can use at a future job, Get an internship, Learn about colleges</t>
  </si>
  <si>
    <t>persistent, athletic and believer. I think these words describes me because if I want to achieve something I will find all the ways posibles to met my goal, athletic because I like physical activities and believer because if I believe that I can do something then I will achived.</t>
  </si>
  <si>
    <t>computer skills, good cognitive capabilities, good concentration skills.</t>
  </si>
  <si>
    <t>I'll do my best to complete this program.</t>
  </si>
  <si>
    <t>Payment of 95.00 from Jose E Quezada Alvarez with card ending in 5964 was successful</t>
  </si>
  <si>
    <t>m6lr2hu7qrb1460im6lrgkm3jae0xbpp</t>
  </si>
  <si>
    <t>Nabe</t>
  </si>
  <si>
    <t>ousmane.nabe@ellisprep.com</t>
  </si>
  <si>
    <t>+13473226828</t>
  </si>
  <si>
    <t>1749 grand concourse Apt8F  Bronx NY 10453</t>
  </si>
  <si>
    <t>Saran Nabe</t>
  </si>
  <si>
    <t>1749 grand concourse Apt 8f Bronx NY 10453</t>
  </si>
  <si>
    <t>+16463012031</t>
  </si>
  <si>
    <t>99 terrace view Ave</t>
  </si>
  <si>
    <t>My ethnicity is malinke  ,my nationality is guinea</t>
  </si>
  <si>
    <t>Malinke</t>
  </si>
  <si>
    <t>Bank</t>
  </si>
  <si>
    <t>My future career job is bank</t>
  </si>
  <si>
    <t>relating or applying specifically to or intended specifically for</t>
  </si>
  <si>
    <t>Dependent, mordant , law</t>
  </si>
  <si>
    <t>a developed aptitude or ability</t>
  </si>
  <si>
    <t>Supported, connected</t>
  </si>
  <si>
    <t>019v7lkajihgsxq01wp1k0019v7lkhuy</t>
  </si>
  <si>
    <t>640 Wales Avenue, Bronx, NY 10455</t>
  </si>
  <si>
    <t>640 Wales Avenue. Bronx, NY 10455</t>
  </si>
  <si>
    <t>Spanish and sometimes English</t>
  </si>
  <si>
    <t>Someone I know told me about the job</t>
  </si>
  <si>
    <t>Columbia University, Hunter College, Lehman College</t>
  </si>
  <si>
    <t>U.S Air Force, Marine biology</t>
  </si>
  <si>
    <t>I will improve my grades by 10 point from 80 to 90, being more applied in my classes, by the end of the school year</t>
  </si>
  <si>
    <t>Get an internship, Get coaches and mentors who can help me with college and career, Learn about careers, Gain skills I can use at a future job, Learn about colleges, Make new friends</t>
  </si>
  <si>
    <t>Respectful, Quiet and Happy</t>
  </si>
  <si>
    <t>Patience, Adaptability, Organization</t>
  </si>
  <si>
    <t>2.3</t>
  </si>
  <si>
    <t>va8osm5gcopa8u7dlva8lrbnvyhr580m</t>
  </si>
  <si>
    <t>fatoumatab.barry@ichsbronx.org</t>
  </si>
  <si>
    <t>+16469531878</t>
  </si>
  <si>
    <t>795 East 151 street Bronx NY 10455</t>
  </si>
  <si>
    <t>Maimouna Diallo</t>
  </si>
  <si>
    <t>795 East 151street Bronx NY 10455</t>
  </si>
  <si>
    <t>+16467555496</t>
  </si>
  <si>
    <t>345 Brook Ave Bronx NY 10454</t>
  </si>
  <si>
    <t>Guinea Conakry</t>
  </si>
  <si>
    <t>NA</t>
  </si>
  <si>
    <t>Fulanie, French, English</t>
  </si>
  <si>
    <t>Hunter, Lehman, BCC,</t>
  </si>
  <si>
    <t>Medical Research, Radiology, Sonography,</t>
  </si>
  <si>
    <t>By the end of the year, I will Improve my grades by 6 points.</t>
  </si>
  <si>
    <t>Get coaches and mentors who can help me with college and career, Get an internship, Gain skills I can use at a future job, Learn about colleges, Learn about careers</t>
  </si>
  <si>
    <t>Hardworking, Learner, Patient</t>
  </si>
  <si>
    <t>Patience, Observing, Careful</t>
  </si>
  <si>
    <t>I will need all the help I can get to succeed.</t>
  </si>
  <si>
    <t>vgmnipm4t48kv5nvgmnir0ycosn1smc2</t>
  </si>
  <si>
    <t>Joselyn</t>
  </si>
  <si>
    <t>Guaraca</t>
  </si>
  <si>
    <t>joselyn.tisalema@ichsbronx.org</t>
  </si>
  <si>
    <t>+16467521185</t>
  </si>
  <si>
    <t>1167 Stratford Ave, Bronx NY 10472</t>
  </si>
  <si>
    <t>Maria Tisalema</t>
  </si>
  <si>
    <t>mariat106@hotmail.com</t>
  </si>
  <si>
    <t>+13474303324</t>
  </si>
  <si>
    <t>345 Brook Ave Bronx, NY 10454</t>
  </si>
  <si>
    <t>Baruch College,Hunter College,Lehman College,The Sophie Davis Biomedical Education Program/CUNY School of Medicine,Macaulay Honors College</t>
  </si>
  <si>
    <t>nurse, social security, teacher</t>
  </si>
  <si>
    <t>Graduate next year with better English than I know now with a good gpa to be able to enter university.</t>
  </si>
  <si>
    <t>friendly, respectful, attentive</t>
  </si>
  <si>
    <t>responsible, attentive, collaborative.</t>
  </si>
  <si>
    <t>I am very shy but I like to participate in activities</t>
  </si>
  <si>
    <t>safe,supported</t>
  </si>
  <si>
    <t>u4hy3ta3bz7y79ujfdu4hyqnfg3noxwj</t>
  </si>
  <si>
    <t>Guzman Jerez</t>
  </si>
  <si>
    <t>cguzman@crotonaihs.org</t>
  </si>
  <si>
    <t>385 EAST 194TH STREET, BRONX, NY, 10458</t>
  </si>
  <si>
    <t>https://www.instagram.com/christianjerezguzman/</t>
  </si>
  <si>
    <t>Maria Jerez</t>
  </si>
  <si>
    <t>genesiskj@outlook.com</t>
  </si>
  <si>
    <t>+19787157544</t>
  </si>
  <si>
    <t>CROTONA INTERNATIONAL HIGHS CHOOL</t>
  </si>
  <si>
    <t>2474 CROTONA AVENUE BRONX, NY 10458</t>
  </si>
  <si>
    <t>DOMINICAN REPUBLIC</t>
  </si>
  <si>
    <t>2 YEARS AGO</t>
  </si>
  <si>
    <t>SPANISH</t>
  </si>
  <si>
    <t>professor of Spanish</t>
  </si>
  <si>
    <t>Spanish language professor</t>
  </si>
  <si>
    <t>I cannot remember the name, but maybe CUNY</t>
  </si>
  <si>
    <t>Professor of spanish lit or language, I am also interested in medicine; radiology</t>
  </si>
  <si>
    <t>I would like to be able to obtain an internship related to my career interest. I will need help with the resume and networking skills.</t>
  </si>
  <si>
    <t>confident, responsible, dedicated</t>
  </si>
  <si>
    <t>punctual, organized, tech-savy</t>
  </si>
  <si>
    <t>I feel safe with my community</t>
  </si>
  <si>
    <t>CATHOLIC</t>
  </si>
  <si>
    <t>146iuyqylup6kko1l146iuyqvm9ypz5c</t>
  </si>
  <si>
    <t>Aliyah</t>
  </si>
  <si>
    <t>Maliq</t>
  </si>
  <si>
    <t>aliyahm90@nycstudents.net</t>
  </si>
  <si>
    <t>+19299206337</t>
  </si>
  <si>
    <t>137-35 219th St, New York NY 11413</t>
  </si>
  <si>
    <t>Temilade Otunlape</t>
  </si>
  <si>
    <t>temmie_1@yahoo.com</t>
  </si>
  <si>
    <t>+13472082248</t>
  </si>
  <si>
    <t>Nigeria</t>
  </si>
  <si>
    <t>I wasn’t born here</t>
  </si>
  <si>
    <t>English and Yoruba</t>
  </si>
  <si>
    <t>I really don’t know yet. But one of them would be the university of California</t>
  </si>
  <si>
    <t>Accountant, Medical Doctor, child therapist, pediatrician and math teacher</t>
  </si>
  <si>
    <t>By the end of next school year I want to have at least a 98 as my final grade.</t>
  </si>
  <si>
    <t>I am kind because I tend to help people without nothing in return. I am determined because even if this school year wasn’t the best for everyone I make sure I made the most out of it. I am persistent I don’t give up on something easily.</t>
  </si>
  <si>
    <t>Helping, caring, and understanding</t>
  </si>
  <si>
    <t>96.71%</t>
  </si>
  <si>
    <t>gh49iqwfqnsilmbvgh41apkuw4wpwevm</t>
  </si>
  <si>
    <t>Yovangely</t>
  </si>
  <si>
    <t>Mejia</t>
  </si>
  <si>
    <t>yovangely.mejia@ichsbronx.org</t>
  </si>
  <si>
    <t>+19293268356</t>
  </si>
  <si>
    <t>Bronx, New York, 10453,1655macombs Rd  Ap.5c</t>
  </si>
  <si>
    <t>Anisha lino</t>
  </si>
  <si>
    <t>el de mi papa Mejia</t>
  </si>
  <si>
    <t>Edyomeleuno@gmail.com</t>
  </si>
  <si>
    <t>Bronx, New York, 1655macombs Rd, ap. 5c.10453</t>
  </si>
  <si>
    <t>+19178157799</t>
  </si>
  <si>
    <t>19</t>
  </si>
  <si>
    <t>Española</t>
  </si>
  <si>
    <t>medicina</t>
  </si>
  <si>
    <t>cycology</t>
  </si>
  <si>
    <t>doctorate in law</t>
  </si>
  <si>
    <t>alcanzable</t>
  </si>
  <si>
    <t>Learn about careers, Gain skills I can use at a future job</t>
  </si>
  <si>
    <t>PACIENTE, SOÑADORA,</t>
  </si>
  <si>
    <t>AYUDAR A LOS DEMAS, SER AMABLE, CARINOSA</t>
  </si>
  <si>
    <t>compatible</t>
  </si>
  <si>
    <t>no religio</t>
  </si>
  <si>
    <t>zjc1tpsgxknyc5sgozrxtwzjc1tgoh3p</t>
  </si>
  <si>
    <t>Ismatu</t>
  </si>
  <si>
    <t>ismatu.barry@ichsbronx.org</t>
  </si>
  <si>
    <t>+19295352493</t>
  </si>
  <si>
    <t>785 union avenue Apt 2c Bronx NY 10455</t>
  </si>
  <si>
    <t>Facebook and Instagram</t>
  </si>
  <si>
    <t>mamadoubarry267@gmail.com</t>
  </si>
  <si>
    <t>785union avenue Apt 2C Bronx NY 10455</t>
  </si>
  <si>
    <t>+19293516792</t>
  </si>
  <si>
    <t>345 brook avenue New York, 10454</t>
  </si>
  <si>
    <t>22years</t>
  </si>
  <si>
    <t>My race is black and I'm from Guinea.</t>
  </si>
  <si>
    <t>Fulani and French</t>
  </si>
  <si>
    <t>Nursing, Computer science</t>
  </si>
  <si>
    <t>My job is security guard, my friend helped me get the job. I like the job.</t>
  </si>
  <si>
    <t>Lehman College, York college, City College</t>
  </si>
  <si>
    <t>Nursing, Computer Science, Engineering</t>
  </si>
  <si>
    <t>I will be attending every session</t>
  </si>
  <si>
    <t>Hard worker, honest, Nice</t>
  </si>
  <si>
    <t>Communication, Team working, Time management</t>
  </si>
  <si>
    <t>No I don’t have anything</t>
  </si>
  <si>
    <t>90.51%</t>
  </si>
  <si>
    <t>f9y44t14jaogfuxf9y447gundsxmafao</t>
  </si>
  <si>
    <t>Michael</t>
  </si>
  <si>
    <t>Paredes</t>
  </si>
  <si>
    <t>david.paredes@ichsbronx.org</t>
  </si>
  <si>
    <t>+13472642888</t>
  </si>
  <si>
    <t>346 E 156 Street Bronx NY 10451</t>
  </si>
  <si>
    <t>Rosa Franco Moreira</t>
  </si>
  <si>
    <t>paredeskevin118@gmail.com</t>
  </si>
  <si>
    <t>345 Brook Avenue Bronx NY 10454</t>
  </si>
  <si>
    <t>8 years</t>
  </si>
  <si>
    <t>I speak Spanish fluently. And trying to improve my  English language.</t>
  </si>
  <si>
    <t>Computer technology</t>
  </si>
  <si>
    <t>My job is helping students with Aspira's Program through my school.</t>
  </si>
  <si>
    <t>I'm want to help my School with connection with technology. By spending time from 8:20am to 1:30pm, Monday to Friday. By volunteering, I would be able to expose and train myself with technology this summer.</t>
  </si>
  <si>
    <t>Gain skills I can use at a future job, Learn about careers, Get coaches and mentors who can help me with college and career, Get an internship, Learn about colleges, Make new friends</t>
  </si>
  <si>
    <t>I love to help. I am friendly person. Also I respect all people.</t>
  </si>
  <si>
    <t>I am a computer literate.</t>
  </si>
  <si>
    <t>nothing more</t>
  </si>
  <si>
    <t>My community is safe and supportive.</t>
  </si>
  <si>
    <t>testigo de Jehovah</t>
  </si>
  <si>
    <t>76.88%</t>
  </si>
  <si>
    <t>fo41ejy46yndqiffo41ce6afgwtugq24</t>
  </si>
  <si>
    <t/>
  </si>
  <si>
    <t>Indira</t>
  </si>
  <si>
    <t>Nunez</t>
  </si>
  <si>
    <t>inunezmateo@crotonaihs.org</t>
  </si>
  <si>
    <t>+16465106566</t>
  </si>
  <si>
    <t>1405 college Av.Bronx Ny</t>
  </si>
  <si>
    <t>Whatsapp, Instragam</t>
  </si>
  <si>
    <t>Natividad Nunez</t>
  </si>
  <si>
    <t>ibagari0815@gmail.com</t>
  </si>
  <si>
    <t>1405 college Av.Bronx NY.10456</t>
  </si>
  <si>
    <t>+16319227540</t>
  </si>
  <si>
    <t>International’s Crotona</t>
  </si>
  <si>
    <t>2474 Crotona Av Bronx NY 10458</t>
  </si>
  <si>
    <t>Tradiciones y culturas</t>
  </si>
  <si>
    <t>Psiquiatria</t>
  </si>
  <si>
    <t>Psiquiatra</t>
  </si>
  <si>
    <t>Doctorado..</t>
  </si>
  <si>
    <t>Specific</t>
  </si>
  <si>
    <t>Friendly,Sociable,punctual</t>
  </si>
  <si>
    <t>Punctual,Sincere,Friendly</t>
  </si>
  <si>
    <t>G</t>
  </si>
  <si>
    <t>ny1wsw9y5m89vtny1wqk8bwp14rwr7pb</t>
  </si>
  <si>
    <t>Liccy</t>
  </si>
  <si>
    <t>Dubon</t>
  </si>
  <si>
    <t>ldubon@crotonaihs.org</t>
  </si>
  <si>
    <t>+19292555466</t>
  </si>
  <si>
    <t>941leggett ave</t>
  </si>
  <si>
    <t>Alexander Dubon</t>
  </si>
  <si>
    <t>941 leggett ave</t>
  </si>
  <si>
    <t>+13475747595</t>
  </si>
  <si>
    <t>crotona school</t>
  </si>
  <si>
    <t>2474 crotona ave</t>
  </si>
  <si>
    <t>latina</t>
  </si>
  <si>
    <t>Columbia, city college</t>
  </si>
  <si>
    <t>Doctor, Teacher</t>
  </si>
  <si>
    <t>graduate, work</t>
  </si>
  <si>
    <t>Leader, Kind</t>
  </si>
  <si>
    <t>Leadership</t>
  </si>
  <si>
    <t>di13nhxeb1504nckqfdi13nj9wwb3gui</t>
  </si>
  <si>
    <t>Dubon Zamora</t>
  </si>
  <si>
    <t>Fabio Alexander Dubon Zamora</t>
  </si>
  <si>
    <t>alex100zamora@gmail.com</t>
  </si>
  <si>
    <t>4201 park ave apt17 bronx 10457</t>
  </si>
  <si>
    <t>2474 Crotona ave</t>
  </si>
  <si>
    <t>pediatrician, law, doctor</t>
  </si>
  <si>
    <t>a job that has to do with helping people.</t>
  </si>
  <si>
    <t>Neither</t>
  </si>
  <si>
    <t>pediatrician, doctor, lawyer, police, forensic medicine.</t>
  </si>
  <si>
    <t>Specific: I will improve my overall average, Measurable: by 5 points, Attainable: from a 90 to 95 Relevant: by applying the skills I learn from my Champions in my academic work, Timely: by the end of the school year</t>
  </si>
  <si>
    <t>Get coaches and mentors who can help me with college and career, Learn about colleges, Gain skills I can use at a future job, Learn about careers, Make new friends, Get an internship</t>
  </si>
  <si>
    <t>respectful, responsible, kind</t>
  </si>
  <si>
    <t>Be patient, Be a good communicator, Empathize</t>
  </si>
  <si>
    <t>normal</t>
  </si>
  <si>
    <t>G- 80</t>
  </si>
  <si>
    <t>buxyg1njvco6s4ticc9buxyg1nrwyohd</t>
  </si>
  <si>
    <t>Jazling Garcia</t>
  </si>
  <si>
    <t>Garcia</t>
  </si>
  <si>
    <t>jazlinggarcia@crotonaihs.org</t>
  </si>
  <si>
    <t>+19295312135</t>
  </si>
  <si>
    <t>2690MorrisAvenue</t>
  </si>
  <si>
    <t>Facebook, Instagram, whatsApp</t>
  </si>
  <si>
    <t>Loury Jazmin</t>
  </si>
  <si>
    <t>2690 Morris Avenue Bronx new York</t>
  </si>
  <si>
    <t>+19292628681</t>
  </si>
  <si>
    <t>Crotona Internacional High-school</t>
  </si>
  <si>
    <t>2474 Crotona ave, Bronx, New York 10458</t>
  </si>
  <si>
    <t>I DON'T SAT THAT THE UNITED STATES</t>
  </si>
  <si>
    <t>PEDIATRICS</t>
  </si>
  <si>
    <t>Pediatric</t>
  </si>
  <si>
    <t>COLUMBIA</t>
  </si>
  <si>
    <t>Doctors, pediatric AND DANCER</t>
  </si>
  <si>
    <t>Graduate and go to college</t>
  </si>
  <si>
    <t>I GET WHAT I want, repetitive, and kind</t>
  </si>
  <si>
    <t>Loving, studious, and responsible.</t>
  </si>
  <si>
    <t>IT MAKES ME FEEL GOOD</t>
  </si>
  <si>
    <t>I HAVE NO RELIGION BUT I BELIEVE IN GOD</t>
  </si>
  <si>
    <t>59xlqdns8rvcv1978e2mqs59xltusu8v</t>
  </si>
  <si>
    <t>Justin</t>
  </si>
  <si>
    <t>justinmartinez@crotonaihs.org</t>
  </si>
  <si>
    <t>+19295355475</t>
  </si>
  <si>
    <t>402A E 153rd st Bronx N.Y 10455</t>
  </si>
  <si>
    <t>Marcus Martinez</t>
  </si>
  <si>
    <t>+13478395760</t>
  </si>
  <si>
    <t>Guatemala and Salvador father</t>
  </si>
  <si>
    <t>8</t>
  </si>
  <si>
    <t>Artist</t>
  </si>
  <si>
    <t>Anime</t>
  </si>
  <si>
    <t>BCC, BMCC, Brooklyn College</t>
  </si>
  <si>
    <t>Animation, police, doctor, painter</t>
  </si>
  <si>
    <t>Measurable: by 5 points</t>
  </si>
  <si>
    <t>I learn fast
respectful
very kind</t>
  </si>
  <si>
    <t>learn
very kind
give ideas</t>
  </si>
  <si>
    <t>Connect</t>
  </si>
  <si>
    <t>qbs84lodejo1gpvo90sqbs84li7uue73</t>
  </si>
  <si>
    <t>Emili</t>
  </si>
  <si>
    <t>Ordonez</t>
  </si>
  <si>
    <t>eordonez@crotonaihs.org</t>
  </si>
  <si>
    <t>+16469864888</t>
  </si>
  <si>
    <t>170-02 93rd jamaica queens</t>
  </si>
  <si>
    <t>faceboock: Nunez Emili</t>
  </si>
  <si>
    <t>Marcia</t>
  </si>
  <si>
    <t>jackelinen702@gmail.com</t>
  </si>
  <si>
    <t>170-02 93rd jamaica queens ny 11433</t>
  </si>
  <si>
    <t>Crotona internacional Hihgh school</t>
  </si>
  <si>
    <t>Honduran</t>
  </si>
  <si>
    <t>psychology</t>
  </si>
  <si>
    <t>pediatric psychology</t>
  </si>
  <si>
    <t>Columbia, Fordham University, Bronx Community College, SUNY, Albany University, Buffalo University</t>
  </si>
  <si>
    <t>doctor, social worker</t>
  </si>
  <si>
    <t>to be able to graduate and complete everything</t>
  </si>
  <si>
    <t>Learn about careers, Learn about colleges, Get an internship</t>
  </si>
  <si>
    <t>relaxed ,Sincere ,would</t>
  </si>
  <si>
    <t>Im a leader, worker, responsable</t>
  </si>
  <si>
    <t>good</t>
  </si>
  <si>
    <t>uykoxwi68dgbtt6tayuykop5alper50c</t>
  </si>
  <si>
    <t>Romel</t>
  </si>
  <si>
    <t>Elvir Villanueva</t>
  </si>
  <si>
    <t>romel@crotonaihs.org</t>
  </si>
  <si>
    <t>+19292702692</t>
  </si>
  <si>
    <t>2311 de Crotona ave</t>
  </si>
  <si>
    <t>Aron Villanueva</t>
  </si>
  <si>
    <t>Xiomara Villanueva</t>
  </si>
  <si>
    <t>2311 Crotona ave</t>
  </si>
  <si>
    <t>+19175250276</t>
  </si>
  <si>
    <t>Crotona international higth school</t>
  </si>
  <si>
    <t>i came with them</t>
  </si>
  <si>
    <t>Espanol</t>
  </si>
  <si>
    <t>Army special forces</t>
  </si>
  <si>
    <t>Be a us army special forces operated</t>
  </si>
  <si>
    <t>Responsable callado</t>
  </si>
  <si>
    <t>know english</t>
  </si>
  <si>
    <t>nop</t>
  </si>
  <si>
    <t>cu771i449gk007zqnctu1stm0bp71txg</t>
  </si>
  <si>
    <t>Diego</t>
  </si>
  <si>
    <t>Rojas</t>
  </si>
  <si>
    <t>drojas@crotonaihs.org</t>
  </si>
  <si>
    <t>+19292567048</t>
  </si>
  <si>
    <t>480 east 176 bronx ny</t>
  </si>
  <si>
    <t>Diego A Rojas</t>
  </si>
  <si>
    <t>djrojas.com1831@gmail.com</t>
  </si>
  <si>
    <t>480 east 176 bronx ny 10437</t>
  </si>
  <si>
    <t>+13478985318</t>
  </si>
  <si>
    <t>crotona international school</t>
  </si>
  <si>
    <t>crotona ave</t>
  </si>
  <si>
    <t>I was born in a different country and both of my parents/guardians were born in America</t>
  </si>
  <si>
    <t>38</t>
  </si>
  <si>
    <t>hispano</t>
  </si>
  <si>
    <t>Architecture</t>
  </si>
  <si>
    <t>engenere mechatronic</t>
  </si>
  <si>
    <t>Financial Advisor</t>
  </si>
  <si>
    <t>engenere mechatronic, psicologi, architect</t>
  </si>
  <si>
    <t>When I finish school I want to study a little more about advanced quantum physics and I know that it will help me for my career</t>
  </si>
  <si>
    <t>be smarter, be more sociable, be a good thinker because they are one of the qualities that define me</t>
  </si>
  <si>
    <t>learn fast, analyze many things at once, patience</t>
  </si>
  <si>
    <t>cristianity</t>
  </si>
  <si>
    <t>30</t>
  </si>
  <si>
    <t>phgmsgsnrm3x67kiwphgmsrx27rxlce5</t>
  </si>
  <si>
    <t>Angelica</t>
  </si>
  <si>
    <t>Rubiera</t>
  </si>
  <si>
    <t>angelicarubiera@crotonaihs.org</t>
  </si>
  <si>
    <t>+13479704324</t>
  </si>
  <si>
    <t>1700 Crotona Prak East Bronx New York 10460</t>
  </si>
  <si>
    <t>Solenny Jiminian</t>
  </si>
  <si>
    <t>solejiminian@gmail.com</t>
  </si>
  <si>
    <t>1700 crotona park east Bronx New York 10460</t>
  </si>
  <si>
    <t>+19293431007</t>
  </si>
  <si>
    <t>Dominican</t>
  </si>
  <si>
    <t>Creativity</t>
  </si>
  <si>
    <t>Tecnología</t>
  </si>
  <si>
    <t>Bmcc</t>
  </si>
  <si>
    <t>Technological</t>
  </si>
  <si>
    <t>Graduate from collage</t>
  </si>
  <si>
    <t>Gain skills I can use at a future job, Learn about careers, Learn about colleges, Get coaches and mentors who can help me with college and career, Get an internship</t>
  </si>
  <si>
    <t>Responsable, cariñosa, carismática</t>
  </si>
  <si>
    <t>Fast on learning, good listener.</t>
  </si>
  <si>
    <t>6wb97tqx29nzcul746s66wb97tq4ejhw</t>
  </si>
  <si>
    <t>Naomi</t>
  </si>
  <si>
    <t>nlantigua@crotonaihs.org</t>
  </si>
  <si>
    <t>+17184505518</t>
  </si>
  <si>
    <t>3433 gates places</t>
  </si>
  <si>
    <t>Instagram, WhatsApp, facebook,messenger,Snapchat</t>
  </si>
  <si>
    <t>Ihomara lantigua</t>
  </si>
  <si>
    <t>ihomaramorales@liceocientifico.org</t>
  </si>
  <si>
    <t>New York, Bronx, 3433 gates places 10467</t>
  </si>
  <si>
    <t>+19292856137</t>
  </si>
  <si>
    <t>2474 Crotona avenue, Bronx New York, 10458</t>
  </si>
  <si>
    <t>Puerto Rico, republican dominicana</t>
  </si>
  <si>
    <t>20</t>
  </si>
  <si>
    <t>Latina</t>
  </si>
  <si>
    <t>Detective</t>
  </si>
  <si>
    <t>Police detective</t>
  </si>
  <si>
    <t>John jay college, Albany  university, Lehman college, Buffalo university</t>
  </si>
  <si>
    <t>Criminal justices, criminology</t>
  </si>
  <si>
    <t>I want to graduate from high school. Go to college and study criminology and learn how investigate  cases</t>
  </si>
  <si>
    <t>Learn about careers, Get coaches and mentors who can help me with college and career, Learn about colleges</t>
  </si>
  <si>
    <t>Lovely, respectful, friendly</t>
  </si>
  <si>
    <t>Respectful, friendly</t>
  </si>
  <si>
    <t>7k2opqsajyh9wrthf21lr7k2opqrrhmq</t>
  </si>
  <si>
    <t>Norvia</t>
  </si>
  <si>
    <t>Tavarez</t>
  </si>
  <si>
    <t>ntavarez@crotonsihs.org</t>
  </si>
  <si>
    <t>+16469863686</t>
  </si>
  <si>
    <t>10467</t>
  </si>
  <si>
    <t>Instagram, tiktok and whatsapp</t>
  </si>
  <si>
    <t>Arias</t>
  </si>
  <si>
    <t>yamilkaariasgalva@gmail.com</t>
  </si>
  <si>
    <t>3050 perry avenue apt 2a zip code: 10467 United States New York City the Bronx</t>
  </si>
  <si>
    <t>+13473534238</t>
  </si>
  <si>
    <t>2474 crotona avenue</t>
  </si>
  <si>
    <t>I speak spanish</t>
  </si>
  <si>
    <t>Educator and translator</t>
  </si>
  <si>
    <t>I have different options I want to be an educator or translator</t>
  </si>
  <si>
    <t>Harvard and Fordham university</t>
  </si>
  <si>
    <t>Lawyer and medicine</t>
  </si>
  <si>
    <t>My goal is not too clear I want to go to college and I have some careers in mind but I’m not sure.</t>
  </si>
  <si>
    <t>Responsible, respectful, honest</t>
  </si>
  <si>
    <t>No for now</t>
  </si>
  <si>
    <t>My community makes me feel proud</t>
  </si>
  <si>
    <t>hyjtfv6puxj5xpep7ydfhyjtfv6pfq4n</t>
  </si>
  <si>
    <t>sebastian</t>
  </si>
  <si>
    <t>francisco</t>
  </si>
  <si>
    <t>sfrancisco@crotonaihs.org</t>
  </si>
  <si>
    <t>+19294928877</t>
  </si>
  <si>
    <t>2475 Tiebaut ave Bronx New York 10458</t>
  </si>
  <si>
    <t>yes</t>
  </si>
  <si>
    <t>librada</t>
  </si>
  <si>
    <t>librada074116@gmail.com</t>
  </si>
  <si>
    <t>+19294174934</t>
  </si>
  <si>
    <t>2474 Crotona Ave</t>
  </si>
  <si>
    <t>A month</t>
  </si>
  <si>
    <t>kids</t>
  </si>
  <si>
    <t>Ser baskebolista</t>
  </si>
  <si>
    <t>Columbia university, Fordham University</t>
  </si>
  <si>
    <t>Graduate from high school,basketball</t>
  </si>
  <si>
    <t>alegre, chistoso</t>
  </si>
  <si>
    <t>me gusta escuchar , y dar consejos</t>
  </si>
  <si>
    <t>o2muuke9tyxn101j1332o2muukqsiiyf</t>
  </si>
  <si>
    <t>Adriel Tavarez</t>
  </si>
  <si>
    <t>adrielt@crotonaihs.org</t>
  </si>
  <si>
    <t>3050 perry avenue apartamento 2 A  10467</t>
  </si>
  <si>
    <t>whatsapp</t>
  </si>
  <si>
    <t>Yamilka</t>
  </si>
  <si>
    <t>crotona</t>
  </si>
  <si>
    <t>spanihs</t>
  </si>
  <si>
    <t>computing</t>
  </si>
  <si>
    <t>arts, informatics, animation</t>
  </si>
  <si>
    <t>want. go to college to be a professional</t>
  </si>
  <si>
    <t>Informative, creative, artistic</t>
  </si>
  <si>
    <t>Informatic, intelligent, experienced
I</t>
  </si>
  <si>
    <t>Republica dominicana</t>
  </si>
  <si>
    <t>1ojgaqdspz3ny7vn61ojgasr5pb1jwm5</t>
  </si>
  <si>
    <t>Slinne</t>
  </si>
  <si>
    <t>Cruz</t>
  </si>
  <si>
    <t>slinnec04@gmail.com</t>
  </si>
  <si>
    <t>+13473019284</t>
  </si>
  <si>
    <t>2180 Holland, ave apt 1N</t>
  </si>
  <si>
    <t>Slinne Christina Cruz Peña</t>
  </si>
  <si>
    <t>Orlando Cruz and Leyris Peña</t>
  </si>
  <si>
    <t>leyrisp@gmail.com</t>
  </si>
  <si>
    <t>2180 Holland, New York,  bronx</t>
  </si>
  <si>
    <t>+19293309592</t>
  </si>
  <si>
    <t>Crotona international High School</t>
  </si>
  <si>
    <t>2474 Crotona Ave, Bronx, NY</t>
  </si>
  <si>
    <t>9 month</t>
  </si>
  <si>
    <t>Grafic Design, fashion designer, businesswoman</t>
  </si>
  <si>
    <t>Dirijo una página de Instagram y lo conseguí porque mi tia es la dueña de la empresa</t>
  </si>
  <si>
    <t>Desig</t>
  </si>
  <si>
    <t>Get good grades, have a job</t>
  </si>
  <si>
    <t>Learn about colleges, Get coaches and mentors who can help me with college and career</t>
  </si>
  <si>
    <t>Responsible, creative and organized</t>
  </si>
  <si>
    <t>Creative</t>
  </si>
  <si>
    <t>ee029jbex9pvt705ree029f33gft90b1</t>
  </si>
  <si>
    <t>Chicas</t>
  </si>
  <si>
    <t>lchicas@crotonaihs.org</t>
  </si>
  <si>
    <t>+19295312662</t>
  </si>
  <si>
    <t>2476 Hughes Avenue, Apart. 3G Bronx, NY 10456</t>
  </si>
  <si>
    <t>Angela mejia</t>
  </si>
  <si>
    <t>angelamejia916@gmail.com</t>
  </si>
  <si>
    <t>2476 Hughes Avenue, Apart. 3G Bronx, NY 10458</t>
  </si>
  <si>
    <t>+13472077962</t>
  </si>
  <si>
    <t>2474 Crotona Ave Bronx, New York 10458</t>
  </si>
  <si>
    <t>14</t>
  </si>
  <si>
    <t>I would like to study medicine.</t>
  </si>
  <si>
    <t>New York University</t>
  </si>
  <si>
    <t>Medicine, Chiropractor, Engineering, Mechanics</t>
  </si>
  <si>
    <t>I would like to get a degree in nursing, I would like to pursue my 5 year degree.</t>
  </si>
  <si>
    <t>Learn about careers, Learn about colleges, Get coaches and mentors who can help me with college and career, Gain skills I can use at a future job</t>
  </si>
  <si>
    <t>Seriously, I am not very sociable, I am because I am not used to socializing with people.</t>
  </si>
  <si>
    <t>I understand every topic that they share with me. I'm smart.</t>
  </si>
  <si>
    <t>sdlj87fuwsyqox412r3623sdlj8a70pn</t>
  </si>
  <si>
    <t>Sergio</t>
  </si>
  <si>
    <t>Avila</t>
  </si>
  <si>
    <t>savila@crtonaihs.org</t>
  </si>
  <si>
    <t>+13478286492</t>
  </si>
  <si>
    <t>553 E 187th Apt2B</t>
  </si>
  <si>
    <t>Virginia Lucero</t>
  </si>
  <si>
    <t>savila@crotonaihs.org</t>
  </si>
  <si>
    <t>10458</t>
  </si>
  <si>
    <t>+19173926505</t>
  </si>
  <si>
    <t>Mexico</t>
  </si>
  <si>
    <t>Psycology</t>
  </si>
  <si>
    <t>Psicology or Nutricionist</t>
  </si>
  <si>
    <t>Columbia University</t>
  </si>
  <si>
    <t>Psicology, Nutricionist or Detective</t>
  </si>
  <si>
    <t>I want to be a psicology maybe in 5 years</t>
  </si>
  <si>
    <t>Intelligent,Atent and hardworker</t>
  </si>
  <si>
    <t>Intelligent</t>
  </si>
  <si>
    <t>i want graduate en 6 or less years</t>
  </si>
  <si>
    <t>zoyuk7qzg6bz6d0s3zoyuk7jqg8axkyc</t>
  </si>
  <si>
    <t>Donis</t>
  </si>
  <si>
    <t>Aldana</t>
  </si>
  <si>
    <t>dramirez@crotonaihs.org</t>
  </si>
  <si>
    <t>E 300 184 NY</t>
  </si>
  <si>
    <t>Leonicio aldana</t>
  </si>
  <si>
    <t>E 300 184 NY Bronx</t>
  </si>
  <si>
    <t>+16464229320</t>
  </si>
  <si>
    <t>2474 Crotona Avenue  Bronx, New York 10458</t>
  </si>
  <si>
    <t>mechanic</t>
  </si>
  <si>
    <t>BMCC Manhattan Comunity College</t>
  </si>
  <si>
    <t>Fermeria</t>
  </si>
  <si>
    <t>I would like to get a degree in nursing.</t>
  </si>
  <si>
    <t>Intelligent, determined, honest.</t>
  </si>
  <si>
    <t>intelligent</t>
  </si>
  <si>
    <t>want to be very successful in life</t>
  </si>
  <si>
    <t>w3uotbem5l0do4w32y2pcd9n5ce0q3bq</t>
  </si>
  <si>
    <t>Leslie D.</t>
  </si>
  <si>
    <t>Sanchez Olivo</t>
  </si>
  <si>
    <t>lsanchezolivo@crotonaihs.org</t>
  </si>
  <si>
    <t>+16467076300</t>
  </si>
  <si>
    <t>680 Beck st. Bronx, NY 10455</t>
  </si>
  <si>
    <t>Instagram, Snapchat, Facebook.</t>
  </si>
  <si>
    <t>Lesvia A. Olivo Jose</t>
  </si>
  <si>
    <t>lesviaantonia@hotmail.com</t>
  </si>
  <si>
    <t>+13476072152</t>
  </si>
  <si>
    <t>2474 Crotona Av.</t>
  </si>
  <si>
    <t>Business Administration</t>
  </si>
  <si>
    <t>Stanford University, Chicago University, Pennsylvania University, Michigan University, Massachusetts Institute of Technology College, University of California, Yale.</t>
  </si>
  <si>
    <t>Architecture is the other career that interests me.</t>
  </si>
  <si>
    <t>My goal is to have good grades and to continue learning English, applying the skills that I learn by myself and also in school. In a year and a half, I will get it.</t>
  </si>
  <si>
    <t>Generous, demanding, detailed. These adjectives describe me very well since I like to help others, I am very demanding with myself and I like everything to be perfect.</t>
  </si>
  <si>
    <t>I know how to work in a team, I am a perfectionist, last year I was in a program on finance which helped me a lot and even made me more interested in my career.</t>
  </si>
  <si>
    <t>G-HP</t>
  </si>
  <si>
    <t>9nhov615q70cxedgpk49nhovppufqdsz</t>
  </si>
  <si>
    <t>omairi</t>
  </si>
  <si>
    <t>cruz tejada</t>
  </si>
  <si>
    <t>ocruz@crotonaihs.org</t>
  </si>
  <si>
    <t>+18453376322</t>
  </si>
  <si>
    <t>1732 white plains rd 10462</t>
  </si>
  <si>
    <t>Rafaelina tejada</t>
  </si>
  <si>
    <t>tejadarafelina72@gmail.com</t>
  </si>
  <si>
    <t>1732 white plains rd bronx new york 10462</t>
  </si>
  <si>
    <t>+13475846322</t>
  </si>
  <si>
    <t>crotona intenational high school</t>
  </si>
  <si>
    <t>2474 crotona ave bronx 10458</t>
  </si>
  <si>
    <t>republica dominicana</t>
  </si>
  <si>
    <t>2 year</t>
  </si>
  <si>
    <t>espanol</t>
  </si>
  <si>
    <t>teacher's title</t>
  </si>
  <si>
    <t>kansasstate university, university of virginia</t>
  </si>
  <si>
    <t>model doctor actress</t>
  </si>
  <si>
    <t>graduate</t>
  </si>
  <si>
    <t>responsable
active repeats</t>
  </si>
  <si>
    <t>that I am responsible to be speaks different languages ​​I like the teacher</t>
  </si>
  <si>
    <t>not for now</t>
  </si>
  <si>
    <t>White</t>
  </si>
  <si>
    <t>6iucewtax5133a4xf0q6iuce57t4peyd</t>
  </si>
  <si>
    <t>Daniela</t>
  </si>
  <si>
    <t>djgonzalez@crotonaihs.org</t>
  </si>
  <si>
    <t>+17186076037</t>
  </si>
  <si>
    <t>1792 lafayette av. Bronx NY</t>
  </si>
  <si>
    <t>Facebook:Daniela Gonzalez instagram:Danie_la20s</t>
  </si>
  <si>
    <t>Santos Gonzalez</t>
  </si>
  <si>
    <t>1792 Lafayette av. Bronx NY 10473</t>
  </si>
  <si>
    <t>+13474398915</t>
  </si>
  <si>
    <t>2474 crotona ave bronx ny 10458</t>
  </si>
  <si>
    <t>El Salvador</t>
  </si>
  <si>
    <t>march 2021</t>
  </si>
  <si>
    <t>Columbia, BMCC</t>
  </si>
  <si>
    <t>police officer, Psychologist</t>
  </si>
  <si>
    <t>Finish High School</t>
  </si>
  <si>
    <t>Leader</t>
  </si>
  <si>
    <t>Street Smart, know the law.</t>
  </si>
  <si>
    <t>16l27zkt1oxh70dmuj16l2gy0e3tub0r</t>
  </si>
  <si>
    <t>Indira Yamileth</t>
  </si>
  <si>
    <t>Nunez Mateo</t>
  </si>
  <si>
    <t>1405 College Ave Apt 5A. Bronx NY 10456</t>
  </si>
  <si>
    <t>Instragam(yami_nunez29</t>
  </si>
  <si>
    <t>1405 College Av,Apt 5A.Bronx NY,10456</t>
  </si>
  <si>
    <t>2474 Crotona Ave.Bronx,NY 10458</t>
  </si>
  <si>
    <t>psychology,doctor,detective.</t>
  </si>
  <si>
    <t>study, kindness and tolerance</t>
  </si>
  <si>
    <t>long term memory</t>
  </si>
  <si>
    <t>i5xo7xx339gzz452ijfi5xo7twwat1mh</t>
  </si>
  <si>
    <t>Kevin</t>
  </si>
  <si>
    <t>Portillo</t>
  </si>
  <si>
    <t>dhpkevin@gmail.com</t>
  </si>
  <si>
    <t>+13472135855</t>
  </si>
  <si>
    <t>703 E 187th st apt 4B , Bronx NY 10458</t>
  </si>
  <si>
    <t>Instagram:   2004_.kevin</t>
  </si>
  <si>
    <t>Maria Hernandez</t>
  </si>
  <si>
    <t>Kportillo@cronaihs.org</t>
  </si>
  <si>
    <t>703 E 187th St apt 4B , Bronx NY 10458</t>
  </si>
  <si>
    <t>+19292286422</t>
  </si>
  <si>
    <t>Crotona International high school</t>
  </si>
  <si>
    <t>Architecture , Doctor</t>
  </si>
  <si>
    <t>architecture or doctor</t>
  </si>
  <si>
    <t>Columbia , Fordham university , Yale , harvard , penn state ,NYU, cornell</t>
  </si>
  <si>
    <t>Doctor, Architector, Graphic Design</t>
  </si>
  <si>
    <t>Graduate from high School go to college, uptain my dream job.</t>
  </si>
  <si>
    <t>Detail Oriented, happy , gentle</t>
  </si>
  <si>
    <t>ykxj4xqh4u1sztwkeykxj4xqhvouhby0</t>
  </si>
  <si>
    <t>Emelin</t>
  </si>
  <si>
    <t>Arzu</t>
  </si>
  <si>
    <t>earzu@crotonaihs.org</t>
  </si>
  <si>
    <t>+19293583793</t>
  </si>
  <si>
    <t>900 bronx park s</t>
  </si>
  <si>
    <t>kaitlynarzurochez</t>
  </si>
  <si>
    <t>Liccia Flores</t>
  </si>
  <si>
    <t>liccia504@gmail.com</t>
  </si>
  <si>
    <t>900 bronx park s 1040</t>
  </si>
  <si>
    <t>Crotona Internatiol High School</t>
  </si>
  <si>
    <t>2474 Crotona Ave, Bronx, NY 10458</t>
  </si>
  <si>
    <t>I would sell</t>
  </si>
  <si>
    <t>I don't have any job</t>
  </si>
  <si>
    <t>New York University Columbia University Fordham University  Hunter College</t>
  </si>
  <si>
    <t>psychology lawyer pediatrician graphic design doctor</t>
  </si>
  <si>
    <t>my goal is to graduate from college with a good GPA to meet my goals</t>
  </si>
  <si>
    <t>humble kind respectful</t>
  </si>
  <si>
    <t>sure of myself intelligent understandable</t>
  </si>
  <si>
    <t>very well</t>
  </si>
  <si>
    <t>vh4olhmehnjj1xlyssmnvh4olhmi288p</t>
  </si>
  <si>
    <t>Liuyi</t>
  </si>
  <si>
    <t>Qiu</t>
  </si>
  <si>
    <t>qiuliuyi197@gmail.com</t>
  </si>
  <si>
    <t>+19293236003</t>
  </si>
  <si>
    <t>149-06 NORTHERN Blvd APT 306 Flushing NY 11354</t>
  </si>
  <si>
    <t>邱刘翌 This is my name of Facebook</t>
  </si>
  <si>
    <t>Na Liu</t>
  </si>
  <si>
    <t>149-06 NORTHERN Blvd APT 306 flushing NY 11354</t>
  </si>
  <si>
    <t>+19298881811</t>
  </si>
  <si>
    <t>144-80 Bardey Ave Flushing NY</t>
  </si>
  <si>
    <t>Arter? Lawyer? Self employed</t>
  </si>
  <si>
    <t>I joined SYEP at my school</t>
  </si>
  <si>
    <t>NYC OF TECH &amp; Brought,NYU,Harvard, Columbia,Yale,Stanford,new Jersey institute of technology</t>
  </si>
  <si>
    <t>I don't know,maybe lawyer?painter?desiger</t>
  </si>
  <si>
    <t>I want get a good credit at school and SAT then got to college</t>
  </si>
  <si>
    <t>Boy shy ordinary</t>
  </si>
  <si>
    <t>save</t>
  </si>
  <si>
    <t>I'm not sure maybe 80-90?</t>
  </si>
  <si>
    <t>gkoyjc1gkkzidtbagkl0oe10gevbn0bo</t>
  </si>
  <si>
    <t>Oscar</t>
  </si>
  <si>
    <t>Pardo</t>
  </si>
  <si>
    <t>o.pardo2018@flushinginternational.org</t>
  </si>
  <si>
    <t>+19292287314</t>
  </si>
  <si>
    <t>31-01-86 street Jackson Heights- Queens NY 11369</t>
  </si>
  <si>
    <t>I don't feel comfortable sharing my social-media</t>
  </si>
  <si>
    <t>Yenny Niño</t>
  </si>
  <si>
    <t>Alvaro.pardox@gmail.com</t>
  </si>
  <si>
    <t>31-01-86 street, Jackson heights, Queens NY 11369</t>
  </si>
  <si>
    <t>+19292287330</t>
  </si>
  <si>
    <t>Flushing International High School, 144-80 Barclay Ave, Queens, NY 11355</t>
  </si>
  <si>
    <t>I didn't born here</t>
  </si>
  <si>
    <t>Producer and Director</t>
  </si>
  <si>
    <t>electrician assistant</t>
  </si>
  <si>
    <t>Comedian, Director and production,</t>
  </si>
  <si>
    <t>fihegfhi</t>
  </si>
  <si>
    <t>Get an internship, Gain skills I can use at a future job, Learn about careers, Learn about colleges, Make new friends</t>
  </si>
  <si>
    <t>social, calm, creative</t>
  </si>
  <si>
    <t>speak English, computer skills and</t>
  </si>
  <si>
    <t>Director and productor</t>
  </si>
  <si>
    <t>something</t>
  </si>
  <si>
    <t>l3uwz8yn9ja8nzontcl3uwclr4tlw8mj</t>
  </si>
  <si>
    <t>Susana</t>
  </si>
  <si>
    <t>Franco Lopez</t>
  </si>
  <si>
    <t>susana2019@flushinginternational.org</t>
  </si>
  <si>
    <t>+19294733556</t>
  </si>
  <si>
    <t>3-59B soundview ln colleague point 11356</t>
  </si>
  <si>
    <t>Teresa Lopez</t>
  </si>
  <si>
    <t>susanela05@gmail.com</t>
  </si>
  <si>
    <t>+19175581092</t>
  </si>
  <si>
    <t>FIHS</t>
  </si>
  <si>
    <t>144-80 BARCLAY AVE flushing, NY 11355</t>
  </si>
  <si>
    <t>Children pedagogy</t>
  </si>
  <si>
    <t>Teacher of little kids</t>
  </si>
  <si>
    <t>I really don’t know</t>
  </si>
  <si>
    <t>I really want to improve but I am trying to do all my things by once</t>
  </si>
  <si>
    <t>Patience and collaborative</t>
  </si>
  <si>
    <t>Focus when there is pressure and work well in groups</t>
  </si>
  <si>
    <t>Safe and supported</t>
  </si>
  <si>
    <t>We have a class Called speakhired in our school</t>
  </si>
  <si>
    <t>x4fs5d48v3d2w9nnx4fswq955vdr2c1h</t>
  </si>
  <si>
    <t>manuela</t>
  </si>
  <si>
    <t>osorno</t>
  </si>
  <si>
    <t>ramirezospinam9@gmail.com</t>
  </si>
  <si>
    <t>+19293556773</t>
  </si>
  <si>
    <t>143-05 41st flushing queens ny 11355</t>
  </si>
  <si>
    <t>doris elena ramirez</t>
  </si>
  <si>
    <t>doris06@icloud.com</t>
  </si>
  <si>
    <t>143-05 41st flushing 3L NY queens</t>
  </si>
  <si>
    <t>+19177806078</t>
  </si>
  <si>
    <t>144-80 barclay av</t>
  </si>
  <si>
    <t>colombia</t>
  </si>
  <si>
    <t>medical examiner</t>
  </si>
  <si>
    <t>dinner</t>
  </si>
  <si>
    <t>queens college</t>
  </si>
  <si>
    <t>leader:</t>
  </si>
  <si>
    <t>crazy 
friendly 
good person</t>
  </si>
  <si>
    <t>study</t>
  </si>
  <si>
    <t>noup</t>
  </si>
  <si>
    <t>4t24ggg4i0xct3crxf7f4t24ggg4jaue</t>
  </si>
  <si>
    <t>Sandy</t>
  </si>
  <si>
    <t>Mercedes</t>
  </si>
  <si>
    <t>sandymarte925@gmail.com</t>
  </si>
  <si>
    <t>+16465009855</t>
  </si>
  <si>
    <t>Bronx NY 2310 holland ave: code: 10458</t>
  </si>
  <si>
    <t>gregoria marte</t>
  </si>
  <si>
    <t>yudelkamarteolivares@gmail.com</t>
  </si>
  <si>
    <t>+16469057002</t>
  </si>
  <si>
    <t>Crotona Avenue, Bronx, NY</t>
  </si>
  <si>
    <t>1 año</t>
  </si>
  <si>
    <t>latino</t>
  </si>
  <si>
    <t>ingenieria civil</t>
  </si>
  <si>
    <t>ser Jugador de futbol</t>
  </si>
  <si>
    <t>Massachusetts Institute of Technology	University of California Berkeley</t>
  </si>
  <si>
    <t>ingenieria civil, Jugador de futbol</t>
  </si>
  <si>
    <t>mi objetivo es especifico por que  quiero ser un buen. jugador</t>
  </si>
  <si>
    <t>amigable, honesto, sincero por que soy buena persona</t>
  </si>
  <si>
    <t>soy bueno defendiendo en soccer</t>
  </si>
  <si>
    <t>no tengo nada mas que decir</t>
  </si>
  <si>
    <t>Como pertenezco</t>
  </si>
  <si>
    <t>Catolicismo</t>
  </si>
  <si>
    <t>HP 4</t>
  </si>
  <si>
    <t>nfflvkhg41yczjego6nfflvqmjlr8wm6</t>
  </si>
  <si>
    <t>Lin</t>
  </si>
  <si>
    <t>Luofeng</t>
  </si>
  <si>
    <t>luofeng2019@flushinginernational.org</t>
  </si>
  <si>
    <t>+19292042008</t>
  </si>
  <si>
    <t>USA</t>
  </si>
  <si>
    <t>Danny shi</t>
  </si>
  <si>
    <t>luofeng2019@flushinginternational.org</t>
  </si>
  <si>
    <t>+13478081881</t>
  </si>
  <si>
    <t>JHS 189 Daniel carter beard</t>
  </si>
  <si>
    <t>Barclays ave</t>
  </si>
  <si>
    <t>Make new friends</t>
  </si>
  <si>
    <t>ysp0a7bgz6oqjxysp0a7br9hvwrq8nez</t>
  </si>
  <si>
    <t>ariel</t>
  </si>
  <si>
    <t>guaman</t>
  </si>
  <si>
    <t>ariel2019@flushinginternational.org</t>
  </si>
  <si>
    <t>+13477615167</t>
  </si>
  <si>
    <t>35 37-99 corona NY 11368</t>
  </si>
  <si>
    <t>istagram</t>
  </si>
  <si>
    <t>miryam farez</t>
  </si>
  <si>
    <t>arielguamangf14@gmail.com</t>
  </si>
  <si>
    <t>+19292687344</t>
  </si>
  <si>
    <t>flushinginternationalhingschool</t>
  </si>
  <si>
    <t>144-80 Barclay Ave, Queens,  NY 11355</t>
  </si>
  <si>
    <t>ecuador</t>
  </si>
  <si>
    <t>spanish and English</t>
  </si>
  <si>
    <t>police</t>
  </si>
  <si>
    <t>dad , plomero</t>
  </si>
  <si>
    <t>Learn about colleges, Make new friends</t>
  </si>
  <si>
    <t>happy because i feel good</t>
  </si>
  <si>
    <t>i dont know</t>
  </si>
  <si>
    <t>college</t>
  </si>
  <si>
    <t>kevin</t>
  </si>
  <si>
    <t>ro3o7gqr0qh7takaro3o2ksru4pt859j</t>
  </si>
  <si>
    <t>402A E 153rd st N.Y. Bronx 10455</t>
  </si>
  <si>
    <t>Instragram</t>
  </si>
  <si>
    <t>Marcus martinez</t>
  </si>
  <si>
    <t>100alexito@gmail.com</t>
  </si>
  <si>
    <t>2474 crotona ave, Bronx</t>
  </si>
  <si>
    <t>Guatemala and Salvador</t>
  </si>
  <si>
    <t>in animation and digital drawing</t>
  </si>
  <si>
    <t>It is in creating an animation company or working in an animation or digital drawing company</t>
  </si>
  <si>
    <t>Harvard University	Stanford University</t>
  </si>
  <si>
    <t>animation, digital drawing, police, dectetive, cartoonist</t>
  </si>
  <si>
    <t>applying the skills I learn from my Champions in my academic work, Timely</t>
  </si>
  <si>
    <t>to continue to turn on I adapt quickly in continuing to forge my skills</t>
  </si>
  <si>
    <t>bbvp5ok5wadq7iwlamo963wi4me7bbvp</t>
  </si>
  <si>
    <t>Yafei</t>
  </si>
  <si>
    <t>Huang</t>
  </si>
  <si>
    <t>yafh0609@gmail.com</t>
  </si>
  <si>
    <t>+19292767588</t>
  </si>
  <si>
    <t>134-21 59Ave Flushing, NY 11355</t>
  </si>
  <si>
    <t>Guoxiangdi Huang and Ying Huang</t>
  </si>
  <si>
    <t>huangguowen23@gmail.com</t>
  </si>
  <si>
    <t>134-21 59Ave Flushing,NY 11355</t>
  </si>
  <si>
    <t>+19293188667</t>
  </si>
  <si>
    <t>The Flushing International High School</t>
  </si>
  <si>
    <t>144-80 Barclay Ave, Queens, NY 11355</t>
  </si>
  <si>
    <t>I was not born here, and we have been here around 5 years.</t>
  </si>
  <si>
    <t>SYEP</t>
  </si>
  <si>
    <t>CUNY</t>
  </si>
  <si>
    <t>Learned more skills.</t>
  </si>
  <si>
    <t>friendly, because I feel I very friendly with friends.</t>
  </si>
  <si>
    <t>learning ability, teamwork, and reliability.</t>
  </si>
  <si>
    <t>0x4ieipzli6koabduz2f0x4ieitjh4fe</t>
  </si>
  <si>
    <t>Tatiana</t>
  </si>
  <si>
    <t>Cardona</t>
  </si>
  <si>
    <t>tatiana2019@flushinginternational.org</t>
  </si>
  <si>
    <t>+19294909063</t>
  </si>
  <si>
    <t>134-14 franklin avenue, flushing new york 11355</t>
  </si>
  <si>
    <t>Mariluz Ramirez</t>
  </si>
  <si>
    <t>ramirezmarialuz073@gmail.com</t>
  </si>
  <si>
    <t>134-14 franklin avenue queens flushing NY 11355</t>
  </si>
  <si>
    <t>+13478584056</t>
  </si>
  <si>
    <t>144-80 barclay avenue queens ny 11355</t>
  </si>
  <si>
    <t>Flight attendant and doctor</t>
  </si>
  <si>
    <t>waitress at events</t>
  </si>
  <si>
    <t>suny cuny</t>
  </si>
  <si>
    <t>policy</t>
  </si>
  <si>
    <t>I will improve my average</t>
  </si>
  <si>
    <t>I learn quickly, I listen carefully I like to experience new things</t>
  </si>
  <si>
    <t>my english i not well</t>
  </si>
  <si>
    <t>d16ln83bsrly4dblcd16lnlqw31uuy15</t>
  </si>
  <si>
    <t>Yesica</t>
  </si>
  <si>
    <t>Fila</t>
  </si>
  <si>
    <t>y.fila2018@flushinginternational.org</t>
  </si>
  <si>
    <t>+19294718047</t>
  </si>
  <si>
    <t>37 26 101 st corona New York 11368</t>
  </si>
  <si>
    <t>Facebook(Yesica JF) Instagram(yesica._.ca)</t>
  </si>
  <si>
    <t>Maria Fila</t>
  </si>
  <si>
    <t>Filamaria1995@gmail.com</t>
  </si>
  <si>
    <t>37-26 101 st corona New York 11368</t>
  </si>
  <si>
    <t>+19294016981</t>
  </si>
  <si>
    <t>144-80 Barclay Av,Queens NY 11355</t>
  </si>
  <si>
    <t>I was born in Ecuador</t>
  </si>
  <si>
    <t>latina,ecuadorian</t>
  </si>
  <si>
    <t>Health Science Medicine</t>
  </si>
  <si>
    <t>I currently don't have a job</t>
  </si>
  <si>
    <t>I still don't have any in mind</t>
  </si>
  <si>
    <t>education,psychology</t>
  </si>
  <si>
    <t>attainable</t>
  </si>
  <si>
    <t>Get coaches and mentors who can help me with college and career, Gain skills I can use at a future job, Learn about careers</t>
  </si>
  <si>
    <t>I am calm, cheerful and funny I think because I take things calmly</t>
  </si>
  <si>
    <t>bear the blood, remember things</t>
  </si>
  <si>
    <t>at the moment, no</t>
  </si>
  <si>
    <t>not religiou</t>
  </si>
  <si>
    <t>rcgclu99j98m7iwdrcgclu9vvb9tt6ye</t>
  </si>
  <si>
    <t>Bohan</t>
  </si>
  <si>
    <t>bohan2019@flushinginternational.org</t>
  </si>
  <si>
    <t>+19295639355</t>
  </si>
  <si>
    <t>140-54 34th Ave, Flushing, NY 11354</t>
  </si>
  <si>
    <t>Xiuqin Liu</t>
  </si>
  <si>
    <t>78liuxiuqin@gmail.com</t>
  </si>
  <si>
    <t>+19294101598</t>
  </si>
  <si>
    <t>I'm came from China.</t>
  </si>
  <si>
    <t>Accounting</t>
  </si>
  <si>
    <t>I worked at FIHS. I organized all things of the warehouse and moved old chairs and tables outside. And I helped teachers translate the documents in Chinese.</t>
  </si>
  <si>
    <t>STEM, such as Accounting.</t>
  </si>
  <si>
    <t>I will improve my overall average, and learned more English. I will participate in more community activities.</t>
  </si>
  <si>
    <t>Gain skills I can use at a future job, Learn about colleges, Learn about careers, Get coaches and mentors who can help me with college and career</t>
  </si>
  <si>
    <t>Friendly, shy, and trustworthy.</t>
  </si>
  <si>
    <t>Time management, Team collaboration, and Speak Chinese and English.</t>
  </si>
  <si>
    <t>I have class from Monday to Friday.</t>
  </si>
  <si>
    <t>Safe, Connected, Supported and Comfortable.</t>
  </si>
  <si>
    <t>qhw8vnd1hulmitj0z5qhw8lzidcvr5xy</t>
  </si>
  <si>
    <t>Wilberto</t>
  </si>
  <si>
    <t>Velasquez</t>
  </si>
  <si>
    <t>wvmadri@crotonaihs.org</t>
  </si>
  <si>
    <t>1124 carroll pl Broxn NY 10456</t>
  </si>
  <si>
    <t>Instagran: davidm_504</t>
  </si>
  <si>
    <t>Reyna Madrid</t>
  </si>
  <si>
    <t>wilbertovelasquez0000@gmail.com</t>
  </si>
  <si>
    <t>1124 carroll pl apt 1c 10456</t>
  </si>
  <si>
    <t>+13458056772</t>
  </si>
  <si>
    <t>futbol</t>
  </si>
  <si>
    <t>Futbol</t>
  </si>
  <si>
    <t>new york university</t>
  </si>
  <si>
    <t>futbol, doctor,teacher, attorney ,electrical technician</t>
  </si>
  <si>
    <t>friendly annoying respectful</t>
  </si>
  <si>
    <t>good condition good conduct a lot of attention</t>
  </si>
  <si>
    <t>not</t>
  </si>
  <si>
    <t>qzhicj8vt1i43zf3h78cdqzhicj8vtwf</t>
  </si>
  <si>
    <t>Zhihao</t>
  </si>
  <si>
    <t>zhihao2019@flushinginternational.org</t>
  </si>
  <si>
    <t>+19299392022</t>
  </si>
  <si>
    <t>143-49 Barclay Ave, Flushing NY 11355</t>
  </si>
  <si>
    <t>Qiaoling Li</t>
  </si>
  <si>
    <t>143-49 Barclay Ave, Flushing NY, 11355</t>
  </si>
  <si>
    <t>+13479783983</t>
  </si>
  <si>
    <t>144-80 Barclay Ave, Queens NY 11355</t>
  </si>
  <si>
    <t>Doctor, Laywer, Psychology, Humanist.</t>
  </si>
  <si>
    <t>Take care for children.</t>
  </si>
  <si>
    <t>Stony Brooky, New York University, Binghamton University.</t>
  </si>
  <si>
    <t>Witer, Historian</t>
  </si>
  <si>
    <t>Specific is your goal, Measurable is results, Attainable short-term achievable goals, Relevant something related to your goal, Timely is due time, what time you need to finish your goal.</t>
  </si>
  <si>
    <t>insistent, hardworking, alone</t>
  </si>
  <si>
    <t>High adaptability, Chinese speaker, Expand new knowledge</t>
  </si>
  <si>
    <t>My English is not very well.</t>
  </si>
  <si>
    <t>Safe, comfortable</t>
  </si>
  <si>
    <t>87.59</t>
  </si>
  <si>
    <t>09hl2ozowuvuavgpcw09hl2ovv8x2xym</t>
  </si>
  <si>
    <t>JiaJing</t>
  </si>
  <si>
    <t>Li</t>
  </si>
  <si>
    <t>jiajing2019@flushingintetrnational.org</t>
  </si>
  <si>
    <t>+19179634910</t>
  </si>
  <si>
    <t>116-10 14RD 2RT flushing NY 11356</t>
  </si>
  <si>
    <t>Jingdieya</t>
  </si>
  <si>
    <t>Jiabi wang</t>
  </si>
  <si>
    <t>ljy20200829@gmail.com</t>
  </si>
  <si>
    <t>144-80 borclay Avenve ,Queens NY 11355</t>
  </si>
  <si>
    <t>I bron in China</t>
  </si>
  <si>
    <t>China Han nationality</t>
  </si>
  <si>
    <t>I went to apply for that job</t>
  </si>
  <si>
    <t>NYU</t>
  </si>
  <si>
    <t>IT</t>
  </si>
  <si>
    <t>Take class seriously, complete homework, and arrive at school on time</t>
  </si>
  <si>
    <t>Learn about colleges, Make new friends, Get an internship</t>
  </si>
  <si>
    <t>optimism</t>
  </si>
  <si>
    <t>Guitar</t>
  </si>
  <si>
    <t>I like more communication</t>
  </si>
  <si>
    <t>I feel good</t>
  </si>
  <si>
    <t>78%</t>
  </si>
  <si>
    <t>h3ji5ds5anea8pu6hoh3jik44rikdbgl</t>
  </si>
  <si>
    <t>Mathews</t>
  </si>
  <si>
    <t>Huacon</t>
  </si>
  <si>
    <t>mathews2019@flushinginternational.org</t>
  </si>
  <si>
    <t>+19292336860</t>
  </si>
  <si>
    <t>114-07 Taipei CT FL1College Point NY 11356</t>
  </si>
  <si>
    <t>Maria Veliz</t>
  </si>
  <si>
    <t>mariaveliz.85@hotmail.com</t>
  </si>
  <si>
    <t>114-07 Taipei CT Fl1 College point NY 11356</t>
  </si>
  <si>
    <t>+13474858817</t>
  </si>
  <si>
    <t>114-80 Barclay Ave, Queens, NY 11355</t>
  </si>
  <si>
    <t>4 years ago</t>
  </si>
  <si>
    <t>medicine</t>
  </si>
  <si>
    <t>Work in restaurant</t>
  </si>
  <si>
    <t>Cuny, and Suny</t>
  </si>
  <si>
    <t>pilot,chef,astrology,barber shop , soccer team player.</t>
  </si>
  <si>
    <t>I want to increase my grades</t>
  </si>
  <si>
    <t>peacefull,respectfull,sincerely</t>
  </si>
  <si>
    <t>know english , to be responsible , and put attention to my class</t>
  </si>
  <si>
    <t>I like to play soccer</t>
  </si>
  <si>
    <t>I feel good with my community</t>
  </si>
  <si>
    <t>7qqro7b2jrp3hxoz2w17qqro7getvpr1</t>
  </si>
  <si>
    <t>jiajing2019@flushinginternational.org</t>
  </si>
  <si>
    <t>3lmh473s8v7gn0rbqrbpg3lmh476hqka</t>
  </si>
  <si>
    <t>Cesar Misael</t>
  </si>
  <si>
    <t>Orellana Riera</t>
  </si>
  <si>
    <t>cesar2019@flushinginternational.org</t>
  </si>
  <si>
    <t>+19294715238</t>
  </si>
  <si>
    <t>111-65 42ND Queens NY 11368</t>
  </si>
  <si>
    <t>Silvia Estefania Riera Piure</t>
  </si>
  <si>
    <t>silviariera85@hotmail.com</t>
  </si>
  <si>
    <t>111-65-42ND Avenue NY 11368</t>
  </si>
  <si>
    <t>+17186906992</t>
  </si>
  <si>
    <t>144-Barclay Avenue</t>
  </si>
  <si>
    <t>nothing else</t>
  </si>
  <si>
    <t>Im interested maybe in being a police in the future</t>
  </si>
  <si>
    <t>cashier</t>
  </si>
  <si>
    <t>I wanna improve my skills in math class for being able to get ME at the end of the year,and I want to improve my pronunciation.</t>
  </si>
  <si>
    <t>patient, cheerful, weak</t>
  </si>
  <si>
    <t>I collaborate with the ideas of others, participate</t>
  </si>
  <si>
    <t>that I don't learn things the first time</t>
  </si>
  <si>
    <t>izx6lixt139q429kuckizx6lix501icb</t>
  </si>
  <si>
    <t>Romina Sulaimonova</t>
  </si>
  <si>
    <t>Sulaimonova</t>
  </si>
  <si>
    <t>sulaimonova.romina@emmalzarus.org</t>
  </si>
  <si>
    <t>+19176015360</t>
  </si>
  <si>
    <t>120 Ocean View Avenue apt. 1B, Brooklyn, NY, 11235</t>
  </si>
  <si>
    <t>Eraj Sulaimonov</t>
  </si>
  <si>
    <t>kibizon88@gmail.com</t>
  </si>
  <si>
    <t>120 Ocean View Avenue apt.1B, Brooklyn, NY,11235</t>
  </si>
  <si>
    <t>+16466038656</t>
  </si>
  <si>
    <t>100 Hester St, New York, NY</t>
  </si>
  <si>
    <t>Tajikistan, Dushanbe</t>
  </si>
  <si>
    <t>Phsychologist</t>
  </si>
  <si>
    <t>I was a cashier</t>
  </si>
  <si>
    <t>1. Hunter, 2. John Jay, 3. NYU, 4. CUNY, 5. Harvard, 6. Princeton, 7. Columbia, 8. Yale University, 9.Cornell University, 10. Binghamton University</t>
  </si>
  <si>
    <t>detective, forensic science, law, teacher, nurse</t>
  </si>
  <si>
    <t>I will improve my overall average by 10 points, from 87 to 97 by applying the skills I learn from my internship, by the end of the school year</t>
  </si>
  <si>
    <t>Learn about careers, Get coaches and mentors who can help me with college and career, Gain skills I can use at a future job, Make new friends</t>
  </si>
  <si>
    <t>honest, calm, polite. I don't like when someone lie to me so i'm always honest. I'm calm because I don't like to feel frustrating. And I'm polite because I don't want to hurt anyones feelings.</t>
  </si>
  <si>
    <t>math skills, public speaking, teamwork</t>
  </si>
  <si>
    <t>I like solving equations</t>
  </si>
  <si>
    <t>safe]</t>
  </si>
  <si>
    <t>hmancdf26hk4bw16b4twhmancdnmb5cx</t>
  </si>
  <si>
    <t>Zihan</t>
  </si>
  <si>
    <t>Zhang</t>
  </si>
  <si>
    <t>zihan2019@flushinginternational.org</t>
  </si>
  <si>
    <t>+19294983217</t>
  </si>
  <si>
    <t>132-35 Sanford Ave. Apt 410, Flushing, NY, 11355</t>
  </si>
  <si>
    <t>@ZHZ1399416644</t>
  </si>
  <si>
    <t>Chun Zhang</t>
  </si>
  <si>
    <t>zh.zhang1399416644@gmail.com</t>
  </si>
  <si>
    <t>+19299000499</t>
  </si>
  <si>
    <t>Lawyer or a Doctor</t>
  </si>
  <si>
    <t>Columbia University, Cornell University, University of Rochester, New York University, Fordham University, Syracuse Unive, SUNY, CUNY, Morrisville State Collegersity, Utica College, Long Island University</t>
  </si>
  <si>
    <t>Designer, Doctor, Architect, Teacher, Office worker</t>
  </si>
  <si>
    <t>My goal is to complete all the PBATs in the school to graduate and strive to pass the Regent exam and get a high score on the SAT to make myself better.</t>
  </si>
  <si>
    <t>Calm, quiet and hardworking. Because I like to complete all the projects by myself and will continue to improve myself to get more opportunities.</t>
  </si>
  <si>
    <t>Calculation ability, HTML programming, Multitask</t>
  </si>
  <si>
    <t>I will try my best to finish my intership. But my speaking skill is not very good.</t>
  </si>
  <si>
    <t>comfortable</t>
  </si>
  <si>
    <t>96%</t>
  </si>
  <si>
    <t>au2pgi3idedzau2pbkm0jdfkal611xt8</t>
  </si>
  <si>
    <t>Qingyang</t>
  </si>
  <si>
    <t>qingyang2019@flushinginternation.org</t>
  </si>
  <si>
    <t>+13478281685</t>
  </si>
  <si>
    <t>123-15 23ave College point NY NY 11356</t>
  </si>
  <si>
    <t>Chenqiu Yu</t>
  </si>
  <si>
    <t>2991018329@qq.com</t>
  </si>
  <si>
    <t>+13473486189</t>
  </si>
  <si>
    <t>Flushinginternational.org</t>
  </si>
  <si>
    <t>CHina</t>
  </si>
  <si>
    <t>more than 16 years</t>
  </si>
  <si>
    <t>Design house</t>
  </si>
  <si>
    <t>design house</t>
  </si>
  <si>
    <t>Harvard University，Stony Brook University，Queen's University</t>
  </si>
  <si>
    <t>Designer, lawyer,docter.</t>
  </si>
  <si>
    <t>I will pass my english PBAT this year.</t>
  </si>
  <si>
    <t>Learn about colleges, Make new friends, Gain skills I can use at a future job</t>
  </si>
  <si>
    <t>Hard work, calm, and positive. because I speak in class, I am calm when solving problems and very hard when I work.</t>
  </si>
  <si>
    <t>I have leadership skills, language skills, and computer skills.</t>
  </si>
  <si>
    <t>I want to be a designer</t>
  </si>
  <si>
    <t>I feel relaxed and cool in this community</t>
  </si>
  <si>
    <t>about 90</t>
  </si>
  <si>
    <t>z3i1oohf8wm42kvbz3u6brnw4ax417ob</t>
  </si>
  <si>
    <t>Yomar</t>
  </si>
  <si>
    <t>Matias</t>
  </si>
  <si>
    <t>yomarmatias@crotonaihs.org</t>
  </si>
  <si>
    <t>+19293237622</t>
  </si>
  <si>
    <t>190 W Burnside Ave Apt 1A, Bronx, NY 10453</t>
  </si>
  <si>
    <t>IG: yomar_matias Facebook: Yomar Matias</t>
  </si>
  <si>
    <t>Yuberky Ramirez</t>
  </si>
  <si>
    <t>yuberkyramirez1976@gmail.com</t>
  </si>
  <si>
    <t>+16466982202</t>
  </si>
  <si>
    <t>Crotona IHS</t>
  </si>
  <si>
    <t>Hace 5 años</t>
  </si>
  <si>
    <t>Dominicano</t>
  </si>
  <si>
    <t>Ingeniería electrónica</t>
  </si>
  <si>
    <t>Me gustaria aprender y desarrollar una carrera en Ingeniería electrónica. Poder hacer reparaciones y arreglos</t>
  </si>
  <si>
    <t>Colombia University, Fordham University</t>
  </si>
  <si>
    <t>Ciencias Ambientales</t>
  </si>
  <si>
    <t>Graduarme de la escuela</t>
  </si>
  <si>
    <t>Comprensible, Amable y cuidando</t>
  </si>
  <si>
    <t>Pensamiento critico, Negosaciones y Empatico</t>
  </si>
  <si>
    <t>Seguro</t>
  </si>
  <si>
    <t>No religioso</t>
  </si>
  <si>
    <t>ssu63bnoe9p9brrtanssu6lsdqlsi4oc</t>
  </si>
  <si>
    <t>Kaite</t>
  </si>
  <si>
    <t>Cai</t>
  </si>
  <si>
    <t>kaite2019@flushinginternational.org</t>
  </si>
  <si>
    <t>+16469618600</t>
  </si>
  <si>
    <t>22-05 119th st College point NY 11356</t>
  </si>
  <si>
    <t>Bilibili and Wechat</t>
  </si>
  <si>
    <t>Kaiwei Cai</t>
  </si>
  <si>
    <t>kaiwei.cai15@gmail.com</t>
  </si>
  <si>
    <t>30-19 Murray St Flushing NY 11354</t>
  </si>
  <si>
    <t>+13478279326</t>
  </si>
  <si>
    <t>144-80 Barclay Avenue Flushing NY 11355</t>
  </si>
  <si>
    <t>I was not born here</t>
  </si>
  <si>
    <t>Novelist</t>
  </si>
  <si>
    <t>They are all in China</t>
  </si>
  <si>
    <t>waiter</t>
  </si>
  <si>
    <t>Specific: I will improve my English level. 
Measurable: 6 points. 
Attainable: 90-95. |
Relevant: for my future work
Timely: by the end of the school year</t>
  </si>
  <si>
    <t>Gain skills I can use at a future job, Learn about careers, Make new friends, Get an internship, Get coaches and mentors who can help me with college and career, Learn about colleges</t>
  </si>
  <si>
    <t>I don't need it</t>
  </si>
  <si>
    <t>Creative brain
Patient.</t>
  </si>
  <si>
    <t>l3d4rr9oonuuxlsyc2ll3d4rrths7yq3</t>
  </si>
  <si>
    <t>kimberlin</t>
  </si>
  <si>
    <t>Ruiz</t>
  </si>
  <si>
    <t>kruiz@crotonaihs.org</t>
  </si>
  <si>
    <t>+19294128639</t>
  </si>
  <si>
    <t>1183 E tremont ave apt:B24 Bronx NY</t>
  </si>
  <si>
    <t>Yuri Marisol Ruiz Gomez</t>
  </si>
  <si>
    <t>ruizyuri677@gmail.com</t>
  </si>
  <si>
    <t>1183 E Tremont ave apt:B24 Bronx NY</t>
  </si>
  <si>
    <t>+13474959712</t>
  </si>
  <si>
    <t>2474 crotona ave , Bronx NY</t>
  </si>
  <si>
    <t>25</t>
  </si>
  <si>
    <t>CUNYS, SUNYS, FORDAM,</t>
  </si>
  <si>
    <t>administration, doctor</t>
  </si>
  <si>
    <t>graduate high school, graduate college, and work in my dream job</t>
  </si>
  <si>
    <t>honesta, intelligente, determinada</t>
  </si>
  <si>
    <t>organizada, ayudante, responsable</t>
  </si>
  <si>
    <t>cristianismo</t>
  </si>
  <si>
    <t>v2h9sqdisdwnp4v4f8hv2h9sqliwbr7y</t>
  </si>
  <si>
    <t>Long xiong</t>
  </si>
  <si>
    <t>long</t>
  </si>
  <si>
    <t>lx1371741380@gmail.com</t>
  </si>
  <si>
    <t>+19294946488</t>
  </si>
  <si>
    <t>56-52 Clearview Expy，Flushing，NY 11364</t>
  </si>
  <si>
    <t>Xiong Long</t>
  </si>
  <si>
    <t>Li Long</t>
  </si>
  <si>
    <t>longsheng120@gmail.com</t>
  </si>
  <si>
    <t>+16466202328</t>
  </si>
  <si>
    <t>Flushing international</t>
  </si>
  <si>
    <t>144-80 Barclay Are Queens，NY11355</t>
  </si>
  <si>
    <t>chinese</t>
  </si>
  <si>
    <t>chef programmer i don't know</t>
  </si>
  <si>
    <t>Japanese hibachi ，Is my brother‘s friend。</t>
  </si>
  <si>
    <t>learn English well</t>
  </si>
  <si>
    <t>lzlhon6wqczj6vvwvhd1zlzlh3i62oce</t>
  </si>
  <si>
    <t>Juan</t>
  </si>
  <si>
    <t>Baron</t>
  </si>
  <si>
    <t>j.baron2018@flushinginternational.org</t>
  </si>
  <si>
    <t>+13478079565</t>
  </si>
  <si>
    <t>108-58 50 av corona, NY, 11368</t>
  </si>
  <si>
    <t>Juan cordero</t>
  </si>
  <si>
    <t>pavitas149@gmail.com</t>
  </si>
  <si>
    <t>+13478078371</t>
  </si>
  <si>
    <t>144-80 Barclay avenue</t>
  </si>
  <si>
    <t>Bogota Colombia</t>
  </si>
  <si>
    <t>no naci aqui</t>
  </si>
  <si>
    <t>en una barberia profesional</t>
  </si>
  <si>
    <t>por un amigo</t>
  </si>
  <si>
    <t>nose</t>
  </si>
  <si>
    <t>aprender</t>
  </si>
  <si>
    <t>nada</t>
  </si>
  <si>
    <t>Cristianismo</t>
  </si>
  <si>
    <t>77.94%</t>
  </si>
  <si>
    <t>ipw4n60lg1lajlsbzyj2jipw4ncohhk2</t>
  </si>
  <si>
    <t>Claribel</t>
  </si>
  <si>
    <t>Escobar</t>
  </si>
  <si>
    <t>Claribel2019@flushinginternational.org</t>
  </si>
  <si>
    <t>+13475960250</t>
  </si>
  <si>
    <t>43-73 163rd st flushing ny 11358</t>
  </si>
  <si>
    <t>clariibel_manciia</t>
  </si>
  <si>
    <t>Alvaro Noe Escobar Mancia</t>
  </si>
  <si>
    <t>claribel2019@flushinginternational.org</t>
  </si>
  <si>
    <t>+19295085348</t>
  </si>
  <si>
    <t>flushing international  high school</t>
  </si>
  <si>
    <t>144-80 Barclay ave flushing NY 11355</t>
  </si>
  <si>
    <t>4 year</t>
  </si>
  <si>
    <t>latin</t>
  </si>
  <si>
    <t>I dont know yet</t>
  </si>
  <si>
    <t>My job is as a waitress and I got it from a friend</t>
  </si>
  <si>
    <t>columbia university, cornell university st john's university</t>
  </si>
  <si>
    <t>medical forence nurse police or military</t>
  </si>
  <si>
    <t>improve my English pronunciation and writing</t>
  </si>
  <si>
    <t>kind and respectful patient because I like that other people also respect me</t>
  </si>
  <si>
    <t>the affectionate respect towards other genres and the interest</t>
  </si>
  <si>
    <t>safe, supported, connected</t>
  </si>
  <si>
    <t>6dfw0py30dp4f9r76dfw0p0nqogwbaqp</t>
  </si>
  <si>
    <t>Yuxi</t>
  </si>
  <si>
    <t>yyang2019@flushinginternational.org</t>
  </si>
  <si>
    <t>+19294989159</t>
  </si>
  <si>
    <t>42-18 College Point，Flushing，NY，11355</t>
  </si>
  <si>
    <t>Qiangqin Lin</t>
  </si>
  <si>
    <t>709713576@qq.com</t>
  </si>
  <si>
    <t>142-18 59th ave，Flushing，NY 11355</t>
  </si>
  <si>
    <t>+16462263011</t>
  </si>
  <si>
    <t>Both my parents and I are from China.</t>
  </si>
  <si>
    <t>Arrived in America in 2015.</t>
  </si>
  <si>
    <t>Makeup artist</t>
  </si>
  <si>
    <t>My job is a manicurist. I saw it in the advertisement.</t>
  </si>
  <si>
    <t>cuny</t>
  </si>
  <si>
    <t>Accountant, designer</t>
  </si>
  <si>
    <t>Participate in 3 volunteer activities.</t>
  </si>
  <si>
    <t>female，student，Asian</t>
  </si>
  <si>
    <t>Keep one's word and do one's duty,modest</t>
  </si>
  <si>
    <t>Catholicism，Buddhism, Christianity.Judaism</t>
  </si>
  <si>
    <t>MT</t>
  </si>
  <si>
    <t>kv59r2a6jhrxylhpvkv59enddbagzehv</t>
  </si>
  <si>
    <t>132-35 Sanford Ave. Apt 410, New York NY 11355</t>
  </si>
  <si>
    <t>Lawyer or Designer</t>
  </si>
  <si>
    <t>New York University, Columbia University, Fordham University, Hunter College, Baruch College</t>
  </si>
  <si>
    <t>Office worker, Designer, Teacher, Doctor, Architect</t>
  </si>
  <si>
    <t>My goal is to improve myself and get good grades. I hope to get the opportunity of internship and complete it well.</t>
  </si>
  <si>
    <t>Get an internship, Get coaches and mentors who can help me with college and career, Gain skills I can use at a future job, Learn about colleges, Make new friends, Learn about careers</t>
  </si>
  <si>
    <t>Hardworking, honest, effort</t>
  </si>
  <si>
    <t>Computing power, HTML programming and multitasking</t>
  </si>
  <si>
    <t>I think I am a hard worker and I will try my best to improve myself to get more opportunities. I will not give up easily.</t>
  </si>
  <si>
    <t>Comfortable</t>
  </si>
  <si>
    <t>97.10%</t>
  </si>
  <si>
    <t>z8d3p6tff3wo35az8d3p6ku4nfqc2l0x</t>
  </si>
  <si>
    <t>Christopher</t>
  </si>
  <si>
    <t>Mendoza</t>
  </si>
  <si>
    <t>christopher2019@flushinginternational.org</t>
  </si>
  <si>
    <t>+19293255090</t>
  </si>
  <si>
    <t>36-20 parsons boulevard apt 3a flushing NY 11354</t>
  </si>
  <si>
    <t>Ily_bizarr3chris on ig</t>
  </si>
  <si>
    <t>Valentin Mendoza</t>
  </si>
  <si>
    <t>valebb7u716@gmail.com</t>
  </si>
  <si>
    <t>36-20 parsons boulevard apt 3A flushing NY, 11354</t>
  </si>
  <si>
    <t>144-80 barclay av.</t>
  </si>
  <si>
    <t>16</t>
  </si>
  <si>
    <t>Anesthesiologist</t>
  </si>
  <si>
    <t>Construction, I get the job by my dad, he give me work</t>
  </si>
  <si>
    <t>Escuela de Medicina grossman de NY</t>
  </si>
  <si>
    <t>Anesthesiologist, Chemist, nursery</t>
  </si>
  <si>
    <t>My goal is help people in that job, I want to be the best in that job but I also want to learn about life issues, about people that would be around me in that job</t>
  </si>
  <si>
    <t>Fast learning, smart, multitask</t>
  </si>
  <si>
    <t>Multitasking, good with technology, fast learning</t>
  </si>
  <si>
    <t>Supportted</t>
  </si>
  <si>
    <t>79.70%</t>
  </si>
  <si>
    <t>wh7ruepqief175wh7rqaj5o9vv8nj5rz</t>
  </si>
  <si>
    <t>Jaritza</t>
  </si>
  <si>
    <t>Ortega</t>
  </si>
  <si>
    <t>jaritza2019@flushinginternational.org</t>
  </si>
  <si>
    <t>+17185007350</t>
  </si>
  <si>
    <t>13404 35th Ave, flushing, NY 11354</t>
  </si>
  <si>
    <t>Facebook: Yaya Ortega, Instagram: @j.yaya7</t>
  </si>
  <si>
    <t>Elsi Sosa</t>
  </si>
  <si>
    <t>elsirobles2006@gmail.com</t>
  </si>
  <si>
    <t>+17187758163</t>
  </si>
  <si>
    <t>14480 Barclay Ave, Queens, NY 11355</t>
  </si>
  <si>
    <t>I wasn’t born here.</t>
  </si>
  <si>
    <t>Being able to make my own boss.</t>
  </si>
  <si>
    <t>Business Administration, Dentist and Doctor.</t>
  </si>
  <si>
    <t>Improve my percentages to be successful.</t>
  </si>
  <si>
    <t>Happy, funny and respectful because I feel that those are my three words that describe me for how strict they have been with my child.</t>
  </si>
  <si>
    <t>I think they are being honest with myself and having patience.</t>
  </si>
  <si>
    <t>85.37%</t>
  </si>
  <si>
    <t>kbxypt8bj1rey16qx29ahfkbxytuafyx</t>
  </si>
  <si>
    <t>Melanny</t>
  </si>
  <si>
    <t>Pinzon</t>
  </si>
  <si>
    <t>alejandrapinzon0808@gmail.com</t>
  </si>
  <si>
    <t>+19293284615</t>
  </si>
  <si>
    <t>153-28 Sanford ave</t>
  </si>
  <si>
    <t>Ig:@__mlnnyyy Twitter: @mlnyapb</t>
  </si>
  <si>
    <t>Paola Bolivar</t>
  </si>
  <si>
    <t>melannyy0805@hotmail.com</t>
  </si>
  <si>
    <t>153-28 Sanford Ave</t>
  </si>
  <si>
    <t>+13472378929</t>
  </si>
  <si>
    <t>146-14 Beech ave.</t>
  </si>
  <si>
    <t>4 years</t>
  </si>
  <si>
    <t>stewardess or teacher of little children</t>
  </si>
  <si>
    <t>hostess or person who helps migrant families</t>
  </si>
  <si>
    <t>Stewardess Teacher of young children   Migrant helper</t>
  </si>
  <si>
    <t>improve my grades and be able to study to be a stewardess</t>
  </si>
  <si>
    <t>Get coaches and mentors who can help me with college and career, Get an internship, Learn about colleges, Gain skills I can use at a future job</t>
  </si>
  <si>
    <t>reliable, friendly and I like to help</t>
  </si>
  <si>
    <t>Collaboration
Communication
Respect
Adaptability
Curiosity</t>
  </si>
  <si>
    <t>80.25%</t>
  </si>
  <si>
    <t>2opgj1w7hvbgum57t2opgspjvdj10v6p</t>
  </si>
  <si>
    <t>123-15 23 ave, College point NY NY 11356</t>
  </si>
  <si>
    <t>Chen qiu</t>
  </si>
  <si>
    <t>+13473481685</t>
  </si>
  <si>
    <t>144-80 Barclay Avenue, Flushing</t>
  </si>
  <si>
    <t>CHinese</t>
  </si>
  <si>
    <t>harvard university, queens college, Stony Brook University</t>
  </si>
  <si>
    <t>Lawyer, doctor</t>
  </si>
  <si>
    <t>I will improve my GPA from 91.63 to 94</t>
  </si>
  <si>
    <t>Make new friends, Learn about careers, Get coaches and mentors who can help me with college and career</t>
  </si>
  <si>
    <t>calm, work hard, confident</t>
  </si>
  <si>
    <t>computer skills, drawing skill</t>
  </si>
  <si>
    <t>I like computer skill</t>
  </si>
  <si>
    <t>I feel good and comfortable.</t>
  </si>
  <si>
    <t>91.63</t>
  </si>
  <si>
    <t>l23043ns3kvq3tfyb9fal2304dqodo0y</t>
  </si>
  <si>
    <t>Nancy</t>
  </si>
  <si>
    <t>Giron</t>
  </si>
  <si>
    <t>nancigiron20@gmail.com</t>
  </si>
  <si>
    <t>+13473639307</t>
  </si>
  <si>
    <t>147-11 34Av Flushing NY 11354</t>
  </si>
  <si>
    <t>WhatsApp,Instagram,Facebook.</t>
  </si>
  <si>
    <t>Teresa Siliezar</t>
  </si>
  <si>
    <t>ny3478227284@gmail.com</t>
  </si>
  <si>
    <t>+13478227284</t>
  </si>
  <si>
    <t>Flushing International high School</t>
  </si>
  <si>
    <t>144-80 Barclay Av Queens NY 11355</t>
  </si>
  <si>
    <t>law</t>
  </si>
  <si>
    <t>I'm not sure.</t>
  </si>
  <si>
    <t>I don't know yet.</t>
  </si>
  <si>
    <t>happy</t>
  </si>
  <si>
    <t>I  don'tt have yet</t>
  </si>
  <si>
    <t>86.74%</t>
  </si>
  <si>
    <t>2julkflx9g7wcxy2ju1pu1diqf2lvvki</t>
  </si>
  <si>
    <t>Yeling</t>
  </si>
  <si>
    <t>yeling2019@flushinginternational.org</t>
  </si>
  <si>
    <t>+13479252321</t>
  </si>
  <si>
    <t>32-17 Linden PL 2B, Flushing, NY 11354</t>
  </si>
  <si>
    <t>Fang Li</t>
  </si>
  <si>
    <t>lyl505116@gmail.com</t>
  </si>
  <si>
    <t>32-17  Linden PL 2B,Flushing,NY 11354</t>
  </si>
  <si>
    <t>+13476015618</t>
  </si>
  <si>
    <t>144-80 Barclays Ave</t>
  </si>
  <si>
    <t>I am not born here</t>
  </si>
  <si>
    <t>Kindergarten teacher</t>
  </si>
  <si>
    <t>My mother’s friend recommended me to work in his shop and my work is waiter.</t>
  </si>
  <si>
    <t>I want my score to reach 95.</t>
  </si>
  <si>
    <t>Learn about careers, Learn about colleges, Make new friends, Gain skills I can use at a future job, Get coaches and mentors who can help me with college and career, Get an internship</t>
  </si>
  <si>
    <t>Funny,introvert,and generous because I like to help people</t>
  </si>
  <si>
    <t>Collaborate, communicate and respect</t>
  </si>
  <si>
    <t>I want to know more about career that suit me</t>
  </si>
  <si>
    <t>90hjn1oqmenmxna90hjcinlgcz70y0os</t>
  </si>
  <si>
    <t>Marlin</t>
  </si>
  <si>
    <t>Rodriguez</t>
  </si>
  <si>
    <t>yannerdgz47@gmail.com</t>
  </si>
  <si>
    <t>+16312337880</t>
  </si>
  <si>
    <t>42-41 159 st, Flushing, NY, 11358</t>
  </si>
  <si>
    <t>www.facebook.com/yanneerodriguez</t>
  </si>
  <si>
    <t>Maria Gongora</t>
  </si>
  <si>
    <t>felicitasmariairaheta@gmail.com</t>
  </si>
  <si>
    <t>+15166021602</t>
  </si>
  <si>
    <t>My race is Hispanic or Latin</t>
  </si>
  <si>
    <t>I am interested in learning about nursing</t>
  </si>
  <si>
    <t>I want to be a nurse</t>
  </si>
  <si>
    <t>Queens College, City University ofu New York, Kingsborough Community College, Borough of Manhattan Community College, SUNY Maritime College,  Queensborough Community College, CUNY College of Staten Island, LaGuardia Community College, CUNY Graduated Center</t>
  </si>
  <si>
    <t>Pediatric nursing, Law, Counselor, Social Workers, Psychology</t>
  </si>
  <si>
    <t>Improve my average in my classes that I have a grade of 75 to be able to reach a 90 or 95 which I only have in my art class.</t>
  </si>
  <si>
    <t>I learn fast, I like to give support to people and I like to improve and improve my everything</t>
  </si>
  <si>
    <t>I am a good team worker, I am a good athlete and a good writer</t>
  </si>
  <si>
    <t>I like to communicate more by writing than speaking</t>
  </si>
  <si>
    <t>Safe, support</t>
  </si>
  <si>
    <t>80.41%</t>
  </si>
  <si>
    <t>ieqo34l9ggqqa4ieqoymfhd4lyf8e291</t>
  </si>
  <si>
    <t>Longyu</t>
  </si>
  <si>
    <t>longyu2019@flushinginternational.org</t>
  </si>
  <si>
    <t>+19293295021</t>
  </si>
  <si>
    <t>38-25 Parsons Blvd, Flushing NY 11354</t>
  </si>
  <si>
    <t>https://www.facebook.com/longyu.lin.12</t>
  </si>
  <si>
    <t>Fangzheng Lin</t>
  </si>
  <si>
    <t>2090862802@qq.com</t>
  </si>
  <si>
    <t>+16313199777</t>
  </si>
  <si>
    <t>​144-80 Barclay Ave, Flushing NY 11355</t>
  </si>
  <si>
    <t>indoor and outdoor design</t>
  </si>
  <si>
    <t>The job is a waiter in a restaurant and I got the job from someone I know.</t>
  </si>
  <si>
    <t>NYU, RPI,SUNY,</t>
  </si>
  <si>
    <t>programmer, architect, game designer, Game modeling,Graphic Designer</t>
  </si>
  <si>
    <t>I will improve my GPA by 5 points from 93 to 98 by applying the skills I learn from my Champions in my academic work by the end of the school year.</t>
  </si>
  <si>
    <t>optimism, rational, open-mind</t>
  </si>
  <si>
    <t>Typing speed, hardworking, ability to work under press.</t>
  </si>
  <si>
    <t>I would also like to be a programmer and game designer besides an architect.</t>
  </si>
  <si>
    <t>93.97</t>
  </si>
  <si>
    <t>lxcyis4gt9q4yxf4lxcyibsfn4crr33r</t>
  </si>
  <si>
    <t>David</t>
  </si>
  <si>
    <t>Reynoso Fernandez</t>
  </si>
  <si>
    <t>david2019@flushinginternational.org</t>
  </si>
  <si>
    <t>+16469824608</t>
  </si>
  <si>
    <t>10915 37Th AVE 11368 NY</t>
  </si>
  <si>
    <t>Davidfr_15</t>
  </si>
  <si>
    <t>Maria Fernandez de Lopez</t>
  </si>
  <si>
    <t>maria.fernandez112379@gmail.com</t>
  </si>
  <si>
    <t>10915 37th AVE 11368 NY</t>
  </si>
  <si>
    <t>+17866162303</t>
  </si>
  <si>
    <t>Latino</t>
  </si>
  <si>
    <t>Espanol and English</t>
  </si>
  <si>
    <t>About scince and inverting</t>
  </si>
  <si>
    <t>Do scince other</t>
  </si>
  <si>
    <t>i dont know for now</t>
  </si>
  <si>
    <t>scince or invisiting or other</t>
  </si>
  <si>
    <t>I will improve my average from 86.99 to 95.99</t>
  </si>
  <si>
    <t>Get an internship, Learn about careers, Gain skills I can use at a future job, Get coaches and mentors who can help me with college and career, Learn about colleges</t>
  </si>
  <si>
    <t>To complete my gold</t>
  </si>
  <si>
    <t>I can do different things like sell person go in investing and other</t>
  </si>
  <si>
    <t>no thing for now</t>
  </si>
  <si>
    <t>ME</t>
  </si>
  <si>
    <t>wf5ion2te7sry97sdvdwf5iats9c6uss</t>
  </si>
  <si>
    <t>Walter</t>
  </si>
  <si>
    <t>Ramos</t>
  </si>
  <si>
    <t>ramosgonzalesjosue2@gmail.com</t>
  </si>
  <si>
    <t>+16468067487</t>
  </si>
  <si>
    <t>112 33 15 ave college point NY 11356</t>
  </si>
  <si>
    <t>Salvadorian_pro503</t>
  </si>
  <si>
    <t>Jose Ramos</t>
  </si>
  <si>
    <t>+13479388810</t>
  </si>
  <si>
    <t>144 80 Barclay ave</t>
  </si>
  <si>
    <t>Elsalvador</t>
  </si>
  <si>
    <t>I am Latin Central American</t>
  </si>
  <si>
    <t>car mechanic</t>
  </si>
  <si>
    <t>Luxury car salesman oh luxury car mechanic.</t>
  </si>
  <si>
    <t>Maybe no</t>
  </si>
  <si>
    <t>electrician, carpenter, or cook</t>
  </si>
  <si>
    <t>be a deluxe car mechanic oh normal.</t>
  </si>
  <si>
    <t>Get an internship, Make new friends, Learn about careers, Gain skills I can use at a future job</t>
  </si>
  <si>
    <t>I am a very responsible and very punctual person and I like to learn.</t>
  </si>
  <si>
    <t>concentration focus and respect.</t>
  </si>
  <si>
    <t>I want to fulfill my goal of being a mechanic</t>
  </si>
  <si>
    <t>80.79%</t>
  </si>
  <si>
    <t>e0f53xez936ic5v7dwve0f53dkxzo5d9</t>
  </si>
  <si>
    <t>Carlos</t>
  </si>
  <si>
    <t>Hernandez</t>
  </si>
  <si>
    <t>carlosh2019@flushinginternational.org</t>
  </si>
  <si>
    <t>+19176909802</t>
  </si>
  <si>
    <t>157 11 sanford avenue Ap E8 flushing NY 11355</t>
  </si>
  <si>
    <t>carlos.hdz.23</t>
  </si>
  <si>
    <t>Antonio Molina</t>
  </si>
  <si>
    <t>157 11 avenue flushing NY 11355</t>
  </si>
  <si>
    <t>+19174037616</t>
  </si>
  <si>
    <t>144-67 barclay Ave</t>
  </si>
  <si>
    <t>construction</t>
  </si>
  <si>
    <t>busyness person construction</t>
  </si>
  <si>
    <t>go to college</t>
  </si>
  <si>
    <t>Learn about colleges, Gain skills I can use at a future job</t>
  </si>
  <si>
    <t>I like participate</t>
  </si>
  <si>
    <t>I am good listening and reading</t>
  </si>
  <si>
    <t>74.27%</t>
  </si>
  <si>
    <t>4t2mv6xyi5hdqnazfly804t2mv23xnfs</t>
  </si>
  <si>
    <t>Youssef</t>
  </si>
  <si>
    <t>Marzouk</t>
  </si>
  <si>
    <t>ymarzouk2019@flushinginternational.org</t>
  </si>
  <si>
    <t>+19294246116</t>
  </si>
  <si>
    <t>140-19 Beech Ave, New York NY 11355</t>
  </si>
  <si>
    <t>Youssef Marzouk</t>
  </si>
  <si>
    <t>Egypt</t>
  </si>
  <si>
    <t>6month</t>
  </si>
  <si>
    <t>I don’t know but I’m not working</t>
  </si>
  <si>
    <t>things in medicine</t>
  </si>
  <si>
    <t>Doctor, engineering, teacher and accounts</t>
  </si>
  <si>
    <t>The doctor and the police</t>
  </si>
  <si>
    <t>I will do better.  to 96</t>
  </si>
  <si>
    <t>Like the work I like the things that are in the doctor</t>
  </si>
  <si>
    <t>is fast in his calculations and fast in his writing and that will help me and I like to think</t>
  </si>
  <si>
    <t>86%99</t>
  </si>
  <si>
    <t>2p3skag5n5gx2pzesqnzdo4gi45t7dnz</t>
  </si>
  <si>
    <t>rony</t>
  </si>
  <si>
    <t>velasco</t>
  </si>
  <si>
    <t>rony2019@flushinginternational.org</t>
  </si>
  <si>
    <t>+13474560229</t>
  </si>
  <si>
    <t>42 64 ketcham st APT.3C elmhurst N.Y 11373</t>
  </si>
  <si>
    <t>Rosa Saquisilli</t>
  </si>
  <si>
    <t>ronyjesus24@gmail.com</t>
  </si>
  <si>
    <t>42 64 ketcham st 3c Elmhurst NY 11373</t>
  </si>
  <si>
    <t>+13454569873</t>
  </si>
  <si>
    <t>econimic</t>
  </si>
  <si>
    <t>money</t>
  </si>
  <si>
    <t>make a money</t>
  </si>
  <si>
    <t>Get an internship, Learn about careers, Gain skills I can use at a future job, Get coaches and mentors who can help me with college and career, Learn about colleges, Make new friends</t>
  </si>
  <si>
    <t>b2fn7efi78pmx0xdn8q2b2fn7eq6i7np</t>
  </si>
  <si>
    <t>Zhihui</t>
  </si>
  <si>
    <t>Guo</t>
  </si>
  <si>
    <t>zhihui2019@flushinginternational.org</t>
  </si>
  <si>
    <t>+19294109640</t>
  </si>
  <si>
    <t>141  15 Negundo ave ,Fushing NY 11355</t>
  </si>
  <si>
    <t>Qinfang weng</t>
  </si>
  <si>
    <t>2365503365@qq.com</t>
  </si>
  <si>
    <t>141  15 Negundo Ave,flushing NY 11355</t>
  </si>
  <si>
    <t>144  80 Barclay Ave ,Flushing NY</t>
  </si>
  <si>
    <t>My parents didn't come to the U.S.</t>
  </si>
  <si>
    <t>I come from China</t>
  </si>
  <si>
    <t>Architecture, Pr ,Graphic Designer,cook</t>
  </si>
  <si>
    <t>Waiter, chef, interviewed after seeing a job advertisement on the road</t>
  </si>
  <si>
    <t>Queens College</t>
  </si>
  <si>
    <t>pr，Graphic designer, chef,</t>
  </si>
  <si>
    <t>My goal is from 86 to 90 and above, through the skills I learned to achieve</t>
  </si>
  <si>
    <t>Studious, hard-working, persistence, because I am now a waiter and chef</t>
  </si>
  <si>
    <t>Pr,graphic design,cook</t>
  </si>
  <si>
    <t>What I want to learn is graphic interior design. With pr, the skill I already know is wok</t>
  </si>
  <si>
    <t>86%</t>
  </si>
  <si>
    <t>qn13qqhqkk5v3mdpq1tqn13q5kd1v6tb</t>
  </si>
  <si>
    <t>Abner</t>
  </si>
  <si>
    <t>Abreu</t>
  </si>
  <si>
    <t>abnerking22@icloud.com</t>
  </si>
  <si>
    <t>94-25</t>
  </si>
  <si>
    <t>Julia</t>
  </si>
  <si>
    <t>+16462663296</t>
  </si>
  <si>
    <t>Flushing International</t>
  </si>
  <si>
    <t>DR</t>
  </si>
  <si>
    <t>Plane mechanic</t>
  </si>
  <si>
    <t>Mechanic planes</t>
  </si>
  <si>
    <t>Doctor, pilot</t>
  </si>
  <si>
    <t>I will learn about colleges and training program</t>
  </si>
  <si>
    <t>Get an internship, Gain skills I can use at a future job</t>
  </si>
  <si>
    <t>Friendly, hard working, resilient</t>
  </si>
  <si>
    <t>Good and safe</t>
  </si>
  <si>
    <t>66.1</t>
  </si>
  <si>
    <t>cbieu6syg7ixkuhkcbi2kh2imrs89dvt</t>
  </si>
  <si>
    <t>Valentina</t>
  </si>
  <si>
    <t>Guerrero</t>
  </si>
  <si>
    <t>valentina2019@flushinginternational.org</t>
  </si>
  <si>
    <t>+17866082751</t>
  </si>
  <si>
    <t>20-27 121 st College Point, Queens, Ny 11356</t>
  </si>
  <si>
    <t>valentiina_28</t>
  </si>
  <si>
    <t>Cristina García</t>
  </si>
  <si>
    <t>cristinagarcia2624@gmail.com</t>
  </si>
  <si>
    <t>20-27 121 st College Point, Queens, NY 11356</t>
  </si>
  <si>
    <t>+19175873051</t>
  </si>
  <si>
    <t>I was born in Colombia</t>
  </si>
  <si>
    <t>Vet</t>
  </si>
  <si>
    <t>Measurable</t>
  </si>
  <si>
    <t>Responsible, complicated and fun</t>
  </si>
  <si>
    <t>Interest in animal welfare, emotional strength and interest in medicine.</t>
  </si>
  <si>
    <t>19ezj1b5cfj7zwozcz19ezjdfq7475m9</t>
  </si>
  <si>
    <t>jiajie</t>
  </si>
  <si>
    <t>liuliu</t>
  </si>
  <si>
    <t>jiajie2019@flushinginternational.org</t>
  </si>
  <si>
    <t>+15167288982</t>
  </si>
  <si>
    <t>145-21 22 nd ave 11357</t>
  </si>
  <si>
    <t>i dont have</t>
  </si>
  <si>
    <t>Fuyi Liu</t>
  </si>
  <si>
    <t>i am liveing with my parent</t>
  </si>
  <si>
    <t>fihs</t>
  </si>
  <si>
    <t>144-80 barclay ave flushing,ny 11355</t>
  </si>
  <si>
    <t>i am born in mexico but i look like asian</t>
  </si>
  <si>
    <t>boss</t>
  </si>
  <si>
    <t>any one</t>
  </si>
  <si>
    <t>boss boss boss boss boss</t>
  </si>
  <si>
    <t>100000000000money</t>
  </si>
  <si>
    <t>work hard and nice person</t>
  </si>
  <si>
    <t>respect and focus and work hard</t>
  </si>
  <si>
    <t>all u need to know is, i am the one u will like it</t>
  </si>
  <si>
    <t>i belive myself</t>
  </si>
  <si>
    <t>74.20</t>
  </si>
  <si>
    <t>ohkswvueyf59lsd2ohkmegabg116ih9u</t>
  </si>
  <si>
    <t>Erick</t>
  </si>
  <si>
    <t>Buitrago</t>
  </si>
  <si>
    <t>erick2019@flushinginternational.org</t>
  </si>
  <si>
    <t>+15165911607</t>
  </si>
  <si>
    <t>23-38 124th st flushing NY 11356</t>
  </si>
  <si>
    <t>tatiana maldonado</t>
  </si>
  <si>
    <t>erickb301@icloud.com</t>
  </si>
  <si>
    <t>23-38 124th st queens NY 11356</t>
  </si>
  <si>
    <t>+15166436374</t>
  </si>
  <si>
    <t>flushing international</t>
  </si>
  <si>
    <t>144-80 barclay ave</t>
  </si>
  <si>
    <t>administration</t>
  </si>
  <si>
    <t>packaging company</t>
  </si>
  <si>
    <t>Fashion Institute of Technology</t>
  </si>
  <si>
    <t>marketing,Communication,Economy,Finance and accounting</t>
  </si>
  <si>
    <t>specific</t>
  </si>
  <si>
    <t>calm,learn quickly,competitive</t>
  </si>
  <si>
    <t>language skills, Adaptability, Critical Thinking.</t>
  </si>
  <si>
    <t>I work in delivery</t>
  </si>
  <si>
    <t>MXRCW</t>
  </si>
  <si>
    <t>5mjzcn4qr8tsxi3yy5mjzcn4qkn9rxjv</t>
  </si>
  <si>
    <t>Vilma</t>
  </si>
  <si>
    <t>Coc pop</t>
  </si>
  <si>
    <t>vilma2019@flushinginternational.org</t>
  </si>
  <si>
    <t>+19293321475</t>
  </si>
  <si>
    <t>4317 162st flushing New York 11358</t>
  </si>
  <si>
    <t>Matilde</t>
  </si>
  <si>
    <t>popmatilde6@gmail.co</t>
  </si>
  <si>
    <t>+17189710388</t>
  </si>
  <si>
    <t>Now</t>
  </si>
  <si>
    <t>Q'eqchi' Spanish</t>
  </si>
  <si>
    <t>Arte end other</t>
  </si>
  <si>
    <t>art, nurses, chemistry, scientist, technology, human, business</t>
  </si>
  <si>
    <t>Technology , art, nurses ,scientist,chemistry.</t>
  </si>
  <si>
    <t>My goal this year is to learn to speak English and learn to write and to win this year</t>
  </si>
  <si>
    <t>Scientific</t>
  </si>
  <si>
    <t>Scientific and art</t>
  </si>
  <si>
    <t>I do not</t>
  </si>
  <si>
    <t>Nurs</t>
  </si>
  <si>
    <t>brtknbw7ae2pdrhsbrtknbzmf4jpgnw4</t>
  </si>
  <si>
    <t>Robeliza</t>
  </si>
  <si>
    <t>rnunezcastillo@crotonaihs.org</t>
  </si>
  <si>
    <t>+19175301282</t>
  </si>
  <si>
    <t>26 E 198TH ST Bronx, NY 10468</t>
  </si>
  <si>
    <t>nunez_robeliza (Instagram)</t>
  </si>
  <si>
    <t>Arisleidy Rosario</t>
  </si>
  <si>
    <t>arisleidydesantos261213@hotmail.com</t>
  </si>
  <si>
    <t>+16463734551</t>
  </si>
  <si>
    <t>Psychology or Oncology</t>
  </si>
  <si>
    <t>Boston University, Washington State University,University of Florida.</t>
  </si>
  <si>
    <t>Oncology and Psychology</t>
  </si>
  <si>
    <t>My goal is to graduate with a good GPA and apply to a university to prepare me to pursue the career I want to study.</t>
  </si>
  <si>
    <t>Intelligent, respectful and polite</t>
  </si>
  <si>
    <t>Patience, Intelligence, Respect and Education</t>
  </si>
  <si>
    <t>I can adapt in any position I am assigned to</t>
  </si>
  <si>
    <t>1grhesuwmedtacbxal1grhk647i5id2o</t>
  </si>
  <si>
    <t>Yuzhi</t>
  </si>
  <si>
    <t>Fang</t>
  </si>
  <si>
    <t>yuzhi2019@flushinginternational.org</t>
  </si>
  <si>
    <t>+19293832321</t>
  </si>
  <si>
    <t>102-14 Lewis Ave., Corona, NY, 11368, Apt 1D</t>
  </si>
  <si>
    <t>Chunguang Song</t>
  </si>
  <si>
    <t>jackgoodboy@gmail.com</t>
  </si>
  <si>
    <t>102-14 Lewis Ave., Corona, Ny 11368, Apt 1D</t>
  </si>
  <si>
    <t>+16314807816</t>
  </si>
  <si>
    <t>144-80 Barclays Ave, 3rd floor, Flushing, NY 11355</t>
  </si>
  <si>
    <t>I am not born here.</t>
  </si>
  <si>
    <t>Movie/game/animation arts</t>
  </si>
  <si>
    <t>An opportunity to learn more about careers, also learning about writing resume, presentations. Got the job from my school.</t>
  </si>
  <si>
    <t>NYU, Baruch</t>
  </si>
  <si>
    <t>Movie/Game/Animation arts, 3D modeling, coding, economy/business like evaluator, analyzer</t>
  </si>
  <si>
    <t>I will work hard and spend extra time everyday to finish 2 PBATs including presentations this school term.</t>
  </si>
  <si>
    <t>Polite, Open-mind, Positive</t>
  </si>
  <si>
    <t>Computing-using softwares, Patient, listening to others’ opinions.</t>
  </si>
  <si>
    <t>Nothing more.</t>
  </si>
  <si>
    <t>Supported, Connected, and safe</t>
  </si>
  <si>
    <t>97.58%</t>
  </si>
  <si>
    <t>88q0tqqvify8rd0mcku2288q0lj2hkb6</t>
  </si>
  <si>
    <t>Siyan</t>
  </si>
  <si>
    <t>Wu</t>
  </si>
  <si>
    <t>siyan2019@flushinginternational.org</t>
  </si>
  <si>
    <t>+19293298834</t>
  </si>
  <si>
    <t>143-28 22rd Whitestone NY 11357, 143-28 22rd Whitestone NY 11357</t>
  </si>
  <si>
    <t>siyannn_21</t>
  </si>
  <si>
    <t>Xuexia Wen</t>
  </si>
  <si>
    <t>lalawu0521@gmail.com</t>
  </si>
  <si>
    <t>+13477834958</t>
  </si>
  <si>
    <t>144-80 Barclay AV Flushing</t>
  </si>
  <si>
    <t>SYEP program from school</t>
  </si>
  <si>
    <t>Baruch college</t>
  </si>
  <si>
    <t>Teacher nurse dancer doctor financial analyst</t>
  </si>
  <si>
    <t>Improve gpa</t>
  </si>
  <si>
    <t>Learn about colleges, Get an internship</t>
  </si>
  <si>
    <t>Friendly hardworking and helpful</t>
  </si>
  <si>
    <t>Native language,dance,cooking</t>
  </si>
  <si>
    <t>90.78</t>
  </si>
  <si>
    <t>d6a3dswmme3uneqcw19jd6adapo06pym</t>
  </si>
  <si>
    <t>Marilyn</t>
  </si>
  <si>
    <t>Arroyo</t>
  </si>
  <si>
    <t>marilyn31820@gmail.com</t>
  </si>
  <si>
    <t>+13476397259</t>
  </si>
  <si>
    <t>93-24 49th Ave, Queens,NY 11373</t>
  </si>
  <si>
    <t>Graciela Arroyo</t>
  </si>
  <si>
    <t>93-24 49 Ave, Queens, NY 11373</t>
  </si>
  <si>
    <t>+13479571047</t>
  </si>
  <si>
    <t>right here</t>
  </si>
  <si>
    <t>Colombia, Bogota</t>
  </si>
  <si>
    <t>I would like to be a journalist or police officer, emigration</t>
  </si>
  <si>
    <t>stewardess or immigration police,</t>
  </si>
  <si>
    <t>Laguardia comunity college</t>
  </si>
  <si>
    <t>Detective,Chef, teacher of young children</t>
  </si>
  <si>
    <t>Improve I hope I will improve each of my averages for each class.</t>
  </si>
  <si>
    <t>Friendly, helpful, humble</t>
  </si>
  <si>
    <t>humility, kind to passengers</t>
  </si>
  <si>
    <t>No, nothing else. Thank you</t>
  </si>
  <si>
    <t>I felt safe communicating with others no matter where they come from.</t>
  </si>
  <si>
    <t>79.64%</t>
  </si>
  <si>
    <t>3wmkvcblmbcu153tt53wmkvclqmamnss</t>
  </si>
  <si>
    <t>Youssef_561</t>
  </si>
  <si>
    <t>Asharf marzouk</t>
  </si>
  <si>
    <t>144-80 Barclay ave  Queens Ny 11355</t>
  </si>
  <si>
    <t>I don't have a job</t>
  </si>
  <si>
    <t>Engineer, computers and officer and doctor</t>
  </si>
  <si>
    <t>Doctor, engineering and accounts</t>
  </si>
  <si>
    <t>86٪؜65 I'll take it 90</t>
  </si>
  <si>
    <t>I am quick to calculate, quick to read, and quick to understand</t>
  </si>
  <si>
    <t>Arithmetic and thinking</t>
  </si>
  <si>
    <t>86%65</t>
  </si>
  <si>
    <t>kzvgqr6kqoeb0jmf6v8kzvgqrz57i86n</t>
  </si>
  <si>
    <t>yechi</t>
  </si>
  <si>
    <t>ma</t>
  </si>
  <si>
    <t>yechi2019@flushinginternational.org</t>
  </si>
  <si>
    <t>+17187906877</t>
  </si>
  <si>
    <t>NY NY 11355 144-03</t>
  </si>
  <si>
    <t>bei wang</t>
  </si>
  <si>
    <t>hahsjsoj@gmail.com</t>
  </si>
  <si>
    <t>+17186905157</t>
  </si>
  <si>
    <t>Baruch College</t>
  </si>
  <si>
    <t>medicine psychology engineering math educate</t>
  </si>
  <si>
    <t>positive mind effort confidence</t>
  </si>
  <si>
    <t>cooking</t>
  </si>
  <si>
    <t>73.86</t>
  </si>
  <si>
    <t>slsel2mcxi9qd3wgeslseadprzvgg2ta</t>
  </si>
  <si>
    <t>Cardenas</t>
  </si>
  <si>
    <t>luisdanielcardenass@gmail.com</t>
  </si>
  <si>
    <t>+13478137633</t>
  </si>
  <si>
    <t>32-37 83 St queens, NY, 11370</t>
  </si>
  <si>
    <t>Karla Saldarriaga</t>
  </si>
  <si>
    <t>ksaldarriaga08@gmail.com</t>
  </si>
  <si>
    <t>32-37 83St, Queens,NY,11370</t>
  </si>
  <si>
    <t>+17186072756</t>
  </si>
  <si>
    <t>144-80 Barclay Ave, Queens,NY,11355</t>
  </si>
  <si>
    <t>Illustrator</t>
  </si>
  <si>
    <t>A illustrator, programmer, or digital animator</t>
  </si>
  <si>
    <t>I have not one</t>
  </si>
  <si>
    <t>Illustrations,</t>
  </si>
  <si>
    <t>I would like have a job in the carrier that i want and obtain experience and learn the most i can about the job</t>
  </si>
  <si>
    <t>Learn about colleges, Learn about careers, Gain skills I can use at a future job</t>
  </si>
  <si>
    <t>responsible, Attentive and obedient because I am very good at following orders and paying attention</t>
  </si>
  <si>
    <t>Responsibility, patient and try hard</t>
  </si>
  <si>
    <t>I woul prefer something in relation with art or computers</t>
  </si>
  <si>
    <t>88.81%</t>
  </si>
  <si>
    <t>q5ws3ravlb81r5p20x62qq5ws3rjxvbf</t>
  </si>
  <si>
    <t>laura</t>
  </si>
  <si>
    <t>puentes</t>
  </si>
  <si>
    <t>dianamarcelatriana050@gmail.com</t>
  </si>
  <si>
    <t>+19174967463</t>
  </si>
  <si>
    <t>36-13 greenpoint avenue</t>
  </si>
  <si>
    <t>Diana Marcela Triana</t>
  </si>
  <si>
    <t>Dianita260584@hotmail.com</t>
  </si>
  <si>
    <t>New york, 11368</t>
  </si>
  <si>
    <t>+19292648125</t>
  </si>
  <si>
    <t>144-80 Barclay Ave 3rd Floor Flushing, NY 11355</t>
  </si>
  <si>
    <t>I am interested in learning everything about graphic design such as characters, series, video games, etc.</t>
  </si>
  <si>
    <t>Graphic Designer</t>
  </si>
  <si>
    <t>i dont know yet</t>
  </si>
  <si>
    <t>singer, graphic designer, Writer, manga creator, video game programmer</t>
  </si>
  <si>
    <t>I want to learn more about the requirements of the future career that I will do</t>
  </si>
  <si>
    <t>Learn about careers, Gain skills I can use at a future job, Make new friends</t>
  </si>
  <si>
    <t>I am calm when it comes to doing what I love.
I am a little impatient when things are not done quickly but only a little rest I am quite patient.
I am a Worker, I try to make an effort so that everything is quite good for the liking of people.</t>
  </si>
  <si>
    <t>for now I will draw almost at the level between novice and professional.
I am learning to use the odd editing program.
I learn to be a writer for future series or manga or even video games.</t>
  </si>
  <si>
    <t>Sometimes you can tell that I am not interested but it is for the simple fact that sometimes I do not understand or I get easily confused when they explain something a bit complicated to me, but otherwise I would pay a lot of attention to every detail of my career</t>
  </si>
  <si>
    <t>85.61%</t>
  </si>
  <si>
    <t>6pwvdkovpyn4fkj6pwclkz8pfqmq1uxf</t>
  </si>
  <si>
    <t>Gema</t>
  </si>
  <si>
    <t>Alarcon</t>
  </si>
  <si>
    <t>gema2019@flushinginternational.org</t>
  </si>
  <si>
    <t>+19292408911</t>
  </si>
  <si>
    <t>132-48 41st rd Apt 6D Flushing, NY 11355</t>
  </si>
  <si>
    <t>Roxana Lucero</t>
  </si>
  <si>
    <t>patriluces@hotmail.com</t>
  </si>
  <si>
    <t>I was born in Spain and my parents are from Ecuador.</t>
  </si>
  <si>
    <t>37</t>
  </si>
  <si>
    <t>The job where I am most interested in learning is in Orthodontics, (I want to learn to be a dentist / orthodontist.)</t>
  </si>
  <si>
    <t>My ideal professional job is to be a dentist / orthodontist.</t>
  </si>
  <si>
    <t>Harvard, Stanford, Berkeley</t>
  </si>
  <si>
    <t>Child psychology, Dermatology,Professor, Graphic design,Acting</t>
  </si>
  <si>
    <t>Well, my goal is to finish school and study my university career and that my parents feel proud of me.</t>
  </si>
  <si>
    <t>Learn about colleges, Get coaches and mentors who can help me with college and career, Gain skills I can use at a future job</t>
  </si>
  <si>
    <t>The three adjectives that describe me are: kind, shy and friendly because that makes me the person I am today.</t>
  </si>
  <si>
    <t>Speak Spanish, be Patient, complete projects on time.</t>
  </si>
  <si>
    <t>That my English is not perfect, but I am practicing it.</t>
  </si>
  <si>
    <t>Safe, supported</t>
  </si>
  <si>
    <t>86.60%</t>
  </si>
  <si>
    <t>ic4m0bv85vsmyc4xydzibic4m0upilet</t>
  </si>
  <si>
    <t>Fredis</t>
  </si>
  <si>
    <t>Chavez Portillo</t>
  </si>
  <si>
    <t>c.fredi2020@flushinginternational.org</t>
  </si>
  <si>
    <t>+19292848400</t>
  </si>
  <si>
    <t>158-52 75th Rd, Fresh Meadows, NY 11366, Estados Unidos</t>
  </si>
  <si>
    <t>Soleil portillo ( Facebook )</t>
  </si>
  <si>
    <t>Sulma Lorena Portillo de Zelaya</t>
  </si>
  <si>
    <t>c.fredis2020@flushinginternational.org</t>
  </si>
  <si>
    <t>158-52 75th Rd Fresh Meadows, NY 11366 Estados Unidos</t>
  </si>
  <si>
    <t>+13473535646</t>
  </si>
  <si>
    <t>144-80 Barclay ave, queens, NY, 11355</t>
  </si>
  <si>
    <t>Me gusta demasiado la comida y su cultura en general</t>
  </si>
  <si>
    <t>Psicología</t>
  </si>
  <si>
    <t>Me gusta ayudar y fortalecer el conocimiento medio el estudio</t>
  </si>
  <si>
    <t>Psicología, ciencias sociales</t>
  </si>
  <si>
    <t>Tengo habilidad de trabajar bajo presión, ayudar al equipo de trabajo</t>
  </si>
  <si>
    <t>Get coaches and mentors who can help me with college and career, Learn about careers, Gain skills I can use at a future job</t>
  </si>
  <si>
    <t>Interesante, inteligente, comprensible</t>
  </si>
  <si>
    <t>Paciencia, comprensible , trabajador</t>
  </si>
  <si>
    <t>Puedo trabajar muy bien bajo presión</t>
  </si>
  <si>
    <t>1fpt50thgtbmwyja1fpt5ns6r57rc22q</t>
  </si>
  <si>
    <t>Dylan</t>
  </si>
  <si>
    <t>Fabre</t>
  </si>
  <si>
    <t>Dylan2019@flushinginternational.org</t>
  </si>
  <si>
    <t>+19172515644</t>
  </si>
  <si>
    <t>50-17 103st Corona NY 11368</t>
  </si>
  <si>
    <t>Alan Fabre &amp; Sugeily Vega</t>
  </si>
  <si>
    <t>alanfabre71@gmail.com</t>
  </si>
  <si>
    <t>+13474442900</t>
  </si>
  <si>
    <t>My parents are from Ecuador</t>
  </si>
  <si>
    <t>I was born in Ecuador but my father had more than 30 years living in America.</t>
  </si>
  <si>
    <t>Computer technician</t>
  </si>
  <si>
    <t>I worked making food deliveries during the pandemic with my dad.</t>
  </si>
  <si>
    <t>Cooper Union, Manhattanville College,Marymount Manhattan College, SUNY -- Environmental Science and Forestry, Syracuse University</t>
  </si>
  <si>
    <t>Exploratory</t>
  </si>
  <si>
    <t>Learn about careers, Learn about colleges, Make new friends, Gain skills I can use at a future job</t>
  </si>
  <si>
    <t>Focused, responsible and respectful</t>
  </si>
  <si>
    <t>It makes me feel good.</t>
  </si>
  <si>
    <t>ztdqxpef32rrl2ylr6iztdqxp7dlxvr3</t>
  </si>
  <si>
    <t>Sijia</t>
  </si>
  <si>
    <t>Su</t>
  </si>
  <si>
    <t>sijia2019@flushinginternational.org</t>
  </si>
  <si>
    <t>+13474584706</t>
  </si>
  <si>
    <t>4306 Murray St,Flushing,NY,11355</t>
  </si>
  <si>
    <t>Zeguang Su</t>
  </si>
  <si>
    <t>Arm</t>
  </si>
  <si>
    <t>Join the SYEP program.</t>
  </si>
  <si>
    <t>The City college of New York,Baruch College,Brooklyn College,Hunter College,John Jay College of Criminal Justice,Lehman College,Queens College,Borough of Manhattan Community College,</t>
  </si>
  <si>
    <t>Police,Accountant,Teacher,lawyer,Civil servant</t>
  </si>
  <si>
    <t>I will improve my grade by 2 points from a 90 to 92 by a focus on class, active in class, come to class on time by the end of the school year</t>
  </si>
  <si>
    <t>Enthusiastic, unconfident, indecisive. Because I think when I need to make a decision, I always need to think of a long time.</t>
  </si>
  <si>
    <t>Fluent in Chinese, work hard and work well in group</t>
  </si>
  <si>
    <t>I was very confused about my career and college. I can not see my goal.</t>
  </si>
  <si>
    <t>4k14ebcsb55bhfti44k14ebzqwfhtowv</t>
  </si>
  <si>
    <t>Ziyi</t>
  </si>
  <si>
    <t>ziyi2019@flushinginternational.org</t>
  </si>
  <si>
    <t>+19292151220</t>
  </si>
  <si>
    <t>42-01 149th Street Flushing, NY, 11355</t>
  </si>
  <si>
    <t>ziyiyayyyy</t>
  </si>
  <si>
    <t>Jianchun Zhu</t>
  </si>
  <si>
    <t>jianchunzhu11@gmail.com</t>
  </si>
  <si>
    <t>+17186885340</t>
  </si>
  <si>
    <t>Journalism/Media</t>
  </si>
  <si>
    <t>I don't know yet, but feel interested about journalism..</t>
  </si>
  <si>
    <t>I don't know yet. But first, learn more about journalism.</t>
  </si>
  <si>
    <t>Baruch College, Brooklyn College, Hunter College...And I don't know yet</t>
  </si>
  <si>
    <t>Medicine, Jurisprudence, Education, Design, Finance</t>
  </si>
  <si>
    <t>I hope I can improve my overall average and learn more new things or skill.</t>
  </si>
  <si>
    <t>Get coaches and mentors who can help me with college and career, Learn about colleges, Get an internship</t>
  </si>
  <si>
    <t>Friendly, hardworking, focus</t>
  </si>
  <si>
    <t>Dance, cook, native language</t>
  </si>
  <si>
    <t>About journalism, I don't know much but feel interested.</t>
  </si>
  <si>
    <t>f4umeoeqyw1uspees7kf4umejpsny2yd</t>
  </si>
  <si>
    <t>Baseria atta</t>
  </si>
  <si>
    <t>Atta</t>
  </si>
  <si>
    <t>bibibaseria2019@flushinginternational.org</t>
  </si>
  <si>
    <t>+13478811966</t>
  </si>
  <si>
    <t>147-10-41 Ave apt 5p flusing NY 11355</t>
  </si>
  <si>
    <t>Atta Mohammad</t>
  </si>
  <si>
    <t>147-10-41st Ave apt 5p flushing NY 11355</t>
  </si>
  <si>
    <t>144-80 Barclay Ave 3rd floor flushing NY 11355</t>
  </si>
  <si>
    <t>Pashto</t>
  </si>
  <si>
    <t>I learning more English</t>
  </si>
  <si>
    <t>work  in the bank</t>
  </si>
  <si>
    <t>nurse,  work in the bank,English.</t>
  </si>
  <si>
    <t>I will learn English by the end of the year, by the end of the year, from 60% to 80%, by doing my work and listening to the teacher, and doing my homework.</t>
  </si>
  <si>
    <t>Nice because I want to help people, funny my family tell me I am funny, caring I help people.</t>
  </si>
  <si>
    <t>listening to the teacher and doing my work, by helping my family, and reading.</t>
  </si>
  <si>
    <t>I do my homework.</t>
  </si>
  <si>
    <t>80.11</t>
  </si>
  <si>
    <t>cbm9yx96encdvxz501cbm9yxrn7cm0of</t>
  </si>
  <si>
    <t>Bryan Montesdeoca</t>
  </si>
  <si>
    <t>Montesdeoca</t>
  </si>
  <si>
    <t>bryanmontesdeoca686@gmail.com</t>
  </si>
  <si>
    <t>+19173199495</t>
  </si>
  <si>
    <t>54 14 111street Corona NY 11368</t>
  </si>
  <si>
    <t>Francisco Montesdeoca</t>
  </si>
  <si>
    <t>54 14 111 street corona NY 11368</t>
  </si>
  <si>
    <t>+19179376887</t>
  </si>
  <si>
    <t>Flushing International Hight School</t>
  </si>
  <si>
    <t>My parents come from US 12 years</t>
  </si>
  <si>
    <t>not in particular Thank God I'm fine</t>
  </si>
  <si>
    <t>Spanish but a litter English</t>
  </si>
  <si>
    <t>Real Estate/Development</t>
  </si>
  <si>
    <t>Real Estate/Developmen</t>
  </si>
  <si>
    <t>in my work I sell clothes and electronic products and I really like to sell and talk with new people</t>
  </si>
  <si>
    <t>1-Manhattan College 2-Borough  of Manhattan 3-Queens Borough Community College 3-La guardia 4-Queens college 5-Kings Borough 6-6. La Nueva Universidad 7-Universidad de Cornell 8- Universidad de Yeshiva 9-Universidad Columbia 10-Universidad Rochester</t>
  </si>
  <si>
    <t>1-real estate 2-Dentist 3-Doctor 4-electrician 5-plumber</t>
  </si>
  <si>
    <t>my goals this year is to finish with necessary points for the university to do my best work in the school and to get along well with the teachers</t>
  </si>
  <si>
    <t>honest person, never gave up, i like to share with others</t>
  </si>
  <si>
    <t>I have been negotiating businesses from a very young age, they taught me to sell</t>
  </si>
  <si>
    <t>I hope to be accepted and give it my best effort</t>
  </si>
  <si>
    <t>Payment of 95.00 from VISA with card ending in 8758 was successful</t>
  </si>
  <si>
    <t>I feel very good in this community, thank you.  To God every day I learn more and he makes me a better person and that is why they respect me a lot</t>
  </si>
  <si>
    <t>I'm not really sure what was it</t>
  </si>
  <si>
    <t>5xx68apxrrjhngz6hir5xx651r38pxxt</t>
  </si>
  <si>
    <t>Zeyad</t>
  </si>
  <si>
    <t>zeyad2019@flushinginternational.org</t>
  </si>
  <si>
    <t>+19293008130</t>
  </si>
  <si>
    <t>Ashraf</t>
  </si>
  <si>
    <t>20-25</t>
  </si>
  <si>
    <t>English and Arabic</t>
  </si>
  <si>
    <t>Don’t know yet</t>
  </si>
  <si>
    <t>A doctor</t>
  </si>
  <si>
    <t>....</t>
  </si>
  <si>
    <t>.....</t>
  </si>
  <si>
    <t>Passing with good GPA</t>
  </si>
  <si>
    <t>Good kind happy because that’s me</t>
  </si>
  <si>
    <t>Idk</t>
  </si>
  <si>
    <t>..</t>
  </si>
  <si>
    <t>Isalm</t>
  </si>
  <si>
    <t>84</t>
  </si>
  <si>
    <t>fu41ophcycsdr4fu41o9ejyejqbmdse0</t>
  </si>
  <si>
    <t>Cela</t>
  </si>
  <si>
    <t>ccela1213@gmail.com</t>
  </si>
  <si>
    <t>+16466176323</t>
  </si>
  <si>
    <t>147 10 41av apt 7s flushing ny.  11355</t>
  </si>
  <si>
    <t>WhatsApp</t>
  </si>
  <si>
    <t>147 10 41 av apt 7s flushing ny. 11355</t>
  </si>
  <si>
    <t>+17187916155</t>
  </si>
  <si>
    <t>144 80 Barclay Avenue flushing ny. 11355</t>
  </si>
  <si>
    <t>what religion is catholic</t>
  </si>
  <si>
    <t>Spanish only</t>
  </si>
  <si>
    <t>of a businessman</t>
  </si>
  <si>
    <t>be a vildes entrepreneur</t>
  </si>
  <si>
    <t>Queens college</t>
  </si>
  <si>
    <t>attorney</t>
  </si>
  <si>
    <t>Relevant</t>
  </si>
  <si>
    <t>Wolf</t>
  </si>
  <si>
    <t>Math</t>
  </si>
  <si>
    <t>No have more ideas</t>
  </si>
  <si>
    <t>92.30%</t>
  </si>
  <si>
    <t>zf7m9ppi0d0yx3dzf7mcdpywux2tby3b</t>
  </si>
  <si>
    <t>Angie</t>
  </si>
  <si>
    <t>Inestroza</t>
  </si>
  <si>
    <t>angie2019@flushinginternational.org</t>
  </si>
  <si>
    <t>+13472386034</t>
  </si>
  <si>
    <t>91-15 175 st Jamaica</t>
  </si>
  <si>
    <t>WhatsApp, Facebook, Instagran</t>
  </si>
  <si>
    <t>Belkin Meza</t>
  </si>
  <si>
    <t>angiemeza04@icloud.com</t>
  </si>
  <si>
    <t>91-15 175 St jamaica Queens, 11432</t>
  </si>
  <si>
    <t>+13479222081</t>
  </si>
  <si>
    <t>144-80 Barclay Ave Flushing</t>
  </si>
  <si>
    <t>nourse</t>
  </si>
  <si>
    <t>Nourse</t>
  </si>
  <si>
    <t>I will have a good grade</t>
  </si>
  <si>
    <t>Make new friends, Learn about colleges, Gain skills I can use at a future job</t>
  </si>
  <si>
    <t>because i want to have new friends</t>
  </si>
  <si>
    <t>strong, with faith</t>
  </si>
  <si>
    <t>92.33%</t>
  </si>
  <si>
    <t>d8uqt93oy8gv59jfdvjtoep4fj3go5at</t>
  </si>
  <si>
    <t>chenghao</t>
  </si>
  <si>
    <t>yang</t>
  </si>
  <si>
    <t>chenghao2019@flushinginternational.org</t>
  </si>
  <si>
    <t>+17184273224</t>
  </si>
  <si>
    <t>144-05 38AVE, Flushing, NY, 11354</t>
  </si>
  <si>
    <t>Congli Bao</t>
  </si>
  <si>
    <t>conglibao@gmail.org</t>
  </si>
  <si>
    <t>144-05 38Ave, Flushing, NY, 11354</t>
  </si>
  <si>
    <t>+19293368818</t>
  </si>
  <si>
    <t>2010</t>
  </si>
  <si>
    <t>china, asia, Han nationality</t>
  </si>
  <si>
    <t>someone you know</t>
  </si>
  <si>
    <t>china, male,16</t>
  </si>
  <si>
    <t>69.82%</t>
  </si>
  <si>
    <t>w7aai5y7zao43hxijm9z44rv6w7aai5y</t>
  </si>
  <si>
    <t>Andres</t>
  </si>
  <si>
    <t>Munoz</t>
  </si>
  <si>
    <t>mateo.123.munoz@gmail.com</t>
  </si>
  <si>
    <t>+19296161164</t>
  </si>
  <si>
    <t>32-28 30 th queens, Ny, 11106</t>
  </si>
  <si>
    <t>Magaly Saavedra</t>
  </si>
  <si>
    <t>magalysaavedra2015@hotmail.com</t>
  </si>
  <si>
    <t>32-28 30th Queens ,Ny, 11106</t>
  </si>
  <si>
    <t>+13474092332</t>
  </si>
  <si>
    <t>144-80 barclay Av</t>
  </si>
  <si>
    <t>Marketing</t>
  </si>
  <si>
    <t>managing the marketing of a company important to my home country</t>
  </si>
  <si>
    <t>marketing and business Administration</t>
  </si>
  <si>
    <t>My goal is to get the job of my dreams in marketing and have my own company in Ecuador</t>
  </si>
  <si>
    <t>Learn about careers, Learn about colleges, Make new friends, Get coaches and mentors who can help me with college and career, Gain skills I can use at a future job, Get an internship</t>
  </si>
  <si>
    <t>Ambitious, shy and winner</t>
  </si>
  <si>
    <t>leadership, responsibility, and quick problem responses</t>
  </si>
  <si>
    <t>only live here in USA 1 year, i don't know about colleges</t>
  </si>
  <si>
    <t>85.79</t>
  </si>
  <si>
    <t>n68z65nan9t0fhfuvn68xi6nlefm3zi8</t>
  </si>
  <si>
    <t>Naveer</t>
  </si>
  <si>
    <t>Ramsarran</t>
  </si>
  <si>
    <t>nramsarran72@gmail.com</t>
  </si>
  <si>
    <t>+13475023944</t>
  </si>
  <si>
    <t>140-20 169th street, Springfield gardens,11434</t>
  </si>
  <si>
    <t>Natisha Singh</t>
  </si>
  <si>
    <t>nattie411@aol.com</t>
  </si>
  <si>
    <t>+15163982428</t>
  </si>
  <si>
    <t>25 years</t>
  </si>
  <si>
    <t>Syracuse, stony brook, nyu, St. John’s, ucla, usc,</t>
  </si>
  <si>
    <t>Teaching,  counseling, therapist, athlete</t>
  </si>
  <si>
    <t>I will improve my overall average by the end of the semester by 5 points</t>
  </si>
  <si>
    <t>Laid back, friendly, determined</t>
  </si>
  <si>
    <t>Helpful, determined, caring</t>
  </si>
  <si>
    <t>Open to exploring different careers as well</t>
  </si>
  <si>
    <t>Together, connected</t>
  </si>
  <si>
    <t>5clza2w3pyemyd6pu5clznajsl37ccf5</t>
  </si>
  <si>
    <t>Aaliyah</t>
  </si>
  <si>
    <t>Dennis</t>
  </si>
  <si>
    <t>duhcharmaine@gmail.com</t>
  </si>
  <si>
    <t>+19292324942</t>
  </si>
  <si>
    <t>21204 99th Avenue Queens Village NY 11429</t>
  </si>
  <si>
    <t>www.instagram.com/kml3ah</t>
  </si>
  <si>
    <t>Iana Dennis</t>
  </si>
  <si>
    <t>21204 99th  Avenue Queens VILLAGE NY 11429</t>
  </si>
  <si>
    <t>+19293866429</t>
  </si>
  <si>
    <t>143-10 Springfield Gardens, NY 11413</t>
  </si>
  <si>
    <t>Trinidad and Tobago</t>
  </si>
  <si>
    <t>26</t>
  </si>
  <si>
    <t>I have none</t>
  </si>
  <si>
    <t>I will work further to my goal in college by this school year ends by applying the skills I learned</t>
  </si>
  <si>
    <t>Creative, Smart, Thoughtful</t>
  </si>
  <si>
    <t>Good listener, good writer, good speaker</t>
  </si>
  <si>
    <t>there is nothing else</t>
  </si>
  <si>
    <t>89</t>
  </si>
  <si>
    <t>btc6f1loxe3zsw8btc6c13o4ierc8lpp</t>
  </si>
  <si>
    <t>Ishmael</t>
  </si>
  <si>
    <t>Callender</t>
  </si>
  <si>
    <t>isaandishcallender@gmail.com</t>
  </si>
  <si>
    <t>+13477068643</t>
  </si>
  <si>
    <t>148th avenue, rosedale, new york, 11422</t>
  </si>
  <si>
    <t>discord</t>
  </si>
  <si>
    <t>Lisa Callender</t>
  </si>
  <si>
    <t>twobim@yahoo.com</t>
  </si>
  <si>
    <t>+13472564322</t>
  </si>
  <si>
    <t>Queens prepatory academy</t>
  </si>
  <si>
    <t>143-10 Springfeild Blvd</t>
  </si>
  <si>
    <t>Barbados</t>
  </si>
  <si>
    <t>I'm American and black</t>
  </si>
  <si>
    <t>Game Tester</t>
  </si>
  <si>
    <t>idk any colleges</t>
  </si>
  <si>
    <t>Illustrator, Graphic Designer, Game tester, Programmer and Coder</t>
  </si>
  <si>
    <t>I want to pass all my tests and graduate high school in 2023 to become a game tester and illustrator</t>
  </si>
  <si>
    <t>Kind, Caring and Helpfull</t>
  </si>
  <si>
    <t>I can draw, I can do a little coding, and I can play videogames</t>
  </si>
  <si>
    <t>3.15</t>
  </si>
  <si>
    <t>fwjd8asxhjgxebfglisfwjd88ee5x3wc</t>
  </si>
  <si>
    <t>francis</t>
  </si>
  <si>
    <t>calderon</t>
  </si>
  <si>
    <t>francis2019@flushinginternational.org</t>
  </si>
  <si>
    <t>+13477710470</t>
  </si>
  <si>
    <t>25 - 29 College  Apt 1 Point Blvd , 11354</t>
  </si>
  <si>
    <t>Jairo Calderon</t>
  </si>
  <si>
    <t>puntodigital@gmail.com</t>
  </si>
  <si>
    <t>25 - 29 College Apt 1 Point Blvd , 11354</t>
  </si>
  <si>
    <t>+13477619187</t>
  </si>
  <si>
    <t>144 - 80 Barclay Avenue Flushing, NY 11355</t>
  </si>
  <si>
    <t>MY DAD CAME WITH ME TWO YEARS AGO</t>
  </si>
  <si>
    <t>I am hispanic</t>
  </si>
  <si>
    <t>Spanish and a bit of English</t>
  </si>
  <si>
    <t>i think STEM , tecnology, etc</t>
  </si>
  <si>
    <t>Well, I had a job and was a babysitter</t>
  </si>
  <si>
    <t>1Universidad Harvard ,2Universidad Stanford , 3 Instituto de Tecnología de Massachusetts ,4 Universidad de California, Berkeley</t>
  </si>
  <si>
    <t>Psychology ,Graphic Design, Chemical ,police ,medicine</t>
  </si>
  <si>
    <t>I will improve my average, by more than 10 points, from 72 to 80, I will apply the skills that I learned, at the end of the year</t>
  </si>
  <si>
    <t>Get coaches and mentors who can help me with college and career, Gain skills I can use at a future job, Learn about colleges</t>
  </si>
  <si>
    <t>friendly, funny and generous because my personality is like that and it is also because of the way I grew up</t>
  </si>
  <si>
    <t>patient, spanish and little english</t>
  </si>
  <si>
    <t>I don't act much but I try</t>
  </si>
  <si>
    <t>no religion</t>
  </si>
  <si>
    <t>72.74%</t>
  </si>
  <si>
    <t>wdwpcx56d7oos4jpt7wdwpcxfyij5dni</t>
  </si>
  <si>
    <t>Isaiah</t>
  </si>
  <si>
    <t>greenisaiah10@gmail.com</t>
  </si>
  <si>
    <t>+13479041520</t>
  </si>
  <si>
    <t>11422, Rosedale, New York</t>
  </si>
  <si>
    <t>dont have social media</t>
  </si>
  <si>
    <t>257-35, New York,11422</t>
  </si>
  <si>
    <t>143-10 Springfield Blvd 11413</t>
  </si>
  <si>
    <t>Graphic designer for video games.</t>
  </si>
  <si>
    <t>Penn State, Harvard University, Art Academy.</t>
  </si>
  <si>
    <t>Graphic designer, Programmer, animator, Arhitect, actor</t>
  </si>
  <si>
    <t>I will improve my  average, by 5 point from a 90 to 95 and learn more skills that can help in my career(s)</t>
  </si>
  <si>
    <t>Creative, Persistent, Freindly</t>
  </si>
  <si>
    <t>good at drawing, great at communication, I am persistent</t>
  </si>
  <si>
    <t>I like art</t>
  </si>
  <si>
    <t>Make me feel Safe, Supported, and Welcome</t>
  </si>
  <si>
    <t>hihjg5g51ot5v3fumbthihjg5g5uecks</t>
  </si>
  <si>
    <t>Bairon</t>
  </si>
  <si>
    <t>villanueva</t>
  </si>
  <si>
    <t>bairon2019@flushinginternational.org</t>
  </si>
  <si>
    <t>+19175867583</t>
  </si>
  <si>
    <t>144-54 35th Ave apt 2A flushing ny 11354</t>
  </si>
  <si>
    <t>Rosa palacios</t>
  </si>
  <si>
    <t>+19173343062</t>
  </si>
  <si>
    <t>144-80 Barclay Ave Queens NY</t>
  </si>
  <si>
    <t>they arrived 27 years ago</t>
  </si>
  <si>
    <t>sales representative</t>
  </si>
  <si>
    <t>New York University (NYU), Cornell University, Yeshiva University</t>
  </si>
  <si>
    <t>customer service, Real estate</t>
  </si>
  <si>
    <t>my goal is achievable</t>
  </si>
  <si>
    <t>I am kind, reliable and determined</t>
  </si>
  <si>
    <t>computer skill</t>
  </si>
  <si>
    <t>I am a reliable person</t>
  </si>
  <si>
    <t>0js8ohsxw80hu4lf9ipp0js8oe6lcyob</t>
  </si>
  <si>
    <t>O.pardo2018@flushinginternational.org</t>
  </si>
  <si>
    <t>31-01-86street jackson heights 11369 Queens NY</t>
  </si>
  <si>
    <t>I do not feel comfortable sharing my social media</t>
  </si>
  <si>
    <t>Yenny Nino</t>
  </si>
  <si>
    <t>alvaro.pardox@gmail.com</t>
  </si>
  <si>
    <t>31-01-86street jackson heights queens NY 11369</t>
  </si>
  <si>
    <t>Comedian, Producer and director</t>
  </si>
  <si>
    <t>University of Southern California​ University of California Los Ángeles. NYU Tisch School of the Arts. American Film Institute. California Institute of the Arts. New York Film Academy. Los Angeles Film School.</t>
  </si>
  <si>
    <t>comedian, actor, artist, producer and director,</t>
  </si>
  <si>
    <t>write and direct my own projects</t>
  </si>
  <si>
    <t>Get coaches and mentors who can help me with college and career, Get an internship, Gain skills I can use at a future job, Learn about careers, Learn about colleges, Make new friends</t>
  </si>
  <si>
    <t>Creative, Calm, retailer</t>
  </si>
  <si>
    <t>Quick thinking, Improvisation, Creative</t>
  </si>
  <si>
    <t>I really like stand up comedy and cartoons</t>
  </si>
  <si>
    <t>xabauouzr5q2bs8vtxabau9smk0nyeqb</t>
  </si>
  <si>
    <t>Sisely</t>
  </si>
  <si>
    <t>sisely2019@flushinginternational.org</t>
  </si>
  <si>
    <t>+19172932554</t>
  </si>
  <si>
    <t>145-48 105 Ave Jamaica NY 11435</t>
  </si>
  <si>
    <t>Jose Hernandez</t>
  </si>
  <si>
    <t>145-48 105 Ave Jamaica, NY 11435</t>
  </si>
  <si>
    <t>+13474187893</t>
  </si>
  <si>
    <t>I was born in a different country</t>
  </si>
  <si>
    <t>Not</t>
  </si>
  <si>
    <t>Health Sciences/medicine</t>
  </si>
  <si>
    <t>my goal is to finish speakhire with a good grade</t>
  </si>
  <si>
    <t>angry with little patience and sometimes funny</t>
  </si>
  <si>
    <t>multitasking, treating people well</t>
  </si>
  <si>
    <t>there is nothing else you can know about me</t>
  </si>
  <si>
    <t>makes me feel super good</t>
  </si>
  <si>
    <t>70.20%</t>
  </si>
  <si>
    <t>hb4saz5a6w9v6oy0smo8hb4saz239bir</t>
  </si>
  <si>
    <t>Reynoso</t>
  </si>
  <si>
    <t>areynoso@crotonaihs.org</t>
  </si>
  <si>
    <t>+13475039573</t>
  </si>
  <si>
    <t>2833 Decatur ave Bronx NY 10458</t>
  </si>
  <si>
    <t>angelicareynoso07</t>
  </si>
  <si>
    <t>Yuberky pena</t>
  </si>
  <si>
    <t>angelicareynodo0727@gmail.com</t>
  </si>
  <si>
    <t>+19082744349</t>
  </si>
  <si>
    <t>Centro educativo Rafael D. Thomas</t>
  </si>
  <si>
    <t>Crotona ave Bronx NY</t>
  </si>
  <si>
    <t>Working in a company</t>
  </si>
  <si>
    <t>Attainable</t>
  </si>
  <si>
    <t>Responsable, dedicated, disciplinary</t>
  </si>
  <si>
    <t>Intelligent, disciplinary, nice</t>
  </si>
  <si>
    <t>Hp</t>
  </si>
  <si>
    <t>hsarde20caiiy8ee9i6hsard2krf21tj</t>
  </si>
  <si>
    <t>Hannah</t>
  </si>
  <si>
    <t>Perez</t>
  </si>
  <si>
    <t>p.hannah2020@flushinginternational.org</t>
  </si>
  <si>
    <t>+19295399961</t>
  </si>
  <si>
    <t>102-45 Corona Ave, Corona, NY 11368</t>
  </si>
  <si>
    <t>Instagram and whatsapp</t>
  </si>
  <si>
    <t>Tomasa Sandoval</t>
  </si>
  <si>
    <t>perezhannah312019@gmail.com</t>
  </si>
  <si>
    <t>Civil engineer and arquitecture</t>
  </si>
  <si>
    <t>SYEP is a summer school which the show us how jobs works and teach some skills</t>
  </si>
  <si>
    <t>Universidad de Cornell, Universidad de Columbia, Universidad de Clarkson, Universidad de Nueva York, Rensselaer Polytechnic Institute, The Cooper Union ,  Manhattan College</t>
  </si>
  <si>
    <t>Civil engineer, arquitecture, law, fbi and be a math teacher</t>
  </si>
  <si>
    <t>The career I want to study is engineering and I want to study more subjects that can help me in this job, and to do this I need to find a mentor and have time available to learn more, I also want to practice or work on certain things that help me to know and to educate myself more to find out about the career, for that I also need to see what kind of jobs I can do now so that they teach me more.  Also the college or university the type of payment that will be made and how or where I can get help, but how do I vote to know how much help I need if I don't know exactly what college or university I want to enter.</t>
  </si>
  <si>
    <t>Perseverant, confidence and a good listener</t>
  </si>
  <si>
    <t>Leadership skill, be persistent and listen to constructive criticism</t>
  </si>
  <si>
    <t>83.23%</t>
  </si>
  <si>
    <t>4u4d7fj7760caj6wna5a4u4d718vz97q</t>
  </si>
  <si>
    <t>Ancly</t>
  </si>
  <si>
    <t>tzul</t>
  </si>
  <si>
    <t>tzulgutierrezanclypaola@gmail.com</t>
  </si>
  <si>
    <t>+19292584201</t>
  </si>
  <si>
    <t>147-40 ferndale ave, jamaica Queens NY 11435</t>
  </si>
  <si>
    <t>https/www.facebook.com/anclypaola.tzulgutierrez</t>
  </si>
  <si>
    <t>Eduard Tzul</t>
  </si>
  <si>
    <t>147-40 ferndale ave, jamaica, Queens NY 11435</t>
  </si>
  <si>
    <t>+19292584507</t>
  </si>
  <si>
    <t>Flushing International high school</t>
  </si>
  <si>
    <t>144-80 Barclay ave, Queens , NY 11355</t>
  </si>
  <si>
    <t>...</t>
  </si>
  <si>
    <t>spanish only</t>
  </si>
  <si>
    <t>aerospace or scientific engineering or astronomy</t>
  </si>
  <si>
    <t>scientific</t>
  </si>
  <si>
    <t>cuny suny</t>
  </si>
  <si>
    <t>scientific architecture medicine engineering astronomy</t>
  </si>
  <si>
    <t>My goal is to improve my grades and be more applied because that is what hurts me ...</t>
  </si>
  <si>
    <t>intelligent, a little irresponsible and persistent</t>
  </si>
  <si>
    <t>math skills, flexible, responsble</t>
  </si>
  <si>
    <t>they are intelligent but a little undisciplined</t>
  </si>
  <si>
    <t>none of these</t>
  </si>
  <si>
    <t>e80t2vlypfyiqus3k45e80t2vpyhr83a</t>
  </si>
  <si>
    <t>Jose’</t>
  </si>
  <si>
    <t>Rivera</t>
  </si>
  <si>
    <t>12joserivera34@gmail.com</t>
  </si>
  <si>
    <t>+19172141127</t>
  </si>
  <si>
    <t>4176 PARSONS BLVD Flushing NY 11355</t>
  </si>
  <si>
    <t>Elvin Curiales</t>
  </si>
  <si>
    <t>elvincuriales@gmail.com</t>
  </si>
  <si>
    <t>4176PARSONS BLVD Flushing NY 11355</t>
  </si>
  <si>
    <t>+12018875351</t>
  </si>
  <si>
    <t>FLUSHING INTERNATIONAL HIGH SCHOOL</t>
  </si>
  <si>
    <t>144BARCLEY AVENUE</t>
  </si>
  <si>
    <t>I do know</t>
  </si>
  <si>
    <t>Spanish and some inglish</t>
  </si>
  <si>
    <t>Police</t>
  </si>
  <si>
    <t>My job is busboy</t>
  </si>
  <si>
    <t>I do konw</t>
  </si>
  <si>
    <t>Firefighters or be a marine</t>
  </si>
  <si>
    <t>My goal is to have 100%gpa</t>
  </si>
  <si>
    <t>Humble because I learn a lot with my brothers shy because I do not speak to much and happy because I like to enjoy my free time</t>
  </si>
  <si>
    <t>Speak inglish  a little lidership</t>
  </si>
  <si>
    <t>92.44%</t>
  </si>
  <si>
    <t>wq7kfa5w8on593aej69sdwq7kfzm56uu</t>
  </si>
  <si>
    <t>Shiqing</t>
  </si>
  <si>
    <t>wei.shiqing@emmalazarus.org</t>
  </si>
  <si>
    <t>+19175200915</t>
  </si>
  <si>
    <t>1714 Avenue U, Brooklyn, NY, 11229</t>
  </si>
  <si>
    <t>Jianchai Chen</t>
  </si>
  <si>
    <t>shiqing066@gmail.com</t>
  </si>
  <si>
    <t>+16468811973</t>
  </si>
  <si>
    <t>100 Hester Street, NY, NY 10002</t>
  </si>
  <si>
    <t>My father arrived here 10 year ago and my mother arrived here 5 years ago.</t>
  </si>
  <si>
    <t>Hospitality</t>
  </si>
  <si>
    <t>My job was about bakery. I was a cashier. I got this job because I saw they post their recruitment on the door.</t>
  </si>
  <si>
    <t>City Tech, Brooklyn College, Kingsborough Community College, LaGuardia College, Hunter College, BMCC.</t>
  </si>
  <si>
    <t>Hospitality, culinary arts, early childhood education.</t>
  </si>
  <si>
    <t>Improve my GPA before my graduation.</t>
  </si>
  <si>
    <t>Get an internship, Learn about careers, Gain skills I can use at a future job</t>
  </si>
  <si>
    <t>I describe myself as a healthy, helpful and cheerful person. Because I like anything and food that can make me healthier. I am always willing to help others when they have any difficulties. I am very cheerful because I always like to keep a positive mood</t>
  </si>
  <si>
    <t>I think my maturity,  organizational skills and creativity will help my future career.</t>
  </si>
  <si>
    <t>There is nothing I want to add.</t>
  </si>
  <si>
    <t>88.83</t>
  </si>
  <si>
    <t>5e54pr3i9mpzorcu1qim5e54yqw09cn1</t>
  </si>
  <si>
    <t>asia</t>
  </si>
  <si>
    <t>atta</t>
  </si>
  <si>
    <t>bibiasia2019@flushinginternational.org</t>
  </si>
  <si>
    <t>147-10-41Ave flushing NY 11355</t>
  </si>
  <si>
    <t>Atta Mohammed</t>
  </si>
  <si>
    <t>matta2073@gmail.com</t>
  </si>
  <si>
    <t>147-10-41 Ave flushing NY 11355</t>
  </si>
  <si>
    <t>Rosmery Milczewski</t>
  </si>
  <si>
    <t>flushing</t>
  </si>
  <si>
    <t>32 years</t>
  </si>
  <si>
    <t>nothink</t>
  </si>
  <si>
    <t>pashto</t>
  </si>
  <si>
    <t>i want to sell hijab</t>
  </si>
  <si>
    <t>I want to do business</t>
  </si>
  <si>
    <t>queen bro college</t>
  </si>
  <si>
    <t>business,i do know</t>
  </si>
  <si>
    <t>my goal is my future business girl</t>
  </si>
  <si>
    <t>kind,funny,happy</t>
  </si>
  <si>
    <t>i like to help my family.</t>
  </si>
  <si>
    <t>77.65%</t>
  </si>
  <si>
    <t>vot9v0oz7ifwaib1ihvot9v0h3ammeb8</t>
  </si>
  <si>
    <t>Cristina Garcia</t>
  </si>
  <si>
    <t>Son de Colombia</t>
  </si>
  <si>
    <t>Latino/Hispano</t>
  </si>
  <si>
    <t>Veterinaria</t>
  </si>
  <si>
    <t>Medible</t>
  </si>
  <si>
    <t>Responsable, complicada y divertida</t>
  </si>
  <si>
    <t>Interés por el bienestar animal, Fuerza emocional e Interes por la medicina</t>
  </si>
  <si>
    <t>Nada</t>
  </si>
  <si>
    <t>ijgxbw1iuiql7tjqzijgxbwkp8hj0g43</t>
  </si>
  <si>
    <t>20-27 121 st College Point Queens, NY, 11356</t>
  </si>
  <si>
    <t>valentiinaa_28</t>
  </si>
  <si>
    <t>They are Colombian</t>
  </si>
  <si>
    <t>Complicated, happy, and shy</t>
  </si>
  <si>
    <t>Interest in animal welfare, emotional strength, and interest in science and medicine.</t>
  </si>
  <si>
    <t>sob84fbcnawdkpyjc3wusob8ujn94uu3</t>
  </si>
  <si>
    <t>Sindi</t>
  </si>
  <si>
    <t>Valerio Frias</t>
  </si>
  <si>
    <t>sfrias@crotonaihs.org</t>
  </si>
  <si>
    <t>+19294769724</t>
  </si>
  <si>
    <t>1860 grand concourse bronx NY 10457</t>
  </si>
  <si>
    <t>instagram and facebook</t>
  </si>
  <si>
    <t>Albanirys Frias Guzman</t>
  </si>
  <si>
    <t>albanirys03@gmail.com</t>
  </si>
  <si>
    <t>+19292846335</t>
  </si>
  <si>
    <t>Hunter college, Lehman College</t>
  </si>
  <si>
    <t>biology, veterinary, social teacher</t>
  </si>
  <si>
    <t>Be able to work in a hospital to help people</t>
  </si>
  <si>
    <t>Talented, hardworking and responsible</t>
  </si>
  <si>
    <t>helping people when they have an accident, not being afraid of blood and being a very kind person to others</t>
  </si>
  <si>
    <t>I want to be a registered nurse and be able to help people</t>
  </si>
  <si>
    <t>ddcxjnw7i2t8ors4ddcxn7mxe17zztsb</t>
  </si>
  <si>
    <t>karidjatou</t>
  </si>
  <si>
    <t>kone</t>
  </si>
  <si>
    <t>karidjatou.kone@ellisprep.com</t>
  </si>
  <si>
    <t>+13472085960</t>
  </si>
  <si>
    <t>707 concourse village west</t>
  </si>
  <si>
    <t>lassine kone</t>
  </si>
  <si>
    <t>lassinekone65@yahoo.com</t>
  </si>
  <si>
    <t>707 concourse village west,Bronx, zip code code 10451</t>
  </si>
  <si>
    <t>+16315689895</t>
  </si>
  <si>
    <t>Ellis Prepraratory Academy</t>
  </si>
  <si>
    <t>99 terrace view ave ,Bronx ,NY 10463</t>
  </si>
  <si>
    <t>Ivory cost</t>
  </si>
  <si>
    <t>27 year</t>
  </si>
  <si>
    <t>i'm muslim</t>
  </si>
  <si>
    <t>french and banbara</t>
  </si>
  <si>
    <t>business</t>
  </si>
  <si>
    <t>business or nurse</t>
  </si>
  <si>
    <t>best college</t>
  </si>
  <si>
    <t>business ,nurse</t>
  </si>
  <si>
    <t>i will improve my overall average ,attainable :by 2 point</t>
  </si>
  <si>
    <t>smiling, kind, simple</t>
  </si>
  <si>
    <t>teamwork, persuasive force</t>
  </si>
  <si>
    <t>noting</t>
  </si>
  <si>
    <t>less</t>
  </si>
  <si>
    <t>0664tasgg3it2i06jcuj0ese85dmzi5i</t>
  </si>
  <si>
    <t>Meybelin Nicole</t>
  </si>
  <si>
    <t>Marquez</t>
  </si>
  <si>
    <t>6/24/0003</t>
  </si>
  <si>
    <t>meybelin2019@flushinginternational.org</t>
  </si>
  <si>
    <t>+13475920320</t>
  </si>
  <si>
    <t>9-03-127 st</t>
  </si>
  <si>
    <t>Maria Marquez</t>
  </si>
  <si>
    <t>NOne@none.com</t>
  </si>
  <si>
    <t>9-03-127st</t>
  </si>
  <si>
    <t>+13475069693</t>
  </si>
  <si>
    <t>Flushing International HS</t>
  </si>
  <si>
    <t>144-80 Barclay Av</t>
  </si>
  <si>
    <t>LatinX</t>
  </si>
  <si>
    <t>No job currently.  I use online searches for jobs</t>
  </si>
  <si>
    <t>QCC, John Jay,</t>
  </si>
  <si>
    <t>Criminology, Police, Lawyer, Doctor,</t>
  </si>
  <si>
    <t>I want to pass 2 pbats</t>
  </si>
  <si>
    <t>Friendly, Funny and loyal</t>
  </si>
  <si>
    <t>Think, observe things, careful</t>
  </si>
  <si>
    <t>I would like to have a mentor that speaks both English and Spanish. The mentor knowing about criminology is most important</t>
  </si>
  <si>
    <t>78</t>
  </si>
  <si>
    <t>b11gf9wvr3xcoecwb11dfm3z5j18iz9k</t>
  </si>
  <si>
    <t>li chuanxun</t>
  </si>
  <si>
    <t>chuanxun</t>
  </si>
  <si>
    <t>chuanxun2019@flushinginternational.org</t>
  </si>
  <si>
    <t>+19173413528</t>
  </si>
  <si>
    <t>143-68 Sanford Ave Flushing NY,11355</t>
  </si>
  <si>
    <t>lingju wang</t>
  </si>
  <si>
    <t>821091903@qq.com</t>
  </si>
  <si>
    <t>144-80 Barclay Ave,Queens,NY 11355</t>
  </si>
  <si>
    <t>I am from China and I am an Asian.</t>
  </si>
  <si>
    <t>The New School NY</t>
  </si>
  <si>
    <t>NBA player,lawyer</t>
  </si>
  <si>
    <t>I will improve my overall performance level by 90%.</t>
  </si>
  <si>
    <t>Learn about colleges, Learn about careers, Get an internship, Get coaches and mentors who can help me with college and career, Gain skills I can use at a future job, Make new friends</t>
  </si>
  <si>
    <t>Enthusiasm, studious, hard work.</t>
  </si>
  <si>
    <t>I have a strong body. I can gain relevant knowledge by studying hard</t>
  </si>
  <si>
    <t>I hope I can learn more through this opportunity</t>
  </si>
  <si>
    <t>72.46%</t>
  </si>
  <si>
    <t>1swterghmgh6pay4w1swtlto60qkaucd</t>
  </si>
  <si>
    <t>Chiquito</t>
  </si>
  <si>
    <t>allanfabricio2019@flushinginternational.org</t>
  </si>
  <si>
    <t>+16468306520</t>
  </si>
  <si>
    <t>14013 58 Road, building NY Queens Flushing</t>
  </si>
  <si>
    <t>Facebook,whatsapp</t>
  </si>
  <si>
    <t>Fabricio chiquito</t>
  </si>
  <si>
    <t>fabricio.chiquito@gmail.com</t>
  </si>
  <si>
    <t>+19293428677</t>
  </si>
  <si>
    <t>144-75 Barclay Ave, Queens</t>
  </si>
  <si>
    <t>Rescue and Care (fire/animal rescue &amp; people/animal care)</t>
  </si>
  <si>
    <t>Zero</t>
  </si>
  <si>
    <t>Specific I will improve my overall average</t>
  </si>
  <si>
    <t>Relax calm dedicated because I want to complete my goals and my dreams</t>
  </si>
  <si>
    <t>Quick understanding funny and relaxing</t>
  </si>
  <si>
    <t>ezb60sn9n4xd2pqrcezb60sn8mreifn8</t>
  </si>
  <si>
    <t>Instagram: adelia.pop.77</t>
  </si>
  <si>
    <t>popmatilde6@gmail.com</t>
  </si>
  <si>
    <t>4317 162st flushing NY 11358</t>
  </si>
  <si>
    <t>Computer Engineer</t>
  </si>
  <si>
    <t>Work in a company</t>
  </si>
  <si>
    <t>None for now</t>
  </si>
  <si>
    <t>Nursing, Art, Computer engineer, Artist</t>
  </si>
  <si>
    <t>Graduate from high school by having GPA more than 74%</t>
  </si>
  <si>
    <t>Punctual, friendly, caring</t>
  </si>
  <si>
    <t>Can draw well, listening skill and positive attitude</t>
  </si>
  <si>
    <t>70.88%</t>
  </si>
  <si>
    <t>s8rvu3o4kwrnyowkaks8rvhn692aqn31</t>
  </si>
  <si>
    <t>m.mateo2020@flushinginternational.org</t>
  </si>
  <si>
    <t>32-28 30th Queens, New York 11106</t>
  </si>
  <si>
    <t>144-80 barclay Ave</t>
  </si>
  <si>
    <t>In charge of marketing an important company</t>
  </si>
  <si>
    <t>Baruch College, Brooklyn College</t>
  </si>
  <si>
    <t>enginner in marketing</t>
  </si>
  <si>
    <t>The goal I have is to get into university and study and learn everything that marketing entails, after that, I graduate and get a job so I can gain experience, and every time I get a more important position in any company. and finally, open and take care of my own business</t>
  </si>
  <si>
    <t>ambitious, brilliant, collaborator</t>
  </si>
  <si>
    <t>decision making, concentration, I work under pressure</t>
  </si>
  <si>
    <t>85,79%</t>
  </si>
  <si>
    <t>bqwyqfk2gsqdeywmbqwyqb6q3tmaire2</t>
  </si>
  <si>
    <t>cleidy</t>
  </si>
  <si>
    <t>Ramirez</t>
  </si>
  <si>
    <t>cleidy2019@flushinginternational.org</t>
  </si>
  <si>
    <t>+19294315682</t>
  </si>
  <si>
    <t>105-12 northern blvd corona NY 11368</t>
  </si>
  <si>
    <t>Facebook , Instagram</t>
  </si>
  <si>
    <t>Regina Puga Carbajal</t>
  </si>
  <si>
    <t>palomita0726@gmail.com</t>
  </si>
  <si>
    <t>+19294315673</t>
  </si>
  <si>
    <t>144-80 Barclay ave flushing NY 11365</t>
  </si>
  <si>
    <t>Perú</t>
  </si>
  <si>
    <t>Art</t>
  </si>
  <si>
    <t>I think business administration</t>
  </si>
  <si>
    <t>Columbia university, hunter collage , pace university , Fordham university, the Juliard school</t>
  </si>
  <si>
    <t>Doctor , nurse ,marketing manager</t>
  </si>
  <si>
    <t>Finish the school</t>
  </si>
  <si>
    <t>Friendly , kind , nice</t>
  </si>
  <si>
    <t>Resolvigproblema</t>
  </si>
  <si>
    <t>80.07 %</t>
  </si>
  <si>
    <t>jlrub6iufbn8htdzvad2jlrub693lacu</t>
  </si>
  <si>
    <t>maria</t>
  </si>
  <si>
    <t>ventura</t>
  </si>
  <si>
    <t>m.ventura2018@flushinginternational.org</t>
  </si>
  <si>
    <t>+16313030393</t>
  </si>
  <si>
    <t>3526 108</t>
  </si>
  <si>
    <t>NOn</t>
  </si>
  <si>
    <t>Police Officer</t>
  </si>
  <si>
    <t>Service industry</t>
  </si>
  <si>
    <t>John J</t>
  </si>
  <si>
    <t>Medical field</t>
  </si>
  <si>
    <t>To Graduate High School.</t>
  </si>
  <si>
    <t>Friendly, Good person, relaible</t>
  </si>
  <si>
    <t>Athletic, strong, communication</t>
  </si>
  <si>
    <t>69.52</t>
  </si>
  <si>
    <t>kipxgoy89aynxnxrpkip5y8ht5cismf0</t>
  </si>
  <si>
    <t>Jhony</t>
  </si>
  <si>
    <t>Diaz</t>
  </si>
  <si>
    <t>jhony2019@flushinginternational.org</t>
  </si>
  <si>
    <t>+19298017226</t>
  </si>
  <si>
    <t>1414 117th street College Point, Queens NY 11356</t>
  </si>
  <si>
    <t>Instagram-rafael._dr</t>
  </si>
  <si>
    <t>viegamama@aol.com</t>
  </si>
  <si>
    <t>1414 117th street College point, Queens NY 11356</t>
  </si>
  <si>
    <t>+15164059293</t>
  </si>
  <si>
    <t>65 years</t>
  </si>
  <si>
    <t>Car mechanic</t>
  </si>
  <si>
    <t>becoming a architecture engineering</t>
  </si>
  <si>
    <t>Airplane mechanic, car mechanic, lawyer, police officer and architecture engineering</t>
  </si>
  <si>
    <t>I will get over 80 for 11 and 12 grade and pass college</t>
  </si>
  <si>
    <t>Fast, hardworking and smart because i like to do things fast but when it comes to doing things fast might do it wrong</t>
  </si>
  <si>
    <t>Knows spanish/english, works fast and writes fast</t>
  </si>
  <si>
    <t>82.36%</t>
  </si>
  <si>
    <t>w33pemv42efda4a8cn4vw33pemv4cw3j</t>
  </si>
  <si>
    <t>Diana</t>
  </si>
  <si>
    <t>Chima</t>
  </si>
  <si>
    <t>diana_sc06@icloud.com</t>
  </si>
  <si>
    <t>+19296206152</t>
  </si>
  <si>
    <t>108  40-14 St Corona NY (11368)</t>
  </si>
  <si>
    <t>Roció Suquilanda</t>
  </si>
  <si>
    <t>108. 40-14 St Corona NY (11368)</t>
  </si>
  <si>
    <t>+19298289273</t>
  </si>
  <si>
    <t>144-80. Barclay Av</t>
  </si>
  <si>
    <t>Ecuador,La Troncal</t>
  </si>
  <si>
    <t>That we are from a very traditional culture</t>
  </si>
  <si>
    <t>what I would like to learn is about nursing because since I was a child it has been my dream to help my family and others</t>
  </si>
  <si>
    <t>Manhattan college</t>
  </si>
  <si>
    <t>technology, paramedic</t>
  </si>
  <si>
    <t>Get to fulfill my dreams, and have a good job and future.</t>
  </si>
  <si>
    <t>Make new friends, Learn about careers, Gain skills I can use at a future job</t>
  </si>
  <si>
    <t>Friendly , Responsibility</t>
  </si>
  <si>
    <t>Punctual, to work fast</t>
  </si>
  <si>
    <t>71.22%</t>
  </si>
  <si>
    <t>8x44zohx0memws31ryt8x44zohb2jx6l</t>
  </si>
  <si>
    <t>carlos2019@flushinginternational.org</t>
  </si>
  <si>
    <t>+19292186883</t>
  </si>
  <si>
    <t>54-12 72nd street Queen NY 11378</t>
  </si>
  <si>
    <t>ramirez_carlos2005</t>
  </si>
  <si>
    <t>Angelica Ramirez</t>
  </si>
  <si>
    <t>54-12 72nd street Queens NY 11378</t>
  </si>
  <si>
    <t>+16317828938</t>
  </si>
  <si>
    <t>9 years</t>
  </si>
  <si>
    <t>Spanish-English</t>
  </si>
  <si>
    <t>Army</t>
  </si>
  <si>
    <t>Doctor and soccer player</t>
  </si>
  <si>
    <t>harvard</t>
  </si>
  <si>
    <t>Doctor, Army, Soccer Player</t>
  </si>
  <si>
    <t>I want to improve my grades in Math and English, to MT, from MP to MT-ME, by applying what I am still learning in class, using also my knowledge to accomplish it before the end of the school year</t>
  </si>
  <si>
    <t>Friendly, because I like to help everyone. Lovely, I like to give love. Funny because I like to make happy to everyone</t>
  </si>
  <si>
    <t>Collaboration, Perseverence, Leadership</t>
  </si>
  <si>
    <t>No I don't have anything to say</t>
  </si>
  <si>
    <t>I feel like I belong to the community, they make me feel good</t>
  </si>
  <si>
    <t>68.28</t>
  </si>
  <si>
    <t>h2uztj1oxlcffae3iydh2uztj1pui75b</t>
  </si>
  <si>
    <t>anderson</t>
  </si>
  <si>
    <t>martinez</t>
  </si>
  <si>
    <t>andersonm2019@flushinginternational.org</t>
  </si>
  <si>
    <t>+13479451000</t>
  </si>
  <si>
    <t>140-37 ash ave queens,NY11355</t>
  </si>
  <si>
    <t>anderso martinez</t>
  </si>
  <si>
    <t>Ricardo florez</t>
  </si>
  <si>
    <t>140-37 ash ave,queens,NY 11355,</t>
  </si>
  <si>
    <t>+19173261967</t>
  </si>
  <si>
    <t>Nicaragua</t>
  </si>
  <si>
    <t>Not applicable</t>
  </si>
  <si>
    <t>Military-Airforce/aviation</t>
  </si>
  <si>
    <t>army</t>
  </si>
  <si>
    <t>N A</t>
  </si>
  <si>
    <t>Airplane mechanic, lawyer</t>
  </si>
  <si>
    <t>Improve my GPA to 75</t>
  </si>
  <si>
    <t>Charismatic, friendly, athletic</t>
  </si>
  <si>
    <t>focus, serious, responsible</t>
  </si>
  <si>
    <t>my bien</t>
  </si>
  <si>
    <t>67</t>
  </si>
  <si>
    <t>5qbsm7gqbk4mnd85qbsm760az11uwc5o</t>
  </si>
  <si>
    <t>santiago</t>
  </si>
  <si>
    <t>espinel</t>
  </si>
  <si>
    <t>santiagoe2019@flushinginternational.org</t>
  </si>
  <si>
    <t>+13473196695</t>
  </si>
  <si>
    <t>Queens, NY, 11355, Flushing, 144-03 5c  barclay AV</t>
  </si>
  <si>
    <t>jose espinel</t>
  </si>
  <si>
    <t>pepeespinel@hotmail.com</t>
  </si>
  <si>
    <t>+13479833981</t>
  </si>
  <si>
    <t>flushing international high school, 144-80 barclay, flushing, NY 11355</t>
  </si>
  <si>
    <t>we come from Ecuador</t>
  </si>
  <si>
    <t>i am from Ecuador guayaquil</t>
  </si>
  <si>
    <t>Marriage Councelor</t>
  </si>
  <si>
    <t>i want to be a marriage counselor</t>
  </si>
  <si>
    <t>marriage counselor, actor, military or teacher</t>
  </si>
  <si>
    <t>my goal is to be a marriage counselor, I want to help people, and somehow make them happy, I think I can accomplish that job because I can give good advice, i think i can do it before high school</t>
  </si>
  <si>
    <t>focus, I show respect and kind</t>
  </si>
  <si>
    <t>advice, talking and being a good listening</t>
  </si>
  <si>
    <t>i like marvel, Dc and star wars and video games</t>
  </si>
  <si>
    <t>the community makes me feel happy, so i feel pretty good here</t>
  </si>
  <si>
    <t>tdxlt5za9imep6itdxltysizd7nf0jmc</t>
  </si>
  <si>
    <t>Rocio</t>
  </si>
  <si>
    <t>rocio2019@flushinginternational.org</t>
  </si>
  <si>
    <t>+19295579136</t>
  </si>
  <si>
    <t>41-10 158 St flushing NY 11358</t>
  </si>
  <si>
    <t>Aida Yesenia Soriano</t>
  </si>
  <si>
    <t>Rocio2019@flushinginternational.org</t>
  </si>
  <si>
    <t>11358</t>
  </si>
  <si>
    <t>+13475008495</t>
  </si>
  <si>
    <t>Criminology lawyer</t>
  </si>
  <si>
    <t>John Jay college of criminal justice</t>
  </si>
  <si>
    <t>Writer</t>
  </si>
  <si>
    <t>Learn more skills about lawyer by end of the class.</t>
  </si>
  <si>
    <t>Learn about careers, Get an internship, Gain skills I can use at a future job, Learn about colleges</t>
  </si>
  <si>
    <t>Shy, sarcastic, Happy</t>
  </si>
  <si>
    <t>Collaboration, leadership.</t>
  </si>
  <si>
    <t>76.12%</t>
  </si>
  <si>
    <t>o4nhmov6l90tvsfo4nhmrh7omd990upk</t>
  </si>
  <si>
    <t>Elver</t>
  </si>
  <si>
    <t>Veras</t>
  </si>
  <si>
    <t>elver2019@flushinginternational.org</t>
  </si>
  <si>
    <t>+13474452282</t>
  </si>
  <si>
    <t>3207 Fairmount ave Bronx, NY 10465 United states</t>
  </si>
  <si>
    <t>Facebook and instagram</t>
  </si>
  <si>
    <t>Malvyn beloosesky</t>
  </si>
  <si>
    <t>Mbeloosesky@gmail.com</t>
  </si>
  <si>
    <t>3207 Fairmount ave Bronx , NY 10465</t>
  </si>
  <si>
    <t>+17185983279</t>
  </si>
  <si>
    <t>Flushing international High school</t>
  </si>
  <si>
    <t>144-80 Barclay Ave Flushing, NY 11355 United States</t>
  </si>
  <si>
    <t>not born in usa</t>
  </si>
  <si>
    <t>Spanish and english</t>
  </si>
  <si>
    <t>Police officer</t>
  </si>
  <si>
    <t>Restaurant owner</t>
  </si>
  <si>
    <t>still don't know any colleges</t>
  </si>
  <si>
    <t>Restaurant owner , police officer, veterinarian , Airline pilot, Psicologist</t>
  </si>
  <si>
    <t>i will use my mentor to help me get some advices for my future career , i will also get help from others who are interested in this career</t>
  </si>
  <si>
    <t>Kind , funny and loyal , because im a good person</t>
  </si>
  <si>
    <t>physical strength , a lot of knowledge , courage</t>
  </si>
  <si>
    <t>safe and secure</t>
  </si>
  <si>
    <t>74</t>
  </si>
  <si>
    <t>y5ihixwylp6e98y5ihiawsjcj9ftdn4q</t>
  </si>
  <si>
    <t>Wanting</t>
  </si>
  <si>
    <t>huang</t>
  </si>
  <si>
    <t>wantingh85@gmail.com</t>
  </si>
  <si>
    <t>+17246055880</t>
  </si>
  <si>
    <t>134-29 60ave flushing 11355</t>
  </si>
  <si>
    <t>jianzhen hu</t>
  </si>
  <si>
    <t>1442213147@qq.com</t>
  </si>
  <si>
    <t>+19292313357</t>
  </si>
  <si>
    <t>144-80Barclay ave，queens，NY 11355</t>
  </si>
  <si>
    <t>Makeup fashion</t>
  </si>
  <si>
    <t>From the school.</t>
  </si>
  <si>
    <t>Make-up, painting, cooking and selling.</t>
  </si>
  <si>
    <t>I will improve my goal by learning more things.</t>
  </si>
  <si>
    <t>Learn about careers, Learn about colleges</t>
  </si>
  <si>
    <t>Lazy, students, teenagers.</t>
  </si>
  <si>
    <t>Ability, brain power.</t>
  </si>
  <si>
    <t>I'm interested in fashion and makeup.</t>
  </si>
  <si>
    <t>Rod,</t>
  </si>
  <si>
    <t>Nonreligious.</t>
  </si>
  <si>
    <t>65</t>
  </si>
  <si>
    <t>qft5zd3sln8nr1lom3qft5rn91fo27cp</t>
  </si>
  <si>
    <t>Siyu</t>
  </si>
  <si>
    <t>Liu</t>
  </si>
  <si>
    <t>wuya8268@gmail.com</t>
  </si>
  <si>
    <t>+16466788567</t>
  </si>
  <si>
    <t>New York flushing 11355</t>
  </si>
  <si>
    <t>Yufen Xing</t>
  </si>
  <si>
    <t>wuyan8268@gmail.com</t>
  </si>
  <si>
    <t>+13474869699</t>
  </si>
  <si>
    <t>144-80 Barclay Ave queens NY11355</t>
  </si>
  <si>
    <t>Baruch College College of Staten Island Brooklyn Colle  CUNY School of Professio  nal Studies John Jay College of Criminal Justice  Lehman College  Medgar Evers College</t>
  </si>
  <si>
    <t>Pet doctor Designer Nurse</t>
  </si>
  <si>
    <t>I need to go to school on time every day to complete my homework and improve my grades to complete my high school because I want to go to university</t>
  </si>
  <si>
    <t>Get coaches and mentors who can help me with college and career, Learn about colleges, Make new friends, Learn about careers</t>
  </si>
  <si>
    <t>Shy long hair brown hair</t>
  </si>
  <si>
    <t>I can paint. Nurses may need to draw human bodies.</t>
  </si>
  <si>
    <t>66.34</t>
  </si>
  <si>
    <t>9zrbq7u2lkzqd8s3w9ab9zrbgac7qxqz</t>
  </si>
  <si>
    <t>fatima</t>
  </si>
  <si>
    <t>magana</t>
  </si>
  <si>
    <t>fatima2019@flushinginternational.org</t>
  </si>
  <si>
    <t>+16469533624</t>
  </si>
  <si>
    <t>11-41 123rd st college point NY 11356</t>
  </si>
  <si>
    <t>whatsApp</t>
  </si>
  <si>
    <t>julia chacon</t>
  </si>
  <si>
    <t>juliachacon804@gmail.com</t>
  </si>
  <si>
    <t>11-41 123 rd st college point NY 11356</t>
  </si>
  <si>
    <t>+13476549169</t>
  </si>
  <si>
    <t>katie</t>
  </si>
  <si>
    <t>144-80 Barclay Ave,Queens NY 11355</t>
  </si>
  <si>
    <t>13 anos</t>
  </si>
  <si>
    <t>my nationality is salvadoran</t>
  </si>
  <si>
    <t>Queens College,York College</t>
  </si>
  <si>
    <t>architecture, nurse, graduate</t>
  </si>
  <si>
    <t>very quiet because I am very shy</t>
  </si>
  <si>
    <t>pay attention, be present,</t>
  </si>
  <si>
    <t>no, nothing</t>
  </si>
  <si>
    <t>feel good</t>
  </si>
  <si>
    <t>do not get injured</t>
  </si>
  <si>
    <t>wq7lsn1j3v7zpnl61fp0wq7lsnq4pgxz</t>
  </si>
  <si>
    <t>Elsa</t>
  </si>
  <si>
    <t>Pop</t>
  </si>
  <si>
    <t>Elsa2019@flushinginternational.org</t>
  </si>
  <si>
    <t>+13473200776</t>
  </si>
  <si>
    <t>43-17 62 St 2 flushing Ny 11358</t>
  </si>
  <si>
    <t>https://www.facebook.com/pop.elsa.12</t>
  </si>
  <si>
    <t>Matilde pop</t>
  </si>
  <si>
    <t>43-17 162 St flushing Ny 11358</t>
  </si>
  <si>
    <t>Flushing International High School.</t>
  </si>
  <si>
    <t>144-80 Barclay Ave Flushing NY 11355</t>
  </si>
  <si>
    <t>I was 15 when I moved here in the United States.</t>
  </si>
  <si>
    <t>At home we speak Q'eqchi'.</t>
  </si>
  <si>
    <t>Q'eqchi' and Spanish</t>
  </si>
  <si>
    <t>I dont' have works</t>
  </si>
  <si>
    <t>John Jay College of Criminal Justice</t>
  </si>
  <si>
    <t>lawyer, music (singing), Doctor,</t>
  </si>
  <si>
    <t>the 5 import-ant for me  is work and do homework respect listening to the teacher</t>
  </si>
  <si>
    <t>friendly, fun, creative</t>
  </si>
  <si>
    <t>good to leaning to speaking</t>
  </si>
  <si>
    <t>i am respectful, and i work hard</t>
  </si>
  <si>
    <t>86</t>
  </si>
  <si>
    <t>y3cxilhghkmtzp785y3cxilvs4otftx2</t>
  </si>
  <si>
    <t>Pablo</t>
  </si>
  <si>
    <t>Justiniano</t>
  </si>
  <si>
    <t>p.just2018@flushinginternational.org</t>
  </si>
  <si>
    <t>+15165037228</t>
  </si>
  <si>
    <t>188 Sutter Ave. Brooklyn, NY 11212</t>
  </si>
  <si>
    <t>facebook, instagram</t>
  </si>
  <si>
    <t>Ross Portales</t>
  </si>
  <si>
    <t>panlojustiniano@gmail.com</t>
  </si>
  <si>
    <t>+17188100304</t>
  </si>
  <si>
    <t>Barclay Avenue</t>
  </si>
  <si>
    <t>Bolivia</t>
  </si>
  <si>
    <t>Computer programmer</t>
  </si>
  <si>
    <t>technology, computer repair</t>
  </si>
  <si>
    <t>I will increase my average 10 points</t>
  </si>
  <si>
    <t>quiet, calm, happy</t>
  </si>
  <si>
    <t>computer skills, typing, gaming</t>
  </si>
  <si>
    <t>not religous</t>
  </si>
  <si>
    <t>68</t>
  </si>
  <si>
    <t>ey126xn3xsxert6mc63wey12684g8756</t>
  </si>
  <si>
    <t>Andersson</t>
  </si>
  <si>
    <t>Ramos Mejia</t>
  </si>
  <si>
    <t>andersson2019@flushinginternational.org</t>
  </si>
  <si>
    <t>+13474843553</t>
  </si>
  <si>
    <t>45-50 161 st Flushing NY 11358</t>
  </si>
  <si>
    <t>Iris Marlene Mejia Valencia</t>
  </si>
  <si>
    <t>marlevalencia300@gmail.com</t>
  </si>
  <si>
    <t>45-50 161 St Flushing NY 11358</t>
  </si>
  <si>
    <t>+13478413612</t>
  </si>
  <si>
    <t>Flushing International High Schoool</t>
  </si>
  <si>
    <t>law career, astronomy, doctor, real estate</t>
  </si>
  <si>
    <t>works as a waiter</t>
  </si>
  <si>
    <t>lawyer, doctor</t>
  </si>
  <si>
    <t>Learning new things and improving every day listening to people and advice</t>
  </si>
  <si>
    <t>a little quiet, pensive and sociable</t>
  </si>
  <si>
    <t>be able to concentrate, listen to people, take people's opinions into account</t>
  </si>
  <si>
    <t>Not Religius</t>
  </si>
  <si>
    <t>75.03%</t>
  </si>
  <si>
    <t>7elb4on3uwoor0w877elb4oalqe1chyr</t>
  </si>
  <si>
    <t>Douglas</t>
  </si>
  <si>
    <t>Carrasco Carcamo</t>
  </si>
  <si>
    <t>douglas.carrasco@ellisprep.com</t>
  </si>
  <si>
    <t>+13479865339</t>
  </si>
  <si>
    <t>1469 JESUP AVENUE 3G, BRONX, NY 10452</t>
  </si>
  <si>
    <t>windy Carcamo</t>
  </si>
  <si>
    <t>windycarcamo18@gmail.com</t>
  </si>
  <si>
    <t>+16462044706</t>
  </si>
  <si>
    <t>ELLIS PREPARATORY ACADEMY</t>
  </si>
  <si>
    <t>99 Terrace View Ave, New York, NY 10463</t>
  </si>
  <si>
    <t>FBI-Detective</t>
  </si>
  <si>
    <t>FBI-</t>
  </si>
  <si>
    <t>I don't' have a college list yet</t>
  </si>
  <si>
    <t>soccer player, law,FBI- Dective</t>
  </si>
  <si>
    <t>By december 2021, I will learn 50 new vocabulary words in English.  I will create flashcards every week. I will keep record of my improvement by practicing with my friends.</t>
  </si>
  <si>
    <t>Get an internship, Learn about careers, Learn about colleges, Gain skills I can use at a future job, Get coaches and mentors who can help me with college and career, Make new friends</t>
  </si>
  <si>
    <t>Respectfully, Responsible and Kind these three adjectives describe the person that I'm today because of the values that my family teach since I was a kid</t>
  </si>
  <si>
    <t>Communication, Leadership, creative</t>
  </si>
  <si>
    <t>80.21</t>
  </si>
  <si>
    <t>pffk4gkq4ska7wthpffkgzob1599kbhu</t>
  </si>
  <si>
    <t>Shichuan</t>
  </si>
  <si>
    <t>Zhou</t>
  </si>
  <si>
    <t>shichuan2019@flushinginternational.org</t>
  </si>
  <si>
    <t>+13322233268</t>
  </si>
  <si>
    <t>44-15 5s colden st flushing NY 11355</t>
  </si>
  <si>
    <t>Chunmeichen</t>
  </si>
  <si>
    <t>5s colden st flushing NY 11355</t>
  </si>
  <si>
    <t>+19179626297</t>
  </si>
  <si>
    <t>interior designer</t>
  </si>
  <si>
    <t>Harvard University</t>
  </si>
  <si>
    <t>Get my gpa score above 90 through school</t>
  </si>
  <si>
    <t>Friendliness, harmony, respect</t>
  </si>
  <si>
    <t>Serious, leadership, collaboration</t>
  </si>
  <si>
    <t>Sikhism</t>
  </si>
  <si>
    <t>75.5</t>
  </si>
  <si>
    <t>eowzv5vmzhb5r13l0eowzvm1d8ofuj2g</t>
  </si>
  <si>
    <t>Edison Lam</t>
  </si>
  <si>
    <t>lam</t>
  </si>
  <si>
    <t>lamedison27@gmail.com</t>
  </si>
  <si>
    <t>+19293627548</t>
  </si>
  <si>
    <t>14722 jasmine ave</t>
  </si>
  <si>
    <t>Kan Lam</t>
  </si>
  <si>
    <t>asian</t>
  </si>
  <si>
    <t>Basketball player</t>
  </si>
  <si>
    <t>Basketball</t>
  </si>
  <si>
    <t>Cuny</t>
  </si>
  <si>
    <t>Sport police fire man Doctor video play</t>
  </si>
  <si>
    <t>Learn skill</t>
  </si>
  <si>
    <t>Social different good</t>
  </si>
  <si>
    <t>Leng</t>
  </si>
  <si>
    <t>Jejje</t>
  </si>
  <si>
    <t>73.56</t>
  </si>
  <si>
    <t>bias22ffet8pjg7k76dobias22195tn9</t>
  </si>
  <si>
    <t>belen</t>
  </si>
  <si>
    <t>membreno</t>
  </si>
  <si>
    <t>mariam2019@flushinginternational.org</t>
  </si>
  <si>
    <t>+19188071013</t>
  </si>
  <si>
    <t>145 06 th 34 ave , flushing ny 11355</t>
  </si>
  <si>
    <t>facebook , gmail , llamadas</t>
  </si>
  <si>
    <t>maria membreno</t>
  </si>
  <si>
    <t>membrenolety@gmail.com</t>
  </si>
  <si>
    <t>145 06 34 av flushing Ny 355</t>
  </si>
  <si>
    <t>+13475101366</t>
  </si>
  <si>
    <t>flushing international school</t>
  </si>
  <si>
    <t>148 barclay , flushing ny 11355</t>
  </si>
  <si>
    <t>EL salvador</t>
  </si>
  <si>
    <t>6 years</t>
  </si>
  <si>
    <t>my country are very beatifull and the foot salvadorian is very delicius  and i love my country El salvador</t>
  </si>
  <si>
    <t>lawyer because i wanna help other people</t>
  </si>
  <si>
    <t>my job is manicurist , I got it for my aunt</t>
  </si>
  <si>
    <t>colleges of law</t>
  </si>
  <si>
    <t>lawyer , nurse, teacher</t>
  </si>
  <si>
    <t>my goal is improve my grades finishing all the works and staying afeter school</t>
  </si>
  <si>
    <t>a studious, strong friendly person, because I strive for my goals</t>
  </si>
  <si>
    <t>I like to help, and I am a good leader when we work</t>
  </si>
  <si>
    <t>I would like to know more things that I can do to be able to university</t>
  </si>
  <si>
    <t>very good because we are friends on my community</t>
  </si>
  <si>
    <t>I am on process</t>
  </si>
  <si>
    <t>71.81%</t>
  </si>
  <si>
    <t>aref0ndci3od7irfds8aref0rrgoq45v</t>
  </si>
  <si>
    <t>chanely</t>
  </si>
  <si>
    <t>astacio</t>
  </si>
  <si>
    <t>chanely.astacio@ellisprep.com</t>
  </si>
  <si>
    <t>+13476641694</t>
  </si>
  <si>
    <t>636 east 170 st 10456</t>
  </si>
  <si>
    <t>Irene santiago</t>
  </si>
  <si>
    <t>irechaneli231@hotmail.com</t>
  </si>
  <si>
    <t>+16464986707</t>
  </si>
  <si>
    <t>ellis preparatory academy</t>
  </si>
  <si>
    <t>99 terrace view ave new york, ny 10463</t>
  </si>
  <si>
    <t>my mom is dominican same as me and my step father is from new york</t>
  </si>
  <si>
    <t>my mom and me 2 years ago and my stepfather is from usa</t>
  </si>
  <si>
    <t>john Jay, fordham, columbia law school, lehman collage, hunter, rutgers law school, brooklyn collage, penn state, laguardia community college, st. john's university</t>
  </si>
  <si>
    <t>Advocacy, Psychology, Social Work, Judge, Relator</t>
  </si>
  <si>
    <t>I want to complete at least 5 different internships/community service events this year.  To ensure this will happen I will check in with my couselor weekly.</t>
  </si>
  <si>
    <t>Get an internship, Learn about careers, Learn about colleges, Make new friends, Get coaches and mentors who can help me with college and career, Gain skills I can use at a future job</t>
  </si>
  <si>
    <t>Persistant, Brave, Responsible</t>
  </si>
  <si>
    <t>I know how to covince people, I like to help people, and I m Brave</t>
  </si>
  <si>
    <t>that's it</t>
  </si>
  <si>
    <t>74.92</t>
  </si>
  <si>
    <t>xoma19ndl9ayox577xmcdetinbsid994</t>
  </si>
  <si>
    <t>khadim</t>
  </si>
  <si>
    <t>ndiaye</t>
  </si>
  <si>
    <t>khadimn901@gmail.com</t>
  </si>
  <si>
    <t>+16469194197</t>
  </si>
  <si>
    <t>30 Avenue D Apt 3E New York NY 10009</t>
  </si>
  <si>
    <t>Amdy Ndiaye</t>
  </si>
  <si>
    <t>ansmile@msn.com</t>
  </si>
  <si>
    <t>+19172390998</t>
  </si>
  <si>
    <t>Senegal 🇸🇳</t>
  </si>
  <si>
    <t>I did not born here</t>
  </si>
  <si>
    <t>English and French</t>
  </si>
  <si>
    <t>Uber eat delivery</t>
  </si>
  <si>
    <t>University</t>
  </si>
  <si>
    <t>Designer, mechanic, coach</t>
  </si>
  <si>
    <t>My goal is to be a designer and to achieve that I must study as hardest as I can.</t>
  </si>
  <si>
    <t>Gain skills I can use at a future job, Learn about careers, Make new friends</t>
  </si>
  <si>
    <t>Patient,  passionate,  kind these describes me because  it shape me from who I am or where I come from</t>
  </si>
  <si>
    <t>Speaking , motivating, and passion</t>
  </si>
  <si>
    <t>I love making new friends and playing video games</t>
  </si>
  <si>
    <t>Better</t>
  </si>
  <si>
    <t>75 to 85 mostly</t>
  </si>
  <si>
    <t>t3az8xv1veabplica8t3azfbom4o3q6c</t>
  </si>
  <si>
    <t>Eliana</t>
  </si>
  <si>
    <t>Cabral</t>
  </si>
  <si>
    <t>eliana.cabral@ellisprep.com</t>
  </si>
  <si>
    <t>+15855531373</t>
  </si>
  <si>
    <t>390 Jackson Ave Apt 5A, Bronx NY 10454</t>
  </si>
  <si>
    <t>Natividad Santiago</t>
  </si>
  <si>
    <t>natividadsantiago0908@gmail.com</t>
  </si>
  <si>
    <t>+16462940324</t>
  </si>
  <si>
    <t>Ellis Prep Academy (10x397)</t>
  </si>
  <si>
    <t>99 Terrace View Avenue Bronx NY 10463</t>
  </si>
  <si>
    <t>I wasn't born here.</t>
  </si>
  <si>
    <t>no yet</t>
  </si>
  <si>
    <t>University of Rochester</t>
  </si>
  <si>
    <t>laws and  Psychology.</t>
  </si>
  <si>
    <t>I will improve my knowledge by 60% about my careers of interest from a 40% to a 100% by applying the skills and advice that I will learn from my pathways champions by the end of the school year which is going to help to decide what to do in the future.</t>
  </si>
  <si>
    <t>Organize, punctual and focused because I like to have all my things and information organized and neat so I can look at them later, I also try always to be on time and the most of time I'm punctual and focused because when i put my mind on something I don't stop until accomplish my goal.</t>
  </si>
  <si>
    <t>Organization, focused and dedication.</t>
  </si>
  <si>
    <t>I'm really exited about this program and all the things that it has to offer.</t>
  </si>
  <si>
    <t>like I belong</t>
  </si>
  <si>
    <t>gk8fbzhwda00rhtqc8gk8fb0iyultuja</t>
  </si>
  <si>
    <t>Amdy ndiaye</t>
  </si>
  <si>
    <t>100 Hester st</t>
  </si>
  <si>
    <t>Uber eat</t>
  </si>
  <si>
    <t>To be a designer because I feel passionate about it</t>
  </si>
  <si>
    <t>Gain skills I can use at a future job, Make new friends, Learn about colleges, Learn about careers</t>
  </si>
  <si>
    <t>Kind, patient,  love</t>
  </si>
  <si>
    <t>Speak, writing, and solving problems</t>
  </si>
  <si>
    <t>I love playing video games</t>
  </si>
  <si>
    <t>khrrhxh897nkfukhrgrnemhq6t3oojid</t>
  </si>
  <si>
    <t>Romina</t>
  </si>
  <si>
    <t>sulaimonova.romina@emmalazarus.org</t>
  </si>
  <si>
    <t>120 Ocean View Avenue, Brooklyn, NY, 11235</t>
  </si>
  <si>
    <t>100 Hester St</t>
  </si>
  <si>
    <t>cashier, I got this job because it was near my home</t>
  </si>
  <si>
    <t>John Jay, Baruch, Hunter, NYU, Columbia University, Hamilton College</t>
  </si>
  <si>
    <t>Detective, Teacher, Businesswoman, Architecture, Police</t>
  </si>
  <si>
    <t>I will improve my overall average, by 10 points, from 90 to 100 by applying the skills I learn from the Speakhire program by the end of the semester.</t>
  </si>
  <si>
    <t>Learn about careers, Gain skills I can use at a future job, Get coaches and mentors who can help me with college and career, Make new friends, Learn about colleges, Get an internship</t>
  </si>
  <si>
    <t>curious ( I'm always curious about things that I like),  friendly (I always help my classmates whenever they ask me), supportive ( I support my friends, family whenever they need me)</t>
  </si>
  <si>
    <t>listening, supporting, calm</t>
  </si>
  <si>
    <t>I'm also very interested in criminology</t>
  </si>
  <si>
    <t>s7xfev9pnvgf1uq1rps7xfev2g59d5i4</t>
  </si>
  <si>
    <t>Jingru</t>
  </si>
  <si>
    <t>Feng</t>
  </si>
  <si>
    <t>jingru2019@flushinginternational.org</t>
  </si>
  <si>
    <t>+13473993044</t>
  </si>
  <si>
    <t>146-15 58th Ave Flushing 11355 NY</t>
  </si>
  <si>
    <t>Xinjian Feng</t>
  </si>
  <si>
    <t>www548045@gmai.com</t>
  </si>
  <si>
    <t>+13475068423</t>
  </si>
  <si>
    <t>Musican</t>
  </si>
  <si>
    <t>Queen colleage Columbia University</t>
  </si>
  <si>
    <t>Musincan  teacher  Composer Designer nurse</t>
  </si>
  <si>
    <t>Improve my GPA</t>
  </si>
  <si>
    <t>happy  
Independent
shy</t>
  </si>
  <si>
    <t>play Guzheng  hard working</t>
  </si>
  <si>
    <t>Safe, Supported, Connected,</t>
  </si>
  <si>
    <t>85.03</t>
  </si>
  <si>
    <t>3flm76gb4wjx0hee3flm72mf5n98tuqo</t>
  </si>
  <si>
    <t>diaz</t>
  </si>
  <si>
    <t>santiago2019@flushinginternational.org</t>
  </si>
  <si>
    <t>+19294718344</t>
  </si>
  <si>
    <t>81 06 Baxter ave 11373</t>
  </si>
  <si>
    <t>hugo</t>
  </si>
  <si>
    <t>Santiago2019@flushinginternational.org</t>
  </si>
  <si>
    <t>+17188130140</t>
  </si>
  <si>
    <t>Santiago</t>
  </si>
  <si>
    <t>14480 barclay</t>
  </si>
  <si>
    <t>so i am latino come from Colombia in south America</t>
  </si>
  <si>
    <t>learning about transport merchandise from other country</t>
  </si>
  <si>
    <t>Vanguard, Laguardia, etc</t>
  </si>
  <si>
    <t>medicine ,policemen,athlete,diver , airplane pilot</t>
  </si>
  <si>
    <t>I will improve my attendance in school and make sure my grade are up to date</t>
  </si>
  <si>
    <t>trustable, tranquil, attentive</t>
  </si>
  <si>
    <t>persistent, visualizer, work hard</t>
  </si>
  <si>
    <t>71.82</t>
  </si>
  <si>
    <t>sj2vc96ngd3uaqydb4uesj2vc963yme9</t>
  </si>
  <si>
    <t>FATOU</t>
  </si>
  <si>
    <t>Diedhiou</t>
  </si>
  <si>
    <t>Ndeye.diedhiou@ellisprep.com</t>
  </si>
  <si>
    <t>+19294767272</t>
  </si>
  <si>
    <t>530 E 187th street bronx New york , c1, zide code 10458</t>
  </si>
  <si>
    <t>Awa Sisao</t>
  </si>
  <si>
    <t>530 East 187 Street Apt C1 Bronx NY10458</t>
  </si>
  <si>
    <t>+16466432109</t>
  </si>
  <si>
    <t>99 terrace view avenue, bronx ny</t>
  </si>
  <si>
    <t>I am djola</t>
  </si>
  <si>
    <t>wolof, french</t>
  </si>
  <si>
    <t>Business management and social worker</t>
  </si>
  <si>
    <t>My idea career job is business ,marketing management</t>
  </si>
  <si>
    <t>NYU, Baruch College, columbia university, Manhattan College, Barnard College, The City college of New York, Kings borough community college</t>
  </si>
  <si>
    <t>Business, Social worker, Company Manager, Marketing Director, &amp; Fashion model</t>
  </si>
  <si>
    <t>By the end of this academic school year, I will improve my GPA up to 4.0</t>
  </si>
  <si>
    <t>Make new friends, Get coaches and mentors who can help me with college and career, Get an internship, Gain skills I can use at a future job, Learn about careers, Learn about colleges</t>
  </si>
  <si>
    <t>Nice, Friendly and courageous</t>
  </si>
  <si>
    <t>Punctuality, Responsible, Time management Communicate in multi languages</t>
  </si>
  <si>
    <t>telyzz8g8v0ue9bzqptely2cyc0yzsnn</t>
  </si>
  <si>
    <t>Evelyn</t>
  </si>
  <si>
    <t>Guaman</t>
  </si>
  <si>
    <t>evelyn2019@flushinginternational.org</t>
  </si>
  <si>
    <t>+13477615580</t>
  </si>
  <si>
    <t>35 37-99 st Corona Queens NY,11368</t>
  </si>
  <si>
    <t>facebook ; Evelyn Ariana Guaman</t>
  </si>
  <si>
    <t>Miryam Susana Farez Espinoza</t>
  </si>
  <si>
    <t>milyfarez19@gmail.com</t>
  </si>
  <si>
    <t>35 37-99 st corona queens ny 11368</t>
  </si>
  <si>
    <t>Barclay Ave</t>
  </si>
  <si>
    <t>no have job</t>
  </si>
  <si>
    <t>I dont Know</t>
  </si>
  <si>
    <t>Calm relax but I dont know bacause</t>
  </si>
  <si>
    <t>77.45%</t>
  </si>
  <si>
    <t>k0lhre5bl72i0xxxwfk0lhre5b397hpn</t>
  </si>
  <si>
    <t>Johana</t>
  </si>
  <si>
    <t>jberenise24@gmail.com</t>
  </si>
  <si>
    <t>+18575058035</t>
  </si>
  <si>
    <t>45-33 160th St, Flushing, NY 11358</t>
  </si>
  <si>
    <t>Miriam gongora</t>
  </si>
  <si>
    <t>+18572471401</t>
  </si>
  <si>
    <t>Flushing international highschool</t>
  </si>
  <si>
    <t>144-63 Barclay Ave flushing NY</t>
  </si>
  <si>
    <t>Cop therapist abogada</t>
  </si>
  <si>
    <t>Graduate from high school</t>
  </si>
  <si>
    <t>Shy charismatic happy</t>
  </si>
  <si>
    <t>I speak two languages</t>
  </si>
  <si>
    <t>Catholicsm</t>
  </si>
  <si>
    <t>71.4</t>
  </si>
  <si>
    <t>9xkqwkc1ngxb4r4wty92j9xkqwkcoh38</t>
  </si>
  <si>
    <t>Yongjian</t>
  </si>
  <si>
    <t>Dai</t>
  </si>
  <si>
    <t>yongjian2019@flushinginternational.org</t>
  </si>
  <si>
    <t>+17186667954</t>
  </si>
  <si>
    <t>43-23 Colden ST APT 23H Flushing NY 11355</t>
  </si>
  <si>
    <t>WeChat</t>
  </si>
  <si>
    <t>Wenbin Dai</t>
  </si>
  <si>
    <t>+13473482766</t>
  </si>
  <si>
    <t>iFlushingnternational High school</t>
  </si>
  <si>
    <t>Waiter, look for it on the website</t>
  </si>
  <si>
    <t>noI'not sure</t>
  </si>
  <si>
    <t>Idon't know</t>
  </si>
  <si>
    <t>Chinese, 16, male</t>
  </si>
  <si>
    <t>Chinese, English, hard work</t>
  </si>
  <si>
    <t>76.40%</t>
  </si>
  <si>
    <t>sohyra4mq21vvgyezhebsohyraoqbzpe</t>
  </si>
  <si>
    <t>paola</t>
  </si>
  <si>
    <t>munoz</t>
  </si>
  <si>
    <t>paola2019@flushinginternational.org</t>
  </si>
  <si>
    <t>+13479824340</t>
  </si>
  <si>
    <t>110-20 14th road college point 11356 fluushing, queens</t>
  </si>
  <si>
    <t>@s3kita</t>
  </si>
  <si>
    <t>ana vilma alvarado</t>
  </si>
  <si>
    <t>hellgirl243@gmail.com</t>
  </si>
  <si>
    <t>110-20 14th road college point 11356 flushing,queens</t>
  </si>
  <si>
    <t>+17183108302</t>
  </si>
  <si>
    <t>114-65 barclay ave flushing, ny 11355</t>
  </si>
  <si>
    <t>spanish , english</t>
  </si>
  <si>
    <t>astronomer</t>
  </si>
  <si>
    <t>organizer</t>
  </si>
  <si>
    <t>no collages in mind</t>
  </si>
  <si>
    <t>astronomer, archaeologist, chemist</t>
  </si>
  <si>
    <t>goals has been an struggle for someone like me , I been trying to manage my time and to always do my best a</t>
  </si>
  <si>
    <t>Get coaches and mentors who can help me with college and career, Get an internship, Gain skills I can use at a future job, Learn about careers, Learn about colleges</t>
  </si>
  <si>
    <t>careless, happy , basic ,,,,emotions are senselessness in  a human being</t>
  </si>
  <si>
    <t>focus, patience, fast learned</t>
  </si>
  <si>
    <t>I dont want to be  friends.. professional communication</t>
  </si>
  <si>
    <t>81.01</t>
  </si>
  <si>
    <t>9w2cus0fok5x7sv9w23jf2aaofmksnlf</t>
  </si>
  <si>
    <t>nanci</t>
  </si>
  <si>
    <t>garcia</t>
  </si>
  <si>
    <t>nanci2019@flushinginternational.org</t>
  </si>
  <si>
    <t>+13473363577</t>
  </si>
  <si>
    <t>166-12 crocheron Ave #1 flushing NY 11358</t>
  </si>
  <si>
    <t>Elva swerrano</t>
  </si>
  <si>
    <t>jaime.luna95@icloud.com</t>
  </si>
  <si>
    <t>166-12 crocheron Ave #1 NY 11358</t>
  </si>
  <si>
    <t>+19179637351</t>
  </si>
  <si>
    <t>144-80 Barclay Ave queens</t>
  </si>
  <si>
    <t>armed service</t>
  </si>
  <si>
    <t>armed service policia</t>
  </si>
  <si>
    <t>polikcia doctora  armed service</t>
  </si>
  <si>
    <t>terminar la escuela y con buenas calificacio\nes</t>
  </si>
  <si>
    <t>responzabdicada</t>
  </si>
  <si>
    <t>concentracion respozable respetuosa</t>
  </si>
  <si>
    <t>n0</t>
  </si>
  <si>
    <t>muy bien</t>
  </si>
  <si>
    <t>cristiana</t>
  </si>
  <si>
    <t>70.80</t>
  </si>
  <si>
    <t>cdtcvs3213k7bfixtcdtcvs3s50an31g</t>
  </si>
  <si>
    <t>rasoul sher ahmad</t>
  </si>
  <si>
    <t>ahmad</t>
  </si>
  <si>
    <t>sher2019@flushinginternational.org</t>
  </si>
  <si>
    <t>rent house the adrees is flushing main st zip 11355</t>
  </si>
  <si>
    <t>Rasoul  ghulam</t>
  </si>
  <si>
    <t>flushing main st zip code 11355</t>
  </si>
  <si>
    <t>+19177045190</t>
  </si>
  <si>
    <t>flushing international high  school</t>
  </si>
  <si>
    <t>my st address is 42,69 main st</t>
  </si>
  <si>
    <t>afghanistan</t>
  </si>
  <si>
    <t>30 years</t>
  </si>
  <si>
    <t>my race is Afghanistan as you know so many problem in my country i want help to get my bro here</t>
  </si>
  <si>
    <t>i spoke many languages is  pashto</t>
  </si>
  <si>
    <t>you tube chainal</t>
  </si>
  <si>
    <t>i need a job for my future it's media to work on that</t>
  </si>
  <si>
    <t>queens college Manhattan college</t>
  </si>
  <si>
    <t>doctor,army,YouTube,madai</t>
  </si>
  <si>
    <t>my goal is i will work hard to make life easy</t>
  </si>
  <si>
    <t>good job for future</t>
  </si>
  <si>
    <t>i will hard to make easy life</t>
  </si>
  <si>
    <t>73.12</t>
  </si>
  <si>
    <t>sn9j6at3v5401sn9j6awu40ti4vx27u8</t>
  </si>
  <si>
    <t>Fabiana</t>
  </si>
  <si>
    <t>fabiana2019@flushinginternational.org</t>
  </si>
  <si>
    <t>+15164769650</t>
  </si>
  <si>
    <t>188 sutter av Brooklyn 11212</t>
  </si>
  <si>
    <t>Rosmery Portales</t>
  </si>
  <si>
    <t>portales234@gmail.com</t>
  </si>
  <si>
    <t>188 sutter AV 11212</t>
  </si>
  <si>
    <t>being a  Doctor</t>
  </si>
  <si>
    <t>Columbia University,Fordham University,The City College of New York,Baruch college,Yeshiva University,Queens College, City University of New York</t>
  </si>
  <si>
    <t>medicine,bussines</t>
  </si>
  <si>
    <t>my only goal is go to college with good grades</t>
  </si>
  <si>
    <t>Get coaches and mentors who can help me with college and career, Get an internship, Gain skills I can use at a future job</t>
  </si>
  <si>
    <t>helful,funny,peaceful</t>
  </si>
  <si>
    <t>im helpful,i try to support otrher people and im good when i had an asamble</t>
  </si>
  <si>
    <t>my community makes me feel save</t>
  </si>
  <si>
    <t>83.97%</t>
  </si>
  <si>
    <t>i9z5koxbgp8x38ue6ccv8i9z5kokxl1q</t>
  </si>
  <si>
    <t>berrios</t>
  </si>
  <si>
    <t>anderson2019@flushinginternational.org</t>
  </si>
  <si>
    <t>+19299206289</t>
  </si>
  <si>
    <t>92-24 corona ave 11373 elmurh</t>
  </si>
  <si>
    <t>ana</t>
  </si>
  <si>
    <t>+13474626467</t>
  </si>
  <si>
    <t>144-80 brogue</t>
  </si>
  <si>
    <t>el salvador</t>
  </si>
  <si>
    <t>nurse o work in a deli for short time</t>
  </si>
  <si>
    <t>columbia university, baruch college, hunter college, queens college</t>
  </si>
  <si>
    <t>doctor,medicine ,</t>
  </si>
  <si>
    <t>my only goal is to go to colleges and get the degree I want</t>
  </si>
  <si>
    <t>Gain skills I can use at a future job, Learn about colleges, Make new friends</t>
  </si>
  <si>
    <t>sociable, losing others, and good</t>
  </si>
  <si>
    <t>I learn quickly, I can solve things quickly or at least I try, and I'm curious</t>
  </si>
  <si>
    <t>77.39%</t>
  </si>
  <si>
    <t>4eqz9lsmv4at2eljry4eqzfl6hewie9i</t>
  </si>
  <si>
    <t>Naim</t>
  </si>
  <si>
    <t>Bakere</t>
  </si>
  <si>
    <t>naim.bakere@ellisprep.com</t>
  </si>
  <si>
    <t>+19294221124</t>
  </si>
  <si>
    <t>2015 southern Blvd 9c Bronx NY 10460</t>
  </si>
  <si>
    <t>naim.5b</t>
  </si>
  <si>
    <t>Aladjawe Bakere</t>
  </si>
  <si>
    <t>bakaladjawe@gmail.com</t>
  </si>
  <si>
    <t>+13478494303</t>
  </si>
  <si>
    <t>ellis preparator</t>
  </si>
  <si>
    <t>99 terrace view Ave ,New York,NY 10463</t>
  </si>
  <si>
    <t>Togo</t>
  </si>
  <si>
    <t>27</t>
  </si>
  <si>
    <t>black american</t>
  </si>
  <si>
    <t>francais ,Awe ,Kotokoli ,Tchamba and same english</t>
  </si>
  <si>
    <t>I would like to learn about engineering and many type  of engineering we have and if i can about law</t>
  </si>
  <si>
    <t>I was working in cvs by the way of same body who give us the address of this place that may be need employee's</t>
  </si>
  <si>
    <t>Columbia University, The city college of new york, Manhattan college, Queensborough Community College, Kingsborough Community college</t>
  </si>
  <si>
    <t>Doctors,business,lower, sport(soccer) and banker</t>
  </si>
  <si>
    <t>My Goal is to have every diplome I will need to success my class,school ,college or soccer</t>
  </si>
  <si>
    <t>hardworking ,responsible and honorable because I have to work hard to achieve my goal ,to be responsible about hard things I choose and honorable because I promise for my self to do same importante things if I achieve my goals.</t>
  </si>
  <si>
    <t>Multi-language speaker, responsible, team player</t>
  </si>
  <si>
    <t>ix68c3esvt3ti7jdlg1fwsnyix68c3ec</t>
  </si>
  <si>
    <t>Alfonso Hernandez</t>
  </si>
  <si>
    <t>eliana2019@flushinginternational.org</t>
  </si>
  <si>
    <t>+13474375290</t>
  </si>
  <si>
    <t>104-41 Roosevelt Ave,corona Queen N.Y 11368</t>
  </si>
  <si>
    <t>Vicente Alfonso Rodriguez</t>
  </si>
  <si>
    <t>+13473582529</t>
  </si>
  <si>
    <t>144-80 Barclay Ave, Flushing</t>
  </si>
  <si>
    <t>in my country baseball is one of the international games</t>
  </si>
  <si>
    <t>manager</t>
  </si>
  <si>
    <t>someone i know</t>
  </si>
  <si>
    <t>cuny,queen college,suny,brooklyn college</t>
  </si>
  <si>
    <t>culumbia university,nyu,fordham university</t>
  </si>
  <si>
    <t>improve to get a better experience and learn from my peers</t>
  </si>
  <si>
    <t>focus, progress and dedication</t>
  </si>
  <si>
    <t>in focus</t>
  </si>
  <si>
    <t>78.02%</t>
  </si>
  <si>
    <t>hkp5dhor2joa4xcz56c5hkp5dqjkn3n0</t>
  </si>
  <si>
    <t>Choc Coc</t>
  </si>
  <si>
    <t>wendy2019@flushinginternational.org</t>
  </si>
  <si>
    <t>+13472888013</t>
  </si>
  <si>
    <t>139-81 35 AVENUE 3C, FLUSHING, NY 11354</t>
  </si>
  <si>
    <t>MIRTA CHOC COC</t>
  </si>
  <si>
    <t>+13473377950</t>
  </si>
  <si>
    <t>14480 BARCLAY AVENUE</t>
  </si>
  <si>
    <t>GUATEMALA</t>
  </si>
  <si>
    <t>work in a restaurant helping the waiters</t>
  </si>
  <si>
    <t>doctor, lawyer, military, service army,</t>
  </si>
  <si>
    <t>I will improve my attendance and participation skills</t>
  </si>
  <si>
    <t>strong woman,</t>
  </si>
  <si>
    <t>strength, responsible, committed</t>
  </si>
  <si>
    <t>christinity</t>
  </si>
  <si>
    <t>74.5</t>
  </si>
  <si>
    <t>o0mklfj9mm44gxzpaosna91oro0mklfe</t>
  </si>
  <si>
    <t>Ariel</t>
  </si>
  <si>
    <t>35-37 99st corona 11368</t>
  </si>
  <si>
    <t>Instagram: arik_gf</t>
  </si>
  <si>
    <t>Myriam farez</t>
  </si>
  <si>
    <t>10 years ago</t>
  </si>
  <si>
    <t>I don’t have job</t>
  </si>
  <si>
    <t>Improve my English</t>
  </si>
  <si>
    <t>Happy , sad , funny</t>
  </si>
  <si>
    <t>I good in the deports</t>
  </si>
  <si>
    <t>br1sbq7wo2u87mwa1br1423inusmj8zk</t>
  </si>
  <si>
    <t>phue</t>
  </si>
  <si>
    <t>naing</t>
  </si>
  <si>
    <t>phue23naing@gmail.com</t>
  </si>
  <si>
    <t>+19292906818</t>
  </si>
  <si>
    <t>2421 65 street , Brooklyn NY 11204</t>
  </si>
  <si>
    <t>Kyaw Kyaw</t>
  </si>
  <si>
    <t>kyaw23kyaw@gmail.com</t>
  </si>
  <si>
    <t>2421 65 street , Brooklyn NY11204</t>
  </si>
  <si>
    <t>+19177557755</t>
  </si>
  <si>
    <t>100 Hester Street New York</t>
  </si>
  <si>
    <t>Myanmar</t>
  </si>
  <si>
    <t>I'm mixed race. My father is Chinese and mother is Burmese. But, I was born and raised in Myanmar so I speak Burmese.</t>
  </si>
  <si>
    <t>Burmese</t>
  </si>
  <si>
    <t>Medical</t>
  </si>
  <si>
    <t>Work in store or work in hospital as a nurse</t>
  </si>
  <si>
    <t>Hunter College , Brooklyn College, BMCC , Pace University, NYC technology</t>
  </si>
  <si>
    <t>Designer, Nurse, Teacher, Animal - care</t>
  </si>
  <si>
    <t>I would need to study hard and learned English in this years before I graduate and I like to have around 90 grade for my gpa.</t>
  </si>
  <si>
    <t>Nervous because I always worry about my grade and my future.  Funny because I love to tell the jokes and love to make people happy. Thoughtful because I always think before I do something and try to make sure I don't do any mistake.</t>
  </si>
  <si>
    <t>It will help me to realize the good thing and bad thing. Also, it will make the people will love me because I try to live happy and tell joke. Nervous on my work will help me to finish all my work on time in the future career.</t>
  </si>
  <si>
    <t>I am a student who learning English. I loss confidence when I speak with other people who speak English and it lead me to be quiet, shy, afraid and want to give up on everything. Because of the language barrier, I am scared to go to college, make friends and work outside.</t>
  </si>
  <si>
    <t>lose confidence</t>
  </si>
  <si>
    <t>klrphwms88nne8s3e6nklrphvswhbw5f</t>
  </si>
  <si>
    <t>Jeymi</t>
  </si>
  <si>
    <t>Rodiguez"</t>
  </si>
  <si>
    <t>jeymi2019@flushinginternational.org</t>
  </si>
  <si>
    <t>+19177534737</t>
  </si>
  <si>
    <t>37 05 79st jackson heigts 11372</t>
  </si>
  <si>
    <t>Vianey Amanda Tenorio Pena</t>
  </si>
  <si>
    <t>samantha.15may@gmail.com</t>
  </si>
  <si>
    <t>37 05 79st jackson heigths 11372</t>
  </si>
  <si>
    <t>+19177533180</t>
  </si>
  <si>
    <t>Colombia Bogota</t>
  </si>
  <si>
    <t>medicine oncology pediatric</t>
  </si>
  <si>
    <t>catering job I met him through a friend from college</t>
  </si>
  <si>
    <t>My goal is specific to what I want to achieve and reach, measurable in what I want to learn and do, achievable because with effort it can be achieved, and relevant because with help, support and commitment I can achieve my goal, timely the day I get my diploma.</t>
  </si>
  <si>
    <t>Get coaches and mentors who can help me with college and career, Get an internship, Gain skills I can use at a future job, Learn about careers</t>
  </si>
  <si>
    <t>dedicated, committed and appreciative</t>
  </si>
  <si>
    <t>I am a dedicated woman and I can also accomplish what I set out to do.</t>
  </si>
  <si>
    <t>so good</t>
  </si>
  <si>
    <t>84.87</t>
  </si>
  <si>
    <t>3g2jbtp30ci2nbs79d3g2jbzks759v9g</t>
  </si>
  <si>
    <t>genesis</t>
  </si>
  <si>
    <t>genesis@flushinginternational.org</t>
  </si>
  <si>
    <t>+15164301359</t>
  </si>
  <si>
    <t>140 71 Ash Ave Flushing,NY 11355</t>
  </si>
  <si>
    <t>I not have</t>
  </si>
  <si>
    <t>mariza cruz</t>
  </si>
  <si>
    <t>genesis2019@flushinginternatioanl.org</t>
  </si>
  <si>
    <t>140 71 Ash Ave address 207 Flushing,NY 11355</t>
  </si>
  <si>
    <t>+15164308024</t>
  </si>
  <si>
    <t>Flushing Internnational High School</t>
  </si>
  <si>
    <t>144 80 Barclay Ave Flushing,NY 11355</t>
  </si>
  <si>
    <t>not have a jod</t>
  </si>
  <si>
    <t>to learn much</t>
  </si>
  <si>
    <t>l know</t>
  </si>
  <si>
    <t>marth</t>
  </si>
  <si>
    <t>i know</t>
  </si>
  <si>
    <t>71.35</t>
  </si>
  <si>
    <t>3qg8hkrkskldosxwgkbn2ebn3qg8en4h</t>
  </si>
  <si>
    <t>Nataly</t>
  </si>
  <si>
    <t>Bolanos</t>
  </si>
  <si>
    <t>natalyb3017@gmail.com</t>
  </si>
  <si>
    <t>+13476104074</t>
  </si>
  <si>
    <t>235-40 148th ave,Jamaica NY 11422</t>
  </si>
  <si>
    <t>Betty bolanos</t>
  </si>
  <si>
    <t>+16464911013</t>
  </si>
  <si>
    <t>144-80 barclay ave,queens ny 11355</t>
  </si>
  <si>
    <t>We was born in the same country</t>
  </si>
  <si>
    <t>Nursing,veterinary,flight attendant</t>
  </si>
  <si>
    <t>Nurse,flight attendant, veteran,police officer</t>
  </si>
  <si>
    <t>Queens college, NYU,manhattan college,</t>
  </si>
  <si>
    <t>Nurse,flight attendant,police officer,veteran</t>
  </si>
  <si>
    <t>I would improve I can make it</t>
  </si>
  <si>
    <t>Get coaches and mentors who can help me with college and career, Learn about careers, Learn about colleges, Gain skills I can use at a future job</t>
  </si>
  <si>
    <t>Nice,understandable,lovely 
I’m nice</t>
  </si>
  <si>
    <t>Very good</t>
  </si>
  <si>
    <t>Catholism</t>
  </si>
  <si>
    <t>70.39%</t>
  </si>
  <si>
    <t>nt8sxj8iqjumj8bctynt8sxj8l7pvrf5</t>
  </si>
  <si>
    <t>Sofia</t>
  </si>
  <si>
    <t>Vasquez</t>
  </si>
  <si>
    <t>sofia2019@flushinginternational.org</t>
  </si>
  <si>
    <t>+13478763031</t>
  </si>
  <si>
    <t>33-29 109th,  Queens, NY  11368</t>
  </si>
  <si>
    <t>Silvia Romero</t>
  </si>
  <si>
    <t>33- 29 109th, Queens, NY 11368</t>
  </si>
  <si>
    <t>+13478485606</t>
  </si>
  <si>
    <t>Art teacher</t>
  </si>
  <si>
    <t>Cook</t>
  </si>
  <si>
    <t>Columbia university</t>
  </si>
  <si>
    <t>Medicine, Chef, Vet</t>
  </si>
  <si>
    <t>Graduate from grade 12 and study one of the careers that I am interested in</t>
  </si>
  <si>
    <t>Quiet, nervous, intelligent. I am very nervous, sometimes I feel sorry to talk to the whole class</t>
  </si>
  <si>
    <t>The veterinary career I like all animals I like to take care of them</t>
  </si>
  <si>
    <t>tbd</t>
  </si>
  <si>
    <t>jlexecpesnf6ijlextipqvat5zuba3ti</t>
  </si>
  <si>
    <t>ELIAN</t>
  </si>
  <si>
    <t>Acosta</t>
  </si>
  <si>
    <t>a2.steven2020@flushinginternational.org</t>
  </si>
  <si>
    <t>+13473931996</t>
  </si>
  <si>
    <t>35 45 94st, Jackson heights,11372,</t>
  </si>
  <si>
    <t>arlolisto29@gmail.com</t>
  </si>
  <si>
    <t>+17186072166</t>
  </si>
  <si>
    <t>Flushing International.</t>
  </si>
  <si>
    <t>my dad 10 year</t>
  </si>
  <si>
    <t>the truth is not much to talk about but i am proud of where i am from.</t>
  </si>
  <si>
    <t>about psychology</t>
  </si>
  <si>
    <t>working my dad in office</t>
  </si>
  <si>
    <t>i do not know the universities</t>
  </si>
  <si>
    <t>psychology, computing,soccer player</t>
  </si>
  <si>
    <t>are is relevant but  i can get to the points.</t>
  </si>
  <si>
    <t>because i am person amazing</t>
  </si>
  <si>
    <t>psychologist or playing soccer</t>
  </si>
  <si>
    <t>NO thaks you</t>
  </si>
  <si>
    <t>4tae6u4nfrw263i4tae67mokru4w9lyl</t>
  </si>
  <si>
    <t>homero</t>
  </si>
  <si>
    <t>mendoza</t>
  </si>
  <si>
    <t>medozarenan38@gmail.com</t>
  </si>
  <si>
    <t>+13477249989</t>
  </si>
  <si>
    <t>97-32-42av Corona NY 11368</t>
  </si>
  <si>
    <t>Fernanda Villegas</t>
  </si>
  <si>
    <t>hmvicre@gmail.com</t>
  </si>
  <si>
    <t>ms Pops</t>
  </si>
  <si>
    <t>144-80 barclay</t>
  </si>
  <si>
    <t>and i am latino</t>
  </si>
  <si>
    <t>make house</t>
  </si>
  <si>
    <t>architect</t>
  </si>
  <si>
    <t>I want to go to college and pursue my dream job</t>
  </si>
  <si>
    <t>funny, friendly, brave</t>
  </si>
  <si>
    <t>teamwork, Positive attitude, Thinking skills</t>
  </si>
  <si>
    <t>81.38</t>
  </si>
  <si>
    <t>t636tutjn5zlzvqpt636tuovrac2sca1</t>
  </si>
  <si>
    <t>mendozarenan38@gmail.com</t>
  </si>
  <si>
    <t>+13477248998</t>
  </si>
  <si>
    <t>99-32-42AVE Corona NY 11368</t>
  </si>
  <si>
    <t>fernanda villegas</t>
  </si>
  <si>
    <t>97-32-42AVE Corona NY 11368</t>
  </si>
  <si>
    <t>+13472392996</t>
  </si>
  <si>
    <t>ms pops</t>
  </si>
  <si>
    <t>i am latino</t>
  </si>
  <si>
    <t>i want to go to college</t>
  </si>
  <si>
    <t>Get an internship, Learn about colleges, Make new friends, Learn about careers, Gain skills I can use at a future job</t>
  </si>
  <si>
    <t>friendly, funny, brave</t>
  </si>
  <si>
    <t>Positive attitude, Teamwork, Thinking skills</t>
  </si>
  <si>
    <t>127ordedrf99b2ir2ei9127ords7wwbo</t>
  </si>
  <si>
    <t>Mishelle</t>
  </si>
  <si>
    <t>carol</t>
  </si>
  <si>
    <t>carolmishelle2019@flushinginternational.org</t>
  </si>
  <si>
    <t>+527471498258</t>
  </si>
  <si>
    <t>40-12-108 2sf</t>
  </si>
  <si>
    <t>victor</t>
  </si>
  <si>
    <t>adrian123@gmail.com</t>
  </si>
  <si>
    <t>40-12-108</t>
  </si>
  <si>
    <t>+19389326788</t>
  </si>
  <si>
    <t>flsuhinginternationalhigh school</t>
  </si>
  <si>
    <t>144-80 Barclay Ave, Queens, NY 1135</t>
  </si>
  <si>
    <t>mexico</t>
  </si>
  <si>
    <t>Mexican</t>
  </si>
  <si>
    <t>spanish English</t>
  </si>
  <si>
    <t>enterprising</t>
  </si>
  <si>
    <t>businesswoman</t>
  </si>
  <si>
    <t>CUNY, COLUMBIA, CORNELL</t>
  </si>
  <si>
    <t>FASHIONG DESING</t>
  </si>
  <si>
    <t>RELEVANT</t>
  </si>
  <si>
    <t>KIND, HUMBLE, FRIENDLY</t>
  </si>
  <si>
    <t>PERSEVERANT, RESPONSIBLE, INTELLIGENT</t>
  </si>
  <si>
    <t>catholicims</t>
  </si>
  <si>
    <t>ioeyt8uff2t0eewe3em638jioey06g7n</t>
  </si>
  <si>
    <t>Marwin</t>
  </si>
  <si>
    <t>Silverio Rodriguez</t>
  </si>
  <si>
    <t>marwin.silverio@ellisprep.com</t>
  </si>
  <si>
    <t>+19293716401</t>
  </si>
  <si>
    <t>2332 Tiebout Avenue, Bronx, New York,10458</t>
  </si>
  <si>
    <t>Julia Mercedes Rodriguez Perez</t>
  </si>
  <si>
    <t>JULIARODRIGUEA1972@gmail.com</t>
  </si>
  <si>
    <t>+13476976374</t>
  </si>
  <si>
    <t>99 Terrace View Ave</t>
  </si>
  <si>
    <t>5 years ago</t>
  </si>
  <si>
    <t>Dominican nationality</t>
  </si>
  <si>
    <t>System engineer</t>
  </si>
  <si>
    <t>My ideal future career job is system engineer</t>
  </si>
  <si>
    <t>The City College of New York, Lehman College, Bourough of Mahattan Community College (BMCC), New York City College of Technology, Guttman, Hunter, Alfred University, Manhattan College, Rochester Institude of Technology.</t>
  </si>
  <si>
    <t>industrial engineer, mechanical engineer, electrical engineering, decode and computer science</t>
  </si>
  <si>
    <t>My specific goal is to graduate from high school with good grades by the end of the school year then go to college to start my new journey.</t>
  </si>
  <si>
    <t>Gain skills I can use at a future job, Learn about careers, Learn about colleges</t>
  </si>
  <si>
    <t>adaptable/loyal/diligent  I am a person who is adjustable to any work or job and I am always there for them, my family or my friends. Also I put care and interest of my duties.</t>
  </si>
  <si>
    <t>Communication, Adaptability and
Teamwork</t>
  </si>
  <si>
    <t>83.95</t>
  </si>
  <si>
    <t>ud9a361ec3mg7qpvud96gb4npnkwfc9w</t>
  </si>
  <si>
    <t>Halimatou</t>
  </si>
  <si>
    <t>Sacko</t>
  </si>
  <si>
    <t>halimatou.sacko@ellisprep.com</t>
  </si>
  <si>
    <t>+19297866773</t>
  </si>
  <si>
    <t>2048 mapes avenue 179 street</t>
  </si>
  <si>
    <t>Henda soukouna</t>
  </si>
  <si>
    <t>2048 mapes avenue</t>
  </si>
  <si>
    <t>+13477340361</t>
  </si>
  <si>
    <t>99 terrace view avenue</t>
  </si>
  <si>
    <t>1997</t>
  </si>
  <si>
    <t>Am from mali</t>
  </si>
  <si>
    <t>To be a nurse</t>
  </si>
  <si>
    <t>I leaner a lot of things</t>
  </si>
  <si>
    <t>Am a good personne , am girl calm</t>
  </si>
  <si>
    <t>Am a calm girl, I have patience and I observe</t>
  </si>
  <si>
    <t>I’am a very nice and very understanding girl</t>
  </si>
  <si>
    <t>I belong to Mali</t>
  </si>
  <si>
    <t>I don’t have any idea</t>
  </si>
  <si>
    <t>blfchf8hls6bzp6dyyblfc6s5rsuykoz</t>
  </si>
  <si>
    <t>Katherin</t>
  </si>
  <si>
    <t>Dubón</t>
  </si>
  <si>
    <t>katherin2019@flushinginternational.org</t>
  </si>
  <si>
    <t>35-86 164 te street 11358</t>
  </si>
  <si>
    <t>I Don’t have</t>
  </si>
  <si>
    <t>Valle</t>
  </si>
  <si>
    <t>mvalle7644@gmail.com</t>
  </si>
  <si>
    <t>35-86 164 Th street 11358 Queens new York</t>
  </si>
  <si>
    <t>+16463557644</t>
  </si>
  <si>
    <t>Flushing internacional</t>
  </si>
  <si>
    <t>144-80 barclay avenue</t>
  </si>
  <si>
    <t>Me gusta mucho los servicios amados</t>
  </si>
  <si>
    <t>Quiero trabajar para la ley</t>
  </si>
  <si>
    <t>No se que universidad</t>
  </si>
  <si>
    <t>Informática</t>
  </si>
  <si>
    <t>Mi meta inteligente es lograr mis metas que tengo para el futuro</t>
  </si>
  <si>
    <t>Responsable puntual respetuoso honesto</t>
  </si>
  <si>
    <t>Comunicación trabajo en equipo</t>
  </si>
  <si>
    <t>Me hace sentir bien siento que todos somos iguales</t>
  </si>
  <si>
    <t>70.98%</t>
  </si>
  <si>
    <t>8wqq1zf5t97v8yot8wqofw0qgu1zyc63</t>
  </si>
  <si>
    <t>Mohamed</t>
  </si>
  <si>
    <t>Danso</t>
  </si>
  <si>
    <t>mahamed.danso@ellisprep.com</t>
  </si>
  <si>
    <t>+13474798953</t>
  </si>
  <si>
    <t>1421 college Avenue 4D Bronx NewYork 10456</t>
  </si>
  <si>
    <t>Haja Garry</t>
  </si>
  <si>
    <t>haja.garry78@gmail.com</t>
  </si>
  <si>
    <t>+19292289708</t>
  </si>
  <si>
    <t>99 Terrace View Ave Bronx, NY  10463 United States</t>
  </si>
  <si>
    <t>Black/ African</t>
  </si>
  <si>
    <t>English and 2 more local language</t>
  </si>
  <si>
    <t>Electrical engineering</t>
  </si>
  <si>
    <t>Security officer</t>
  </si>
  <si>
    <t>Columbia college st John fisher , cobleskills</t>
  </si>
  <si>
    <t>Engineering, computer science, Cyber security, web developer, Electrical engineering.</t>
  </si>
  <si>
    <t>By the end of December 2021, I’ll improve my GPA score up to 4.0</t>
  </si>
  <si>
    <t>Gain skills I can use at a future job, Learn about careers, Get an internship, Make new friends, Get coaches and mentors who can help me with college and career, Learn about colleges</t>
  </si>
  <si>
    <t>Humble quiet nice</t>
  </si>
  <si>
    <t>Computer skills, communication skills,
Responsible independent. 
Multiple languages.
Team player</t>
  </si>
  <si>
    <t>Electrical  engineering</t>
  </si>
  <si>
    <t>s73vwm8smp8uwpnrnm7s73vwroxdl0hj</t>
  </si>
  <si>
    <t>Shahzodabonu</t>
  </si>
  <si>
    <t>Davronova</t>
  </si>
  <si>
    <t>davronova.shahzodabonu@emmalazarus.org</t>
  </si>
  <si>
    <t>+13479228544</t>
  </si>
  <si>
    <t>1719 Voorhies Ave, Brooklyn, NY 11235</t>
  </si>
  <si>
    <t>Shirin Rustamova</t>
  </si>
  <si>
    <t>rshirin080@gmail.com</t>
  </si>
  <si>
    <t>+13474255030</t>
  </si>
  <si>
    <t>Russian, tajik, uzbek</t>
  </si>
  <si>
    <t>Nurse or doctor</t>
  </si>
  <si>
    <t>Hunter, New York medical college</t>
  </si>
  <si>
    <t>Friendly because my classmates telling me that I'm Friendly.</t>
  </si>
  <si>
    <t>Hardworking</t>
  </si>
  <si>
    <t>j6nt7ixpx0os9voqr7j6nt7ixmd3lpy8</t>
  </si>
  <si>
    <t>Jannatul</t>
  </si>
  <si>
    <t>Monalisa</t>
  </si>
  <si>
    <t>lisa26465@gmail.com</t>
  </si>
  <si>
    <t>+13475109534</t>
  </si>
  <si>
    <t>95-07 88st Ozone Park 11416, New York</t>
  </si>
  <si>
    <t>Beauty Khatun</t>
  </si>
  <si>
    <t>khatunbeauty584@yahoo.com</t>
  </si>
  <si>
    <t>95-07 88st Ozone Park 11416 New York</t>
  </si>
  <si>
    <t>+13478704512</t>
  </si>
  <si>
    <t>Washinton Irving YABC</t>
  </si>
  <si>
    <t>40 Irving pl 10003</t>
  </si>
  <si>
    <t>English and Bangla</t>
  </si>
  <si>
    <t>entepreneurship/possible business owner</t>
  </si>
  <si>
    <t>I was a barista at Dunkin' Donuts</t>
  </si>
  <si>
    <t>Baruch, city college</t>
  </si>
  <si>
    <t>Real Estate, Interior Designer, Entertainment,  Editorial</t>
  </si>
  <si>
    <t>To set aside an hour every other day to read more about my career field that I get matched with until June</t>
  </si>
  <si>
    <t>Get coaches and mentors who can help me with college and career, Gain skills I can use at a future job, Learn about careers, Get an internship, Learn about colleges, Make new friends</t>
  </si>
  <si>
    <t>Funny because there's never a bad time when you're with me, Articulate because I'm good at expressing how I feel/ what I'm thinking. Level Headed because I'm able to step back emotionally from an issue and use logic to proceed.</t>
  </si>
  <si>
    <t>good communicator, flexibility, attention to details</t>
  </si>
  <si>
    <t>I am rational and people oriented and I love learning new things</t>
  </si>
  <si>
    <t>safe, supported</t>
  </si>
  <si>
    <t>79.46</t>
  </si>
  <si>
    <t>qbfmtfek1gh7mziqbrrrw96ft57canvx</t>
  </si>
  <si>
    <t>Alisha</t>
  </si>
  <si>
    <t>Guillaume</t>
  </si>
  <si>
    <t>alishaajeanne@gmail.com</t>
  </si>
  <si>
    <t>+12159545751</t>
  </si>
  <si>
    <t>5850 Newtown Avenue 19120 Philadelphia Pennsylvania</t>
  </si>
  <si>
    <t>Altagrace Datilus</t>
  </si>
  <si>
    <t>altagracedatilus53@gmail.com</t>
  </si>
  <si>
    <t>+12155261045</t>
  </si>
  <si>
    <t>bustlenton</t>
  </si>
  <si>
    <t>creole</t>
  </si>
  <si>
    <t>finance</t>
  </si>
  <si>
    <t>retail</t>
  </si>
  <si>
    <t>university of tampa, penn state, temple, florida state, university of miami, florida atlantic</t>
  </si>
  <si>
    <t>international business, accounting, human resource</t>
  </si>
  <si>
    <t>i</t>
  </si>
  <si>
    <t>outgoing, open minded, fast learner</t>
  </si>
  <si>
    <t>takes accounting classes right now</t>
  </si>
  <si>
    <t>3q1h8mc0cbvb6sc3q1hzws6dc90tvfkg</t>
  </si>
  <si>
    <t>Alexza</t>
  </si>
  <si>
    <t>10098877@philasd.org</t>
  </si>
  <si>
    <t>+12672538864</t>
  </si>
  <si>
    <t>7330 algon avenue apartment d</t>
  </si>
  <si>
    <t>www.Instagram.com/goth_b1tch60</t>
  </si>
  <si>
    <t>Ashley Martinez</t>
  </si>
  <si>
    <t>Durzavur@gmail.com</t>
  </si>
  <si>
    <t>+12678720796</t>
  </si>
  <si>
    <t>george washington high school</t>
  </si>
  <si>
    <t>Puerto rico</t>
  </si>
  <si>
    <t>im hispanic</t>
  </si>
  <si>
    <t>writing</t>
  </si>
  <si>
    <t>being an author</t>
  </si>
  <si>
    <t>-</t>
  </si>
  <si>
    <t>Phlebotomy, writing, child therapist, accountant, entrepreneur</t>
  </si>
  <si>
    <t>I want to prove that i can make some kind of difference, and be the first person in my family that doesn't do anything medical or being a teacher.</t>
  </si>
  <si>
    <t>Get an internship, Make new friends, Get coaches and mentors who can help me with college and career, Gain skills I can use at a future job, Learn about colleges</t>
  </si>
  <si>
    <t>adaptable, compassionate, considerate, affectionate</t>
  </si>
  <si>
    <t>i'm good at talking to people, i'm good at working with others, i can speak more then just english so i can help more people</t>
  </si>
  <si>
    <t>i do work slower when i'm on my own, so i like having partners with me</t>
  </si>
  <si>
    <t>chill</t>
  </si>
  <si>
    <t>pagan</t>
  </si>
  <si>
    <t>someone came to our class</t>
  </si>
  <si>
    <t>3.31</t>
  </si>
  <si>
    <t>iy56vhmh3unczr6iy56vefytzlimir7u</t>
  </si>
  <si>
    <t>Marziyaoy</t>
  </si>
  <si>
    <t>Norkulova</t>
  </si>
  <si>
    <t>8089365@philasd.org</t>
  </si>
  <si>
    <t>10900 bustleton ave apt c21 philadelphia pa 19116</t>
  </si>
  <si>
    <t>Madina Khojaeva</t>
  </si>
  <si>
    <t>madinakhojaeva79@gmail.com</t>
  </si>
  <si>
    <t>+12672695048</t>
  </si>
  <si>
    <t>george washington</t>
  </si>
  <si>
    <t>10175 bustleton ave</t>
  </si>
  <si>
    <t>uzbekistan</t>
  </si>
  <si>
    <t>12</t>
  </si>
  <si>
    <t>tajik</t>
  </si>
  <si>
    <t>somewhere in business</t>
  </si>
  <si>
    <t>dentist, teacher, architect,</t>
  </si>
  <si>
    <t>i want to have a job that i can work both from home and work place and that has a flexible schedule</t>
  </si>
  <si>
    <t>Gain skills I can use at a future job, Learn about careers, Learn about colleges, Get coaches and mentors who can help me with college and career, Get an internship, Make new friends</t>
  </si>
  <si>
    <t>dependable, understanding, hardworking</t>
  </si>
  <si>
    <t>dependable, hardworking, reliant</t>
  </si>
  <si>
    <t>2.4</t>
  </si>
  <si>
    <t>uuhcybewha0wwlmhexoeuuhcybpgx5n1</t>
  </si>
  <si>
    <t>Rukhshona</t>
  </si>
  <si>
    <t>Sharofova</t>
  </si>
  <si>
    <t>rukshona27@gmail.com</t>
  </si>
  <si>
    <t>+12675960250</t>
  </si>
  <si>
    <t>Philadelphia PA 19115 1015 surrey rd</t>
  </si>
  <si>
    <t>Zamira Valikhodjaeva</t>
  </si>
  <si>
    <t>zamiravalixodjaeva@gmail.com</t>
  </si>
  <si>
    <t>1015 surrey rd Philadelphia PA 19115</t>
  </si>
  <si>
    <t>+12673041479</t>
  </si>
  <si>
    <t>2013</t>
  </si>
  <si>
    <t>business, i'm not sure what kind, landscape designer or interior designer</t>
  </si>
  <si>
    <t>interior designer, landscape designer</t>
  </si>
  <si>
    <t>Im not sure about my collages yet</t>
  </si>
  <si>
    <t>interior designer, landscape designer, architecture</t>
  </si>
  <si>
    <t>dependable, hard working, responsible</t>
  </si>
  <si>
    <t>leadership, hardworking, dependable</t>
  </si>
  <si>
    <t>2.43</t>
  </si>
  <si>
    <t>hpt2rt6hjmara3d3nybhpt2rt6c62jb5</t>
  </si>
  <si>
    <t>Ketu</t>
  </si>
  <si>
    <t>Patel</t>
  </si>
  <si>
    <t>ketup126@gmail.com</t>
  </si>
  <si>
    <t>+12154851458</t>
  </si>
  <si>
    <t>2301 Woodward St Philadelphia Pa 19115</t>
  </si>
  <si>
    <t>Baldev Patel, Bhavna Patel</t>
  </si>
  <si>
    <t>bobpatel22@yahoo.com</t>
  </si>
  <si>
    <t>+12159644910</t>
  </si>
  <si>
    <t>Bustleton</t>
  </si>
  <si>
    <t>My parents came from India</t>
  </si>
  <si>
    <t>Someone told me about the job</t>
  </si>
  <si>
    <t>university of pennsylvania, penn state, temple university,</t>
  </si>
  <si>
    <t>real estate, business</t>
  </si>
  <si>
    <t>learn as much about being an fbi agent</t>
  </si>
  <si>
    <t>Gain skills I can use at a future job, Get an internship</t>
  </si>
  <si>
    <t>smart, hard working</t>
  </si>
  <si>
    <t>working as a team</t>
  </si>
  <si>
    <t>not really</t>
  </si>
  <si>
    <t>17922k7bmmy6tnnd1792vr1mijpfgv57</t>
  </si>
  <si>
    <t>mahliyo</t>
  </si>
  <si>
    <t>kilichkulova</t>
  </si>
  <si>
    <t>9015997@philasd.org</t>
  </si>
  <si>
    <t>+12679840134</t>
  </si>
  <si>
    <t>11606 depue Ave philadelphia pa 19116</t>
  </si>
  <si>
    <t>ma_y346</t>
  </si>
  <si>
    <t>Dilshoda Rustamova</t>
  </si>
  <si>
    <t>mkilichkulova@gmail.org</t>
  </si>
  <si>
    <t>11606 depue ave philadelphia pa 19116</t>
  </si>
  <si>
    <t>+12673942445</t>
  </si>
  <si>
    <t>tojik and english</t>
  </si>
  <si>
    <t>dentist</t>
  </si>
  <si>
    <t>nursing,coding,business,flight attendant,anything med</t>
  </si>
  <si>
    <t>I want to do any collage that has a good dentistry school but if i dont get in i will go to ccp</t>
  </si>
  <si>
    <t>dependent able, reliable,hardworking</t>
  </si>
  <si>
    <t>my grades ,my passion,family</t>
  </si>
  <si>
    <t>makes me feel alright</t>
  </si>
  <si>
    <t>2.10</t>
  </si>
  <si>
    <t>bsrot33n335yh3wu8mx51bsrot33nbfv</t>
  </si>
  <si>
    <t>Dilnoza</t>
  </si>
  <si>
    <t>Hakberdieva</t>
  </si>
  <si>
    <t>hakberdievadilnoza05@philasd.org</t>
  </si>
  <si>
    <t>+12679636680</t>
  </si>
  <si>
    <t>11055 Bustleton ave Philadelphia PA19116</t>
  </si>
  <si>
    <t>diil_noza.15</t>
  </si>
  <si>
    <t>Dilorom Djuraeva</t>
  </si>
  <si>
    <t>hakberdievadilnoza26@gmail.com</t>
  </si>
  <si>
    <t>11055 Bustleton ave Philadelphia PA 19116</t>
  </si>
  <si>
    <t>+12677730594</t>
  </si>
  <si>
    <t>Bustleton ave</t>
  </si>
  <si>
    <t>Tajik</t>
  </si>
  <si>
    <t>nurse idk</t>
  </si>
  <si>
    <t>Radiologist</t>
  </si>
  <si>
    <t>idk yet</t>
  </si>
  <si>
    <t>Medical, Business idk</t>
  </si>
  <si>
    <t>Business ig</t>
  </si>
  <si>
    <t>dependent, clumsy, nice</t>
  </si>
  <si>
    <t>1.64</t>
  </si>
  <si>
    <t>yh5w77rflg0ziiydyh5k5f9abf0j9s3t</t>
  </si>
  <si>
    <t>Saunders</t>
  </si>
  <si>
    <t>amirsaunders7@gmail.com</t>
  </si>
  <si>
    <t>+12154360692</t>
  </si>
  <si>
    <t>65 07 Tulip Street, Philadelphia, PA</t>
  </si>
  <si>
    <t>Instagram: @and1_miir2</t>
  </si>
  <si>
    <t>Crystal Flynn</t>
  </si>
  <si>
    <t>crysflynn@gmail.com</t>
  </si>
  <si>
    <t>6507 Tulip Ave, Philadelphia, PA</t>
  </si>
  <si>
    <t>+12156882355</t>
  </si>
  <si>
    <t>George Washington HS</t>
  </si>
  <si>
    <t>Mom is from Ireland, dad is from Nigeria but I was born here so were they and my grandparents</t>
  </si>
  <si>
    <t>Construction -- real estate</t>
  </si>
  <si>
    <t>Work in a restaurant doing dishes</t>
  </si>
  <si>
    <t>I don't know which colleges maybe Penn College of Technology</t>
  </si>
  <si>
    <t>Health - Ambulance Drivers, EMS, nurse; Firefighters, government official - politician</t>
  </si>
  <si>
    <t>Increase my GPA by .5 to get to 3.0 by June</t>
  </si>
  <si>
    <t>I'm a people person because the way my personality is, I can talk to anybody regardless of your background -- I have that skill of talking to people; I'm a good listener, I'm committed, dependable, reliable</t>
  </si>
  <si>
    <t>Very like hands learning, I'm a fast learner -- once I get the idea of something, I can go from there; I'm a good reader</t>
  </si>
  <si>
    <t>I'm very outgoing and opportunistic and I care about a lot of people who I speak with depending on their stories-- I'm empathetic</t>
  </si>
  <si>
    <t>Like I belong, Connected, Supported</t>
  </si>
  <si>
    <t>2.5</t>
  </si>
  <si>
    <t>9e2lcltlu2aof4rsv9e2lckx4feu0h6f</t>
  </si>
  <si>
    <t>zarshed</t>
  </si>
  <si>
    <t>narziloev</t>
  </si>
  <si>
    <t>8230776@philasd.org</t>
  </si>
  <si>
    <t>+12157798759</t>
  </si>
  <si>
    <t>14026 Faraday St</t>
  </si>
  <si>
    <t>Izzatilo ubaydov</t>
  </si>
  <si>
    <t>pishak8484@gmail.com</t>
  </si>
  <si>
    <t>14026 Faraday St Philadelphia 19116</t>
  </si>
  <si>
    <t>Business, Real estate, engineering and architect</t>
  </si>
  <si>
    <t>A delivery driver</t>
  </si>
  <si>
    <t>Drexel</t>
  </si>
  <si>
    <t>Online business management computer engineering</t>
  </si>
  <si>
    <t>I understand that I’m about to walk up to the real world and I’m going to be needed people glade me to a career that I’ll enjoy doing so for many years to come</t>
  </si>
  <si>
    <t>Determined is all I can say once I have my sight on something I always try my best to achieve it</t>
  </si>
  <si>
    <t>I’m a good leader and someone who speaks out and communicates with people who don’t really want to talk. I understand when I don’t understand I reach out and accept help from others</t>
  </si>
  <si>
    <t>That’ll all for now</t>
  </si>
  <si>
    <t>Everyone’s doing their own thing</t>
  </si>
  <si>
    <t>65tahl0uyvyuvb7luf265tahlfqnic5q</t>
  </si>
  <si>
    <t>nonchalant.ali@gmail.com</t>
  </si>
  <si>
    <t>+19175534876</t>
  </si>
  <si>
    <t>314 East 100th street new york 10029 apt 2L</t>
  </si>
  <si>
    <t>Elida Jimenez</t>
  </si>
  <si>
    <t>elij11126@gmail.com</t>
  </si>
  <si>
    <t>314 east 100th apt 2L 10029 new york</t>
  </si>
  <si>
    <t>+19176875640</t>
  </si>
  <si>
    <t>washington irving YABC</t>
  </si>
  <si>
    <t>40 irving place new york ny 10003</t>
  </si>
  <si>
    <t>28 years</t>
  </si>
  <si>
    <t>i recently found out my grandfather is from spain</t>
  </si>
  <si>
    <t>english , spanish</t>
  </si>
  <si>
    <t>be a hair stylist and own a store</t>
  </si>
  <si>
    <t>hair stylist</t>
  </si>
  <si>
    <t>co-op tech</t>
  </si>
  <si>
    <t>modeling, cosmetology</t>
  </si>
  <si>
    <t>i want to become a successful hair stylist by learning the skills i need within 4 years.</t>
  </si>
  <si>
    <t>Gain skills I can use at a future job, Get an internship, Learn about careers</t>
  </si>
  <si>
    <t>funny because i make the people around me laugh, introverted because i like to keep more to my self, nonchalant because i tend to feel calm and not show my feelings.</t>
  </si>
  <si>
    <t>communication, good memory, fluent spanish</t>
  </si>
  <si>
    <t>i love to work with others and just build up from there.</t>
  </si>
  <si>
    <t>59.59</t>
  </si>
  <si>
    <t>eiunks71ann9gokserhys9eiunks5ifn</t>
  </si>
  <si>
    <t>anthony</t>
  </si>
  <si>
    <t>mazariegos</t>
  </si>
  <si>
    <t>anthonymazariegos430@gmail.com</t>
  </si>
  <si>
    <t>+19172019044</t>
  </si>
  <si>
    <t>372 east 155 street, Bronx New York, NY 10455</t>
  </si>
  <si>
    <t>angela piril</t>
  </si>
  <si>
    <t>angieleooo@gmail.com</t>
  </si>
  <si>
    <t>+19292888490</t>
  </si>
  <si>
    <t>40 irving place</t>
  </si>
  <si>
    <t>guatemala</t>
  </si>
  <si>
    <t>history teacher</t>
  </si>
  <si>
    <t>I was a waiter, and mom had a connection</t>
  </si>
  <si>
    <t>Lehman, BMCC</t>
  </si>
  <si>
    <t>Catering, I.T., Welding, Construction, Customer Service</t>
  </si>
  <si>
    <t>Graduate by june I will be doing this by doing 5 assignments by the end of every week and attending every class</t>
  </si>
  <si>
    <t>Learn about careers, Learn about colleges, Get an internship, Gain skills I can use at a future job</t>
  </si>
  <si>
    <t>Articulate because i know how to express myself clearly, Open minded because I can see both sides of a situation, I'm reliable because I keep my word</t>
  </si>
  <si>
    <t>Bilingual, Customer satisfaction, and Communication</t>
  </si>
  <si>
    <t>No there was nothing else</t>
  </si>
  <si>
    <t>66.83</t>
  </si>
  <si>
    <t>y1rt48ecktve9754y1rt4n8gaxcesewa</t>
  </si>
  <si>
    <t>Patricia</t>
  </si>
  <si>
    <t>Manrique</t>
  </si>
  <si>
    <t>reyvenmanrique11@gmail.com</t>
  </si>
  <si>
    <t>+19197449907</t>
  </si>
  <si>
    <t>24-48 86th St East Elmhurst</t>
  </si>
  <si>
    <t>@daniela.valdivia11</t>
  </si>
  <si>
    <t>Roxana Valdivia</t>
  </si>
  <si>
    <t>valdiviaroxy1306@gmail.com</t>
  </si>
  <si>
    <t>2448 86th East elmhurst Queens 11369</t>
  </si>
  <si>
    <t>+19194123996</t>
  </si>
  <si>
    <t>International High School for Health Sciences</t>
  </si>
  <si>
    <t>48-01 90th St</t>
  </si>
  <si>
    <t>Peru</t>
  </si>
  <si>
    <t>Other/Latino/Peruvian</t>
  </si>
  <si>
    <t>spanish/english</t>
  </si>
  <si>
    <t>forensic Science</t>
  </si>
  <si>
    <t>In the summer I worked in construction, my mom told me about the job.</t>
  </si>
  <si>
    <t>1.John Jay College of Criminal Justice 2.Pace University 3.SUNY Buffalo State College 4.Borough of Manhattan Community College 5.Hostos Community College 6.Queensborough Community College 7.Kingsborough Community College 8.University at Albany 9. Hunter college 10. Queens college</t>
  </si>
  <si>
    <t>criminology,criminal,psychology,Nursing,performance,medicine</t>
  </si>
  <si>
    <t>I will improve my overall average, Measurable: 3 volunteers and participate in different events or internships, Attainable: I have a lot of free time to be able to be in different positions. Relevant: If I can speak English fluently, it will help me open doors of opportunities and reach different audiences. Timely: I need some experience to get more opportunities to get into college.</t>
  </si>
  <si>
    <t>Attentive, careful, enthusiastic about learning new things. If I could describe myself, I am a person who likes opportunities and challenges. I am also very attentive and careful with what they tell me.</t>
  </si>
  <si>
    <t>Creative thinking, responsibility, teamwork.</t>
  </si>
  <si>
    <t>I am a person who likes challenges, I learn quickly, attentively, I like to learn new things and different points of view, I prefer to avoid problems but I have no problem handling a problem.</t>
  </si>
  <si>
    <t>Safe and support.</t>
  </si>
  <si>
    <t>ipb55o4085g1npdetipb55opkvgq6t1d</t>
  </si>
  <si>
    <t>Nabeel</t>
  </si>
  <si>
    <t>adam</t>
  </si>
  <si>
    <t>7317024@philasd.org</t>
  </si>
  <si>
    <t>+12674237193</t>
  </si>
  <si>
    <t>9270 jamson st</t>
  </si>
  <si>
    <t>Tahani Osman</t>
  </si>
  <si>
    <t>idk@gmail.com</t>
  </si>
  <si>
    <t>9270 jamsion st</t>
  </si>
  <si>
    <t>+12673122114</t>
  </si>
  <si>
    <t>10175 buselton ave Philadelphia pa</t>
  </si>
  <si>
    <t>Word of Mouth</t>
  </si>
  <si>
    <t>Sudan</t>
  </si>
  <si>
    <t>English, Arabic</t>
  </si>
  <si>
    <t>environmental engineer</t>
  </si>
  <si>
    <t>penn state</t>
  </si>
  <si>
    <t>biology, business</t>
  </si>
  <si>
    <t>it is specific beacuse its only one goal, measurable because i can finish it soon, and timely</t>
  </si>
  <si>
    <t>Get an internship, Get coaches and mentors who can help me with college and career, Learn about careers</t>
  </si>
  <si>
    <t>hard working, dedicated,athletic</t>
  </si>
  <si>
    <t>being hard working, consistent, and determined</t>
  </si>
  <si>
    <t>vbg8ukiooh7q1zf3axfvbg8uk5w5ktai</t>
  </si>
  <si>
    <t>Vitaliy</t>
  </si>
  <si>
    <t>Kuz</t>
  </si>
  <si>
    <t>ninja37745@gmail.com</t>
  </si>
  <si>
    <t>+12672427745</t>
  </si>
  <si>
    <t>11603 depue ave Philadelphia pa 19116</t>
  </si>
  <si>
    <t>vitaliy_kuz_7745</t>
  </si>
  <si>
    <t>Nadiia Kuz</t>
  </si>
  <si>
    <t>kuznadiia73@gmail.com</t>
  </si>
  <si>
    <t>+12158245099</t>
  </si>
  <si>
    <t>Ukraine</t>
  </si>
  <si>
    <t>I was born in a different c</t>
  </si>
  <si>
    <t>Ukrainian</t>
  </si>
  <si>
    <t>Nothing to specific</t>
  </si>
  <si>
    <t>I was doing plumbing, but I'm thinking of having a construction business or own houses</t>
  </si>
  <si>
    <t>Non yet</t>
  </si>
  <si>
    <t>Culinary, programming</t>
  </si>
  <si>
    <t>I don't really have a goal yet exept for not having to worry about money when I'm out of school</t>
  </si>
  <si>
    <t>Gain skills I can use at a future job, Get coaches and mentors who can help me with college and career, Learn about careers, Get an internship</t>
  </si>
  <si>
    <t>If I'm interested I learn fast until I'm not interested</t>
  </si>
  <si>
    <t>2.55</t>
  </si>
  <si>
    <t>kefkjnuieltl89gynm3tkefkjnuz657t</t>
  </si>
  <si>
    <t>Sanjida</t>
  </si>
  <si>
    <t>Fnu</t>
  </si>
  <si>
    <t>sanjidafnu@gmail.com</t>
  </si>
  <si>
    <t>+13477387591</t>
  </si>
  <si>
    <t>35-15, 94street Apt 2E Jackson height , NY11372</t>
  </si>
  <si>
    <t>MD</t>
  </si>
  <si>
    <t>nurnobinyc@gmail.com</t>
  </si>
  <si>
    <t>+19293263737</t>
  </si>
  <si>
    <t>International High School for Health Science</t>
  </si>
  <si>
    <t>48-01,  90th Street</t>
  </si>
  <si>
    <t>Engineering , Recearse, doing Experiment, Business,</t>
  </si>
  <si>
    <t>Engineering , Recearse, doing Experiment, Business, and pollution</t>
  </si>
  <si>
    <t>gating 3.5 or  above in every subject</t>
  </si>
  <si>
    <t>Make new friends, Learn about careers, Learn about colleges</t>
  </si>
  <si>
    <t>Hard working, Sincere, Kind</t>
  </si>
  <si>
    <t>50pyehfuwjm0vuzi50pyeblrvdr8pqri</t>
  </si>
  <si>
    <t>Steisy</t>
  </si>
  <si>
    <t>stacyacosta242@gmail.com</t>
  </si>
  <si>
    <t>+19294219321</t>
  </si>
  <si>
    <t>108-40 39th Street Apt 1f</t>
  </si>
  <si>
    <t>Miosotis Vargas</t>
  </si>
  <si>
    <t>Miosotisfernandez23@gmail.com</t>
  </si>
  <si>
    <t>108-40 39th Street Apt 1f  Corona Queens,NY 11368</t>
  </si>
  <si>
    <t>+19294219170</t>
  </si>
  <si>
    <t>Graphic Designer, Filmmaking</t>
  </si>
  <si>
    <t>graphic designer</t>
  </si>
  <si>
    <t>UCLA,stanford University,University of California-San Diego,Berkeley,Riverside,Barry University,CUNY</t>
  </si>
  <si>
    <t>Artist,Surgeon,Pediatric,Psychologist</t>
  </si>
  <si>
    <t>I want to improve my English skills so I can read a whole novel easily by June.</t>
  </si>
  <si>
    <t>Leader,artistic,creative</t>
  </si>
  <si>
    <t>Patience,creativity,Drawing skills,language skills,</t>
  </si>
  <si>
    <t>I would love to work in a creative field and learn about different careers</t>
  </si>
  <si>
    <t>te4x5949pf4wqnxorlrte4x590r9kssc</t>
  </si>
  <si>
    <t>Dayanara</t>
  </si>
  <si>
    <t>Angulo Riascos</t>
  </si>
  <si>
    <t>dayanara180898@gmail.com</t>
  </si>
  <si>
    <t>+16465080473</t>
  </si>
  <si>
    <t>107-12 , 89th Street, Queens- ozone park, 11417 NY</t>
  </si>
  <si>
    <t>instagram @dayanara_riascos</t>
  </si>
  <si>
    <t>Amparo Riascos</t>
  </si>
  <si>
    <t>amribo_18@hotmail.com</t>
  </si>
  <si>
    <t>107-12 89th street, Queens-ozone park, 11417</t>
  </si>
  <si>
    <t>+19174422394</t>
  </si>
  <si>
    <t>international high school for health science</t>
  </si>
  <si>
    <t>48-01 90th street, Queens - elmhurst, NY 11373</t>
  </si>
  <si>
    <t>my parents and I were born in a different country</t>
  </si>
  <si>
    <t>medicine, general surgery or neurosurgeon</t>
  </si>
  <si>
    <t>being a professional in surgery</t>
  </si>
  <si>
    <t>Columbia college, Laguardia college, Queens college.</t>
  </si>
  <si>
    <t>general medicine, general surgery, neurosurgeon, pediatric surgeon.</t>
  </si>
  <si>
    <t>I will improve my average as high as possible and I am already working on it. by applying this program is also really helpful to get to the point I want because I'll be learning about what I want and want I want to become in the future.</t>
  </si>
  <si>
    <t>Hard-worker, smart, kind, quiet, focused. I am really focused on what I want to improve to be a better person now and in the future as a doctor. when I like something I try to give my best and to do my best, same if I don't like something I try to do it in a really good way.</t>
  </si>
  <si>
    <t>Responsible, helpful, reliable, patient, good listeners.</t>
  </si>
  <si>
    <t>I really want to become a surgeon on the future, I think I can do my best in the career and if I practice or I stay around people who works in the field of the medicine that would be really helpful for me. I really like the medicine as surgeon.</t>
  </si>
  <si>
    <t>Safe, Supported and connected</t>
  </si>
  <si>
    <t>1.3</t>
  </si>
  <si>
    <t>j9gx1cfcytit0z9kpj9gx1kuvfvk9033</t>
  </si>
  <si>
    <t>Salina</t>
  </si>
  <si>
    <t>Magarati</t>
  </si>
  <si>
    <t>salinamagarati@gmail.com</t>
  </si>
  <si>
    <t>+19293038516</t>
  </si>
  <si>
    <t>7309 woodside ave, 1FL</t>
  </si>
  <si>
    <t>https://www.instagram.com/salina_magarati/</t>
  </si>
  <si>
    <t>Phulumaya Sarki</t>
  </si>
  <si>
    <t>phulumaya60@gmail.com</t>
  </si>
  <si>
    <t>+19293038642</t>
  </si>
  <si>
    <t>International High School for Health science</t>
  </si>
  <si>
    <t>My dad came here in 2015, however me and my rest of the family came 3 years later so in 2018.</t>
  </si>
  <si>
    <t>My race is Asian, ethnicity is Nepalese, and nationality is Nepalese.</t>
  </si>
  <si>
    <t>Nepali</t>
  </si>
  <si>
    <t>Nurse practitioner, Fashion, Runway Model</t>
  </si>
  <si>
    <t>Nurse practitioner</t>
  </si>
  <si>
    <t>Columbia University, Hunter college, UCLA, St Johns.</t>
  </si>
  <si>
    <t>Nurse practitioner, Business, Fashion</t>
  </si>
  <si>
    <t>I will improve my overall average, by 3 points from a 94 to 97 by applying the skills I learn from my champions in my academic work, by the end of the school year.</t>
  </si>
  <si>
    <t>Reliable, Creative, Leader and Motivated. These all describe me as a person because one way or the other there features out when I am getting involved in work.</t>
  </si>
  <si>
    <t>Language skills, communications skills, self-control skills.</t>
  </si>
  <si>
    <t>I am very passionate about my career path to the medical and I would love to be taught on the field by the help of this program.</t>
  </si>
  <si>
    <t>Safe, supported, connected</t>
  </si>
  <si>
    <t>Me and my family have applied for the green card but hasn't arrived yet.</t>
  </si>
  <si>
    <t>cf5x9nhe4pec002h27cf5x9nhe3ermiu</t>
  </si>
  <si>
    <t>Juliana Claire</t>
  </si>
  <si>
    <t>Cahumnas</t>
  </si>
  <si>
    <t>julianaclairec@nycstudents.net</t>
  </si>
  <si>
    <t>+19293889280</t>
  </si>
  <si>
    <t>82 27 Dongan Ave. 3rd FL, Elmhurst NY 11373</t>
  </si>
  <si>
    <t>Mary Claire Cahumnas</t>
  </si>
  <si>
    <t>pooja.p.bhaskar@gmail.com</t>
  </si>
  <si>
    <t>+13475364473</t>
  </si>
  <si>
    <t>48-01 90th Street, Queens NY 11373</t>
  </si>
  <si>
    <t>Philippines</t>
  </si>
  <si>
    <t>I didn't born here. I was born in the Philippines.</t>
  </si>
  <si>
    <t>I'm Filipino.</t>
  </si>
  <si>
    <t>Tagalog, Bisaya and English.</t>
  </si>
  <si>
    <t>veterinarian</t>
  </si>
  <si>
    <t>veterinarian, Teacher, Psychiatrist, nurse</t>
  </si>
  <si>
    <t>Increase my grade in Statistics to 3+</t>
  </si>
  <si>
    <t>Friendly, Helpful and Loyal.</t>
  </si>
  <si>
    <t>Friendly</t>
  </si>
  <si>
    <t>1. I'm a dog lover 2. When it comes to friendship I am the psychiatrist.</t>
  </si>
  <si>
    <t>zukadru3d3g2c2asvjrzukadruj9cdfn</t>
  </si>
  <si>
    <t>Fabian</t>
  </si>
  <si>
    <t>Kuclo</t>
  </si>
  <si>
    <t>fabster848@gmail.com</t>
  </si>
  <si>
    <t>+13477374086</t>
  </si>
  <si>
    <t>69-26 64th street ridgewood NY 11385</t>
  </si>
  <si>
    <t>I have facebook and instagram but I am not using them - Fabian Kuclo</t>
  </si>
  <si>
    <t>Malgorzata Kuclo</t>
  </si>
  <si>
    <t>mkuclo80@gmail.com</t>
  </si>
  <si>
    <t>+13474942882</t>
  </si>
  <si>
    <t>48-01 90 Street</t>
  </si>
  <si>
    <t>Poland</t>
  </si>
  <si>
    <t>na</t>
  </si>
  <si>
    <t>Polish</t>
  </si>
  <si>
    <t>Aircraft mechanic</t>
  </si>
  <si>
    <t>One of the thing I am doing is trying to do something in my own like my own business and it’s MTB suspension services and other MTB bike repair but mostly suspension services because it’s the most worth, and I Get that by my experiences of bike and suspension repair, also I have other job and it is mostly like electrician staff and I found that by my uncle, it’s his company.</t>
  </si>
  <si>
    <t>vaughn college</t>
  </si>
  <si>
    <t>Aircraft mechanic, Spacecraft mechanic, Pilot, electrician, Police officer.</t>
  </si>
  <si>
    <t>I want to understand how I can become Aircraft mechanic, and with university is the best option for me and how this job looks from the inside.</t>
  </si>
  <si>
    <t>Interested how things work, careful and knowledgeable</t>
  </si>
  <si>
    <t>I understand and I am gaining knowledge about mechanical things very fast and easy. I have experiences with this kind of thing, careful.</t>
  </si>
  <si>
    <t>I really want to be a Aircraft mechanic.</t>
  </si>
  <si>
    <t>86.20%</t>
  </si>
  <si>
    <t>1drc8z7didlhw6d7jqil1drc8zafk5qs</t>
  </si>
  <si>
    <t>Angelo</t>
  </si>
  <si>
    <t>ad5420282@gmail.com</t>
  </si>
  <si>
    <t>+19293181364</t>
  </si>
  <si>
    <t>32-32 86st queens New York</t>
  </si>
  <si>
    <t>Instagram @Junior fuego</t>
  </si>
  <si>
    <t>Vilma Narvaez</t>
  </si>
  <si>
    <t>npatricia332@gmail.com</t>
  </si>
  <si>
    <t>+13479350559</t>
  </si>
  <si>
    <t>International High School Health Sciences</t>
  </si>
  <si>
    <t>48-01 90 st</t>
  </si>
  <si>
    <t>of Ecuador</t>
  </si>
  <si>
    <t>Army,Police,fireman,The marine and lawyer</t>
  </si>
  <si>
    <t>I decided to spend this year with good will and that it will help me more in the future</t>
  </si>
  <si>
    <t>hard working, friendly, athletic</t>
  </si>
  <si>
    <t>language skills, fitness, focus</t>
  </si>
  <si>
    <t>I feel good because everyone has their respect</t>
  </si>
  <si>
    <t>46sugv7c9xgsdnxsvd146snddu7vawmb</t>
  </si>
  <si>
    <t>Victor</t>
  </si>
  <si>
    <t>Rivas</t>
  </si>
  <si>
    <t>victor.cronus5@gmail.com</t>
  </si>
  <si>
    <t>+19294253615</t>
  </si>
  <si>
    <t>33-53 82 st Queens, New York, 11357</t>
  </si>
  <si>
    <t>Sofia Rivas</t>
  </si>
  <si>
    <t>ms.pooja.science@gmail.com</t>
  </si>
  <si>
    <t>33-53 82st Queens, New York 11357</t>
  </si>
  <si>
    <t>+13473796840</t>
  </si>
  <si>
    <t>International High School of Health and Science</t>
  </si>
  <si>
    <t>48-01 90st</t>
  </si>
  <si>
    <t>Physical Therapist</t>
  </si>
  <si>
    <t>work been a physical therapist</t>
  </si>
  <si>
    <t>business, mechanic, physical therapist, odontologist,</t>
  </si>
  <si>
    <t>I would like to learn what kinds of training is required to became a physical therapist</t>
  </si>
  <si>
    <t>active, focus, happy</t>
  </si>
  <si>
    <t>focus, collaboration, teamwork</t>
  </si>
  <si>
    <t>m5r3mqyqcvokyxyuqvm5r6dh53boeu5t</t>
  </si>
  <si>
    <t>Mahmoud</t>
  </si>
  <si>
    <t>Ahmed</t>
  </si>
  <si>
    <t>ma9243143@gmail.com</t>
  </si>
  <si>
    <t>+13475836147</t>
  </si>
  <si>
    <t>96-08 Corona, NYC,11368</t>
  </si>
  <si>
    <t>https://www.instagram.com/manii_132/</t>
  </si>
  <si>
    <t>Mohamed Abdallah</t>
  </si>
  <si>
    <t>Pooja.p.bhaskar@gmail.com</t>
  </si>
  <si>
    <t>96-08 corona NY 11368</t>
  </si>
  <si>
    <t>+13475835180</t>
  </si>
  <si>
    <t>International High school for health science.</t>
  </si>
  <si>
    <t>we come from Egypt</t>
  </si>
  <si>
    <t>Arabic, and English sometimes</t>
  </si>
  <si>
    <t>Doctor, Dentist</t>
  </si>
  <si>
    <t>I'm work in restrunt</t>
  </si>
  <si>
    <t>am think about Hunter college and queens college i dont know the others college</t>
  </si>
  <si>
    <t>My goal is to be a soccer player or doctor, dentist</t>
  </si>
  <si>
    <t>Learn about careers, Learn about colleges, Gain skills I can use at a future job</t>
  </si>
  <si>
    <t>Friendly, Ambitious, Bold,</t>
  </si>
  <si>
    <t>i dont know yet but i dont have skills for doctor but i have skills for soccer</t>
  </si>
  <si>
    <t>Glad</t>
  </si>
  <si>
    <t>79,32</t>
  </si>
  <si>
    <t>cg61sevwyk1hcq7mefpd4cg61se7hmpj</t>
  </si>
  <si>
    <t>Polanco</t>
  </si>
  <si>
    <t>xlauraPolancox@gmail.com</t>
  </si>
  <si>
    <t>+13478672624</t>
  </si>
  <si>
    <t>54-09 100th St, Queens, NY 11368</t>
  </si>
  <si>
    <t>Olga Espinal Rodriguez</t>
  </si>
  <si>
    <t>angelicalaura2730@gmail.com</t>
  </si>
  <si>
    <t>+19293729049</t>
  </si>
  <si>
    <t>The International High School for Health Sciences</t>
  </si>
  <si>
    <t>I am interested in veterinary or psychology</t>
  </si>
  <si>
    <t>veterinary and psychology</t>
  </si>
  <si>
    <t>Speak English super well and be able to understand words that I do not know in English</t>
  </si>
  <si>
    <t>Get coaches and mentors who can help me with college and career, Gain skills I can use at a future job, Get an internship</t>
  </si>
  <si>
    <t>Kind, happy and calm and the reason why I choose this words is that I am a very kind person with  another and I always I am happy and make my friends happy and also I am very calm person.</t>
  </si>
  <si>
    <t>Positive attitude, teamwork, and give ideas.</t>
  </si>
  <si>
    <t>I just a veryyy calm and quiet person</t>
  </si>
  <si>
    <t>5ba45k6hzu1qpvun3pv5baesicdxfuj0</t>
  </si>
  <si>
    <t>Xilena</t>
  </si>
  <si>
    <t>Toris</t>
  </si>
  <si>
    <t>xilenatoris28@gmail.com</t>
  </si>
  <si>
    <t>+19292613464</t>
  </si>
  <si>
    <t>40-08 76th street  Apt 3R Elmhurst,NY,11373</t>
  </si>
  <si>
    <t>Angelica Mora Carpio</t>
  </si>
  <si>
    <t>angelicamora378@gmail.com</t>
  </si>
  <si>
    <t>+17185935208</t>
  </si>
  <si>
    <t>International high school for health science</t>
  </si>
  <si>
    <t>48-01 90th street,Queens,NY 11373</t>
  </si>
  <si>
    <t>Registrate nurse</t>
  </si>
  <si>
    <t>Toys packaging.</t>
  </si>
  <si>
    <t>community collage,cunny,columbia,Nyu,</t>
  </si>
  <si>
    <t>graphic design, Stewardess, Teacher, medical assistant, art gallery owner</t>
  </si>
  <si>
    <t>I will improve my gpa by 0.7 points, from 3.3 to 4.0 by attending earlier to class to do my homework by the end of the year</t>
  </si>
  <si>
    <t>Talkative because I speak a lot,hard working because I put effort on what I am doing,Creative because I like to draw and it gives me one more perspective</t>
  </si>
  <si>
    <t>Compassion
Empathy
language skills</t>
  </si>
  <si>
    <t>Supported and connected</t>
  </si>
  <si>
    <t>omg86p1jffuzomg8iyfe19gmcdp83y70</t>
  </si>
  <si>
    <t>jpablogc09@gmail.com</t>
  </si>
  <si>
    <t>+19294075227</t>
  </si>
  <si>
    <t>25-12 125st Flushing 11354</t>
  </si>
  <si>
    <t>Instagram: jpablo_5118</t>
  </si>
  <si>
    <t>Luis Guaman</t>
  </si>
  <si>
    <t>betoen02@hotmail.com</t>
  </si>
  <si>
    <t>+17579492603</t>
  </si>
  <si>
    <t>International High School For Healh Sciences</t>
  </si>
  <si>
    <t>48-01 90th St Elmhurst, NY 11373</t>
  </si>
  <si>
    <t>Cardiothoracic Surgeon</t>
  </si>
  <si>
    <t>Mechanic</t>
  </si>
  <si>
    <t>Professional Skateboarder</t>
  </si>
  <si>
    <t>I will imorove my drades, by 5 points, from 88 to 93,  by applying the skills I learn from my Champions in my academic work,  by the end of the year.</t>
  </si>
  <si>
    <t>Gain skills I can use at a future job, Learn about colleges, Learn about careers</t>
  </si>
  <si>
    <t>Brave becasuse stay calm no matter the situation. Serious because that was the way my parents raise me. Reserved i dont like to talk a lot, i like to listen.</t>
  </si>
  <si>
    <t>Patience, Investigator, I think twice before speaking</t>
  </si>
  <si>
    <t>z8zqvwe6wanp8vw128lmz8zq14qxvnso</t>
  </si>
  <si>
    <t>Paula</t>
  </si>
  <si>
    <t>paulaarias523@gmail.com</t>
  </si>
  <si>
    <t>+13478458782</t>
  </si>
  <si>
    <t>51-17 58th place</t>
  </si>
  <si>
    <t>Instagram: paulita_ac</t>
  </si>
  <si>
    <t>Maria Castillo</t>
  </si>
  <si>
    <t>cavanzado43@gmail.com</t>
  </si>
  <si>
    <t>+13476578085</t>
  </si>
  <si>
    <t>International high school for Health sciences</t>
  </si>
  <si>
    <t>48-01 90th,st Queens NY</t>
  </si>
  <si>
    <t>Cuenca-Ecuador</t>
  </si>
  <si>
    <t>International Business and marketing</t>
  </si>
  <si>
    <t>International Business and Marketing</t>
  </si>
  <si>
    <t>Manhattan college,Columbia University,Los Angeles city college,Community college,Baruch college,</t>
  </si>
  <si>
    <t>International business and Marketing</t>
  </si>
  <si>
    <t>I will improve my average of  GPA by 5 points from 3.0 to 3.5 by learning and applying the skill that my mentors would teach me by the end of my internship.</t>
  </si>
  <si>
    <t>Patient,peaceful,compressive</t>
  </si>
  <si>
    <t>Social skill,communication skills</t>
  </si>
  <si>
    <t>I would like to match with a mentor that had experiences in international business and had been traveling thought the world doing it.</t>
  </si>
  <si>
    <t>supported,connected</t>
  </si>
  <si>
    <t>l65lfeql21a8mgt3l65lfe3sfeq0io2n</t>
  </si>
  <si>
    <t>cedeno</t>
  </si>
  <si>
    <t>cedenoariel00@gmail.com</t>
  </si>
  <si>
    <t>+19293893509</t>
  </si>
  <si>
    <t>37-68 97 street corona queens zip code 113689</t>
  </si>
  <si>
    <t>Ariel D Cedeno Velez</t>
  </si>
  <si>
    <t>kerlly Velez</t>
  </si>
  <si>
    <t>arielarelys@hotmail.com</t>
  </si>
  <si>
    <t>37-68 97 street</t>
  </si>
  <si>
    <t>+13478333667</t>
  </si>
  <si>
    <t>48-01 90 th st, queens, NY 11373</t>
  </si>
  <si>
    <t>nurse, computer systems engineer</t>
  </si>
  <si>
    <t>computer systems engineer</t>
  </si>
  <si>
    <t>criminalistics science in communication biotechnology Informatics Engineering graphic design</t>
  </si>
  <si>
    <t>learn enough about Computer Engineering to know how to repair a cell phone</t>
  </si>
  <si>
    <t>relax concentrate and optimistic</t>
  </si>
  <si>
    <t>no skills</t>
  </si>
  <si>
    <t>7nhmaexg115l7of7nhman7j233k7y18d</t>
  </si>
  <si>
    <t>vimadel</t>
  </si>
  <si>
    <t>estrella</t>
  </si>
  <si>
    <t>vimadelestrella.student@hseigators.org</t>
  </si>
  <si>
    <t>+17187374533</t>
  </si>
  <si>
    <t>650 Academy St.</t>
  </si>
  <si>
    <t>vimadelestt</t>
  </si>
  <si>
    <t>madelin estrella</t>
  </si>
  <si>
    <t>650 Academy St, New York, NY 10034</t>
  </si>
  <si>
    <t>+12125691022</t>
  </si>
  <si>
    <t>High School for Excellence and Innovation</t>
  </si>
  <si>
    <t>650 Academy St. New York, NY 10034</t>
  </si>
  <si>
    <t>naw</t>
  </si>
  <si>
    <t>Starbucks, my brother.</t>
  </si>
  <si>
    <t>FIU, FAU, UF</t>
  </si>
  <si>
    <t>Singer's Manager, Music Industry, Artist, Drawer</t>
  </si>
  <si>
    <t>I will work in the Music Industry once I graduate high school.</t>
  </si>
  <si>
    <t>Brave, Sweet, Team Player because I'm amazing at my job and I care for everyone.</t>
  </si>
  <si>
    <t>Teamwork, Leader, Helpful</t>
  </si>
  <si>
    <t>k4b67oj9jvm0el0kr2k4b67oj90d6avg</t>
  </si>
  <si>
    <t>Jimenez</t>
  </si>
  <si>
    <t>sadbiel95@gmail.com</t>
  </si>
  <si>
    <t>+19292026791</t>
  </si>
  <si>
    <t>150 w 197th st bronx ny 10468</t>
  </si>
  <si>
    <t>mercedes mezcain</t>
  </si>
  <si>
    <t>sadbiel95@gamil.com</t>
  </si>
  <si>
    <t>+13477912098</t>
  </si>
  <si>
    <t>hsei</t>
  </si>
  <si>
    <t>650 academy st</t>
  </si>
  <si>
    <t>i wasnt born here</t>
  </si>
  <si>
    <t>we are the best</t>
  </si>
  <si>
    <t>ltw</t>
  </si>
  <si>
    <t>mercy college</t>
  </si>
  <si>
    <t>real state</t>
  </si>
  <si>
    <t>i want to be accepted in mercy college</t>
  </si>
  <si>
    <t>kind, indepedent, talkative</t>
  </si>
  <si>
    <t>determination, communication, firm on what i want</t>
  </si>
  <si>
    <t>im funny</t>
  </si>
  <si>
    <t>connected and like i belong</t>
  </si>
  <si>
    <t>ha9r08w1w2zt09alwha9r08gxw2s1gon</t>
  </si>
  <si>
    <t>Michelove</t>
  </si>
  <si>
    <t>jeanbaptiste</t>
  </si>
  <si>
    <t>mjeanbaptiste@inths.org</t>
  </si>
  <si>
    <t>+19296160358</t>
  </si>
  <si>
    <t>755 oceon avue 1b 11226</t>
  </si>
  <si>
    <t>asthene jeanbaptiste</t>
  </si>
  <si>
    <t>michelovejeanbaptiste@9gmail.com</t>
  </si>
  <si>
    <t>755oceon avue 1b 11226</t>
  </si>
  <si>
    <t>+13473583431</t>
  </si>
  <si>
    <t>internation HS@lafayette</t>
  </si>
  <si>
    <t>2630 Benson Ave</t>
  </si>
  <si>
    <t>haiti</t>
  </si>
  <si>
    <t>Haitain</t>
  </si>
  <si>
    <t>model and buniss</t>
  </si>
  <si>
    <t>model</t>
  </si>
  <si>
    <t>brooklyn colleges</t>
  </si>
  <si>
    <t>docter</t>
  </si>
  <si>
    <t>i want to be a model and a busniss women</t>
  </si>
  <si>
    <t>Gain skills I can use at a future job, Get coaches and mentors who can help me with college and career, Get an internship, Learn about careers</t>
  </si>
  <si>
    <t>funny because i laugh alot</t>
  </si>
  <si>
    <t>model hair and fashion</t>
  </si>
  <si>
    <t>68.42</t>
  </si>
  <si>
    <t>2e1iu4w3dbtf9epw2stj0zh2e1iu4w3t</t>
  </si>
  <si>
    <t>Antonia</t>
  </si>
  <si>
    <t>Ajtzalam</t>
  </si>
  <si>
    <t>leon.ajtzalam502@gmail.com</t>
  </si>
  <si>
    <t>94 quentin road 11223</t>
  </si>
  <si>
    <t>Instagram: 666.xvane</t>
  </si>
  <si>
    <t>Diego Ajtzalam</t>
  </si>
  <si>
    <t>ajtzalam.leon502@gmail.com</t>
  </si>
  <si>
    <t>94 quentin road Brooklyn New york 11223</t>
  </si>
  <si>
    <t>+17185025682</t>
  </si>
  <si>
    <t>International High school at lafayette</t>
  </si>
  <si>
    <t>2630 Benson Ave, Brooklyn, NY 11214</t>
  </si>
  <si>
    <t>my guardian arrived at the year of 2006</t>
  </si>
  <si>
    <t>Lawyer, agent of real state.</t>
  </si>
  <si>
    <t>I would like to be a lawyer or an agent of real state.</t>
  </si>
  <si>
    <t>Brooklyn college,</t>
  </si>
  <si>
    <t>Lawyer, agent of real state</t>
  </si>
  <si>
    <t>My goal is to choose one of this careers and be successful, and make my mother proud</t>
  </si>
  <si>
    <t>Serious, Friendly</t>
  </si>
  <si>
    <t>I don't think this is a skill but i like to talk and i think that this will help me in the future.</t>
  </si>
  <si>
    <t>nothing else.</t>
  </si>
  <si>
    <t>It makes me feel normal</t>
  </si>
  <si>
    <t>69.54%</t>
  </si>
  <si>
    <t>5pckz7glxd3jp8zj3t5pckzuypz2gxak</t>
  </si>
  <si>
    <t>Abdulrahman</t>
  </si>
  <si>
    <t>connect@speakhire.org</t>
  </si>
  <si>
    <t>IHS Lafayette 2630 Benson Ave, Brooklyn, NY 11214</t>
  </si>
  <si>
    <t>Yasser Mohamed</t>
  </si>
  <si>
    <t>IHS Lafayette</t>
  </si>
  <si>
    <t>I was born here but my parents were born in India</t>
  </si>
  <si>
    <t>Arabic , English</t>
  </si>
  <si>
    <t>Chemist</t>
  </si>
  <si>
    <t>Brooklyn College</t>
  </si>
  <si>
    <t>Education and Business, graphic design, marketing, veterinarian</t>
  </si>
  <si>
    <t>Specific - to increase my gpa Measurable - by 0.5 points Attainable by studying more Relevant in my weakest classes and Timely - until June 2022</t>
  </si>
  <si>
    <t>Make new friends, Gain skills I can use at a future job, Learn about careers</t>
  </si>
  <si>
    <t>Friendly, hard working, fun</t>
  </si>
  <si>
    <t>hard working, my teachers, good at science</t>
  </si>
  <si>
    <t>Good to go</t>
  </si>
  <si>
    <t>Safe, Supported, Connected, Like I belong, None of these</t>
  </si>
  <si>
    <t>62rlserbogj97gcp62rlserklsm3kjq4</t>
  </si>
  <si>
    <t>Malika</t>
  </si>
  <si>
    <t>Bahronbekova</t>
  </si>
  <si>
    <t>mbahronbekova@inths.org</t>
  </si>
  <si>
    <t>+19295025005</t>
  </si>
  <si>
    <t>3099 Brighton 6th street apt 509, New york, Brooklyn, 11235</t>
  </si>
  <si>
    <t>Madina Bobokulova</t>
  </si>
  <si>
    <t>sherzodovna25@gmail.com</t>
  </si>
  <si>
    <t>+19298884988</t>
  </si>
  <si>
    <t>International High school At Lafayette</t>
  </si>
  <si>
    <t>2630 Benson Avenue, Brooklyn, NY 11214</t>
  </si>
  <si>
    <t>Uzbekistan, Samarkand</t>
  </si>
  <si>
    <t>im tajik</t>
  </si>
  <si>
    <t>Russian, Tajik, English, Turkish</t>
  </si>
  <si>
    <t>nurse, makeup artist</t>
  </si>
  <si>
    <t>nurse makeup artist</t>
  </si>
  <si>
    <t>Learn about careers, Learn about colleges, Get coaches and mentors who can help me with college and career, Make new friends, Gain skills I can use at a future job</t>
  </si>
  <si>
    <t>sprays, makeup stuffs, phone, starbucks</t>
  </si>
  <si>
    <t>learning, reading, school</t>
  </si>
  <si>
    <t>i'm kind and helpful person</t>
  </si>
  <si>
    <t>86.27</t>
  </si>
  <si>
    <t>59yt5167scyrmhtx3259yt5wrq6uo0zw</t>
  </si>
  <si>
    <t>Nigora</t>
  </si>
  <si>
    <t>Uktamboeva</t>
  </si>
  <si>
    <t>nuktamboeva@inths.org</t>
  </si>
  <si>
    <t>+19176556520</t>
  </si>
  <si>
    <t>11218</t>
  </si>
  <si>
    <t>Ergashiva</t>
  </si>
  <si>
    <t>nuktamboeva@gmail.com</t>
  </si>
  <si>
    <t>387 OCEAN PARKWAT 6A Brooklyn ny 11218</t>
  </si>
  <si>
    <t>+17188206430</t>
  </si>
  <si>
    <t>NIGORA</t>
  </si>
  <si>
    <t>International HS at Lafayette</t>
  </si>
  <si>
    <t>Engineer/Architect</t>
  </si>
  <si>
    <t>i do not know yet</t>
  </si>
  <si>
    <t>bussiness</t>
  </si>
  <si>
    <t>my goal is all</t>
  </si>
  <si>
    <t>hard worker ,leader, try new thing</t>
  </si>
  <si>
    <t>hard work, leader, try new things</t>
  </si>
  <si>
    <t>87.67%</t>
  </si>
  <si>
    <t>vm0wnpuvr1fsgemhizaqvm0zeitjtn5k</t>
  </si>
  <si>
    <t>Genesis</t>
  </si>
  <si>
    <t>Moreno</t>
  </si>
  <si>
    <t>gmorenosantamar@inths.org</t>
  </si>
  <si>
    <t>+16315089060</t>
  </si>
  <si>
    <t>457 49th st brooklyn,Nyc 11220</t>
  </si>
  <si>
    <t>Ingrid Romero</t>
  </si>
  <si>
    <t>santamariaingris011@gmail.com</t>
  </si>
  <si>
    <t>457 49th st Brooklyn NYC 11220</t>
  </si>
  <si>
    <t>+13479842134</t>
  </si>
  <si>
    <t>international high school at lafayette</t>
  </si>
  <si>
    <t>2630 benson ave Brooklyn NYC</t>
  </si>
  <si>
    <t>lawyer,nourse,veterinarian</t>
  </si>
  <si>
    <t>happy,</t>
  </si>
  <si>
    <t>i learn fats</t>
  </si>
  <si>
    <t>79.00%</t>
  </si>
  <si>
    <t>8ehqivdtn1xykkrg38ehqito9fe511q3</t>
  </si>
  <si>
    <t>Alison</t>
  </si>
  <si>
    <t>Vargas</t>
  </si>
  <si>
    <t>avargas2@inths.org</t>
  </si>
  <si>
    <t>+16469864659</t>
  </si>
  <si>
    <t>2212 east 16 street 3fl Brooklyn NY 11229</t>
  </si>
  <si>
    <t>Licet Liliana Vargas</t>
  </si>
  <si>
    <t>licetvargas1985@gmail.com</t>
  </si>
  <si>
    <t>+13473619705</t>
  </si>
  <si>
    <t>International High School at Lafayette</t>
  </si>
  <si>
    <t>2630 benson ave Brooklyn, NY 11214</t>
  </si>
  <si>
    <t>Argentina</t>
  </si>
  <si>
    <t>lawyer</t>
  </si>
  <si>
    <t>no se</t>
  </si>
  <si>
    <t>Lawyer, doctor, photographer, veterinarian,</t>
  </si>
  <si>
    <t>be a lawyer</t>
  </si>
  <si>
    <t>happy, calm</t>
  </si>
  <si>
    <t>learn fast</t>
  </si>
  <si>
    <t>74.79</t>
  </si>
  <si>
    <t>1tf1c0nebwuodi1a71tf1nf4ka9u8ox4</t>
  </si>
  <si>
    <t>Raya</t>
  </si>
  <si>
    <t>Tovmasyan</t>
  </si>
  <si>
    <t>rtovmasyan@inths.org</t>
  </si>
  <si>
    <t>+19293702594</t>
  </si>
  <si>
    <t>2435 E 28t ST,Brooklyn,NY 11235</t>
  </si>
  <si>
    <t>Ruzanna  Tovmasyan</t>
  </si>
  <si>
    <t>ruzanna291@gmail.com</t>
  </si>
  <si>
    <t>+13472645354</t>
  </si>
  <si>
    <t>2630 Bonson Avenue,Brooklyn, NY 11214</t>
  </si>
  <si>
    <t>Armenia</t>
  </si>
  <si>
    <t>2019</t>
  </si>
  <si>
    <t>from Armenia</t>
  </si>
  <si>
    <t>Armenian,Russian</t>
  </si>
  <si>
    <t>Lawyer,  Engineer , Doctor, Accountant,teacher</t>
  </si>
  <si>
    <t>Helpful, Kind, smart</t>
  </si>
  <si>
    <t>hard war, leader, try new thing</t>
  </si>
  <si>
    <t>Supported,</t>
  </si>
  <si>
    <t>76.59%</t>
  </si>
  <si>
    <t>igaslm6rlidcu8tigas5835fquv6xdx2</t>
  </si>
  <si>
    <t>Ketevan</t>
  </si>
  <si>
    <t>Antidze</t>
  </si>
  <si>
    <t>Kantidze@inths.org</t>
  </si>
  <si>
    <t>+19292908221</t>
  </si>
  <si>
    <t>8645 20th avenue apt 4G Brooklyn NY 11214</t>
  </si>
  <si>
    <t>www.Facebook.com/KetaAntidze https://www.instagram.com/ketaantidze/</t>
  </si>
  <si>
    <t>Tamari Badashvili</t>
  </si>
  <si>
    <t>jgv</t>
  </si>
  <si>
    <t>+19292898333</t>
  </si>
  <si>
    <t>IHSL</t>
  </si>
  <si>
    <t>jg</t>
  </si>
  <si>
    <t>Georgia</t>
  </si>
  <si>
    <t>Georgian</t>
  </si>
  <si>
    <t>Programmer(computer science)</t>
  </si>
  <si>
    <t>programmer or someone in art</t>
  </si>
  <si>
    <t>coding,3d designer...</t>
  </si>
  <si>
    <t>I'm exploring new ways to learn more programming languages and asking for help to my teacher</t>
  </si>
  <si>
    <t>Get coaches and mentors who can help me with college and career, Learn about colleges</t>
  </si>
  <si>
    <t>fun, hardworker, smart</t>
  </si>
  <si>
    <t>listening to people, using computers properly, hardworking</t>
  </si>
  <si>
    <t>I love learning so many things</t>
  </si>
  <si>
    <t>ydzw5fc7ukmrr80yydzmpuungog8r3sj</t>
  </si>
  <si>
    <t>Ricaldyne</t>
  </si>
  <si>
    <t>Saturne</t>
  </si>
  <si>
    <t>ricaldynesaturne0@gmail.com</t>
  </si>
  <si>
    <t>+13477851636</t>
  </si>
  <si>
    <t>305 East 26th street 1 floor 11226</t>
  </si>
  <si>
    <t>Instagram: @ricaldyne_s</t>
  </si>
  <si>
    <t>Jean Ady Saturne</t>
  </si>
  <si>
    <t>305 east 26th street apt 1f brooking new york 11226</t>
  </si>
  <si>
    <t>+13477928393</t>
  </si>
  <si>
    <t>Haitian</t>
  </si>
  <si>
    <t>haitian creole</t>
  </si>
  <si>
    <t>Brooklyn college, chicago college.</t>
  </si>
  <si>
    <t>business, medicine, dental assistant,</t>
  </si>
  <si>
    <t>improve my english</t>
  </si>
  <si>
    <t>caring, friendly and smart</t>
  </si>
  <si>
    <t>leader, helper and persuader</t>
  </si>
  <si>
    <t>nothing to add</t>
  </si>
  <si>
    <t>Baptist</t>
  </si>
  <si>
    <t>83.25%</t>
  </si>
  <si>
    <t>lcef14acsf8324z9qekq39lcef14mnzv</t>
  </si>
  <si>
    <t>Michael Suarez</t>
  </si>
  <si>
    <t>Suarez</t>
  </si>
  <si>
    <t>michaelsuarez.student@hseigators.org</t>
  </si>
  <si>
    <t>650 Academy st, New York,NY, 10034</t>
  </si>
  <si>
    <t>Instagram,Facebook,Snapchat</t>
  </si>
  <si>
    <t>Johanna Hernandez</t>
  </si>
  <si>
    <t>noemailaddress@noemailaddress.com</t>
  </si>
  <si>
    <t>650 Academy st, New York, NY,10034</t>
  </si>
  <si>
    <t>Dykman</t>
  </si>
  <si>
    <t>12 to 16 years ago</t>
  </si>
  <si>
    <t>Marines and the the position of being a Sargent</t>
  </si>
  <si>
    <t>Serving full time as a Marine soldier</t>
  </si>
  <si>
    <t>do not have none in mind</t>
  </si>
  <si>
    <t>no i know what i want</t>
  </si>
  <si>
    <t>My goal is to join the Marines and do my 4 years go to college get my degree go back and aim for getting into the CIA.</t>
  </si>
  <si>
    <t>Get coaches and mentors who can help me with college and career, Learn about careers</t>
  </si>
  <si>
    <t>Cant say</t>
  </si>
  <si>
    <t>i can adapt to situation quickly</t>
  </si>
  <si>
    <t>I do not  know</t>
  </si>
  <si>
    <t>to2es1tsotgol8to2eubbiq4lpdpob2c</t>
  </si>
  <si>
    <t>Mayerli</t>
  </si>
  <si>
    <t>Torres</t>
  </si>
  <si>
    <t>mtorres@inths.org</t>
  </si>
  <si>
    <t>+13477797639</t>
  </si>
  <si>
    <t>467 52nd St 3f 11220 Brooklyn NY</t>
  </si>
  <si>
    <t>Instagram: @mayerli_t_9</t>
  </si>
  <si>
    <t>Katherine Velasquez</t>
  </si>
  <si>
    <t>katherynv1985@gmail.com</t>
  </si>
  <si>
    <t>+13478562897</t>
  </si>
  <si>
    <t>IHS at Lafayette</t>
  </si>
  <si>
    <t>Harvard university.</t>
  </si>
  <si>
    <t>Medicine or doctor, Teacher, air hostess, stylist, and therapist.</t>
  </si>
  <si>
    <t>I will improve my english and my skills by give my best in everything.</t>
  </si>
  <si>
    <t>smart, caring, and hard working because i always try my best and i give all of me in my works.</t>
  </si>
  <si>
    <t>Public speaking, caring, and my english speaking.</t>
  </si>
  <si>
    <t>Safe, supported, like a belong.</t>
  </si>
  <si>
    <t>93</t>
  </si>
  <si>
    <t>y9g64ngqgntcum0f4r41gftsmy9g64ng</t>
  </si>
  <si>
    <t>Abbah</t>
  </si>
  <si>
    <t>Fatima</t>
  </si>
  <si>
    <t>afatima@inths.org</t>
  </si>
  <si>
    <t>+19294342712</t>
  </si>
  <si>
    <t>180 Bay 32nd Street Apt A21, Brooklyn, NY 11214</t>
  </si>
  <si>
    <t>Syeda Robab</t>
  </si>
  <si>
    <t>fatimaabbah05@gmail.com</t>
  </si>
  <si>
    <t>+19293013300</t>
  </si>
  <si>
    <t>2630 Benson Avenue</t>
  </si>
  <si>
    <t>My mother came here 5-6 years before.</t>
  </si>
  <si>
    <t>I'm Pakistani</t>
  </si>
  <si>
    <t>Urdu</t>
  </si>
  <si>
    <t>A doctor or A pharmacist</t>
  </si>
  <si>
    <t>In the hospital as a doctor</t>
  </si>
  <si>
    <t>Any best medical college</t>
  </si>
  <si>
    <t>Software engineering, Data Analyst, Cardiologist, Kidney specialist, Brain specialist</t>
  </si>
  <si>
    <t>I will improve my average more and will apply the skills I will learn from my Champion.</t>
  </si>
  <si>
    <t>Flexible, active learner, Hard working because I always try to do these.</t>
  </si>
  <si>
    <t>I can learn different things, I can work hard, And I can follow the instructions</t>
  </si>
  <si>
    <t>I need to get information about the careers I wrote above so that I will be sure for what career I have to choose because I am confused.</t>
  </si>
  <si>
    <t>95.82%</t>
  </si>
  <si>
    <t>tuag43zza5clks62autuagyddy686sq7</t>
  </si>
  <si>
    <t>Rubaya</t>
  </si>
  <si>
    <t>Nasrin</t>
  </si>
  <si>
    <t>rubayanasrin.student@hseigators.org</t>
  </si>
  <si>
    <t>+19176407690</t>
  </si>
  <si>
    <t>1270 Gerard Ave, Bronx-NY, 10452</t>
  </si>
  <si>
    <t>MD Rahim</t>
  </si>
  <si>
    <t>abrusa751@gmail.com</t>
  </si>
  <si>
    <t>+16467097859</t>
  </si>
  <si>
    <t>650 Academy St</t>
  </si>
  <si>
    <t>I want to be a Nurse</t>
  </si>
  <si>
    <t>University of Buffalo, Hunter College, Yale University, Lehman College, Harvard University</t>
  </si>
  <si>
    <t>Fashion designer, Software Engineer, Psychology, Social Worker, Lawyer.</t>
  </si>
  <si>
    <t>I will improve my overall average to 95% or more by doing more work and complete all my work.</t>
  </si>
  <si>
    <t>Cheerful, Independent, Respectful. I am always postive and I am very independent and I respect myself and others.</t>
  </si>
  <si>
    <t>I am patient, I am good at figuring out solutions to a problem and being helpful.</t>
  </si>
  <si>
    <t>Other than my career interest, I would like to learn more about other careers as well.</t>
  </si>
  <si>
    <t>Comfortable and Supported</t>
  </si>
  <si>
    <t>92.17</t>
  </si>
  <si>
    <t>d6z9bdh8e5verpswxd4dqyd6z9bd9rya</t>
  </si>
  <si>
    <t>Laziz</t>
  </si>
  <si>
    <t>Djuraev</t>
  </si>
  <si>
    <t>ldjuraev@inths.org</t>
  </si>
  <si>
    <t>+19178636137</t>
  </si>
  <si>
    <t>7000 Bay Pkwy Brooklyn NY 11204</t>
  </si>
  <si>
    <t>Amin Djuraev</t>
  </si>
  <si>
    <t>i42ycr42y3@gmail.com</t>
  </si>
  <si>
    <t>+19292859052</t>
  </si>
  <si>
    <t>Benson ave.</t>
  </si>
  <si>
    <t>7 months</t>
  </si>
  <si>
    <t>Russian/Uzbek</t>
  </si>
  <si>
    <t>Dentist/ Dental technique</t>
  </si>
  <si>
    <t>Cashier ( online search )</t>
  </si>
  <si>
    <t>Princeton University. Columbia University. Harvard University. Massachusetts Institute of Technology. Yale University. Stanford University. University of Chicago. University of Pennsylvania</t>
  </si>
  <si>
    <t>Psychologist/Neurologist/Pilot/Chef/architecture</t>
  </si>
  <si>
    <t>Balanced/Serious/Punctual</t>
  </si>
  <si>
    <t>Punctual/Kind/Balanced</t>
  </si>
  <si>
    <t>Also interested in individual entrepreneurship</t>
  </si>
  <si>
    <t>97</t>
  </si>
  <si>
    <t>pfqn85u3l45hjq977jtnypfqnpa681lq</t>
  </si>
  <si>
    <t>Yasmine</t>
  </si>
  <si>
    <t>El himdi</t>
  </si>
  <si>
    <t>yelhimdi@inths.org</t>
  </si>
  <si>
    <t>+13475298556</t>
  </si>
  <si>
    <t>156 E 21st Apt 2F, Brooklyn, NY 11226</t>
  </si>
  <si>
    <t>Fayn_lolo</t>
  </si>
  <si>
    <t>Abdullah Al-shaif</t>
  </si>
  <si>
    <t>elhimdiyasmine8@gmail.com</t>
  </si>
  <si>
    <t>156 E 21st Apt 2F, Brooklyn NY 11226</t>
  </si>
  <si>
    <t>+16468515637</t>
  </si>
  <si>
    <t>International high school at Lafayette</t>
  </si>
  <si>
    <t>Morocco</t>
  </si>
  <si>
    <t>2 years and 4 months age</t>
  </si>
  <si>
    <t>I'm Moroccan</t>
  </si>
  <si>
    <t>Enginner and business</t>
  </si>
  <si>
    <t>Business woman</t>
  </si>
  <si>
    <t>Business, Nurse, Enginner, Teacher and lawyer</t>
  </si>
  <si>
    <t>I will improve my overall average from 92 to 98 by doing more work and following my goals until I achieve them. Step by step.</t>
  </si>
  <si>
    <t>Friendly, Kind, hard worker</t>
  </si>
  <si>
    <t>Working hard and doing my best.</t>
  </si>
  <si>
    <t>I would like you to know that I'm confused about what career and college to choose. So I need help on those.</t>
  </si>
  <si>
    <t>92.83%</t>
  </si>
  <si>
    <t>u5xaxw3sybu6ck40j0u5xaxth01lpnz3</t>
  </si>
  <si>
    <t>Araujo</t>
  </si>
  <si>
    <t>genesisvaleska82005@gmail.com</t>
  </si>
  <si>
    <t>+19294329044</t>
  </si>
  <si>
    <t>26 44- 95th St Apt 2R  East Elmhurst, NY 11369</t>
  </si>
  <si>
    <t>Cristobal Araujo</t>
  </si>
  <si>
    <t>cristobalaraujo70@hotmail.com</t>
  </si>
  <si>
    <t>+16468363433</t>
  </si>
  <si>
    <t>Surgeon, Dentist, Doctor</t>
  </si>
  <si>
    <t>I worked as a waitress. I got this job through my aunt.</t>
  </si>
  <si>
    <t>Columbia University, Harvard University, Hunter College, Stony brook university</t>
  </si>
  <si>
    <t>Stewardess, nurse, medical assistant, forensic science, pilot</t>
  </si>
  <si>
    <t>I will continue to get good grades only from 3.5 to 4. So that my gpa does not go down, studying every new topic or a difficult topic for me, until the end of the year.</t>
  </si>
  <si>
    <t>Hardworking, kind, skilled</t>
  </si>
  <si>
    <t>Leadership, compassion, communication</t>
  </si>
  <si>
    <t>7qiji7ftvluy9qefb9bb7qiji76rdl7i</t>
  </si>
  <si>
    <t>Steffania</t>
  </si>
  <si>
    <t>Molina</t>
  </si>
  <si>
    <t>stefaniamr1202@gmail.com</t>
  </si>
  <si>
    <t>+19294627804</t>
  </si>
  <si>
    <t>51-03 Broadway, Woodside, Ny 11377</t>
  </si>
  <si>
    <t>Instagram: stefa12.02</t>
  </si>
  <si>
    <t>Armando Molina</t>
  </si>
  <si>
    <t>juleste116@hotmail.com</t>
  </si>
  <si>
    <t>+13476569977</t>
  </si>
  <si>
    <t>48-01 90 Street, Queens, NY 11373</t>
  </si>
  <si>
    <t>Work is a Graphic Designer company or work in a museum.</t>
  </si>
  <si>
    <t>School Of Visual Art, New York Art Studio, Institute of Fine Arts, New York University, Institute of Fine Arts, New York University</t>
  </si>
  <si>
    <t>Medical assistant, Museum curator, art gallery, veterinary, forensic scientist.</t>
  </si>
  <si>
    <t>increase</t>
  </si>
  <si>
    <t>Artistic, collaborative, creative</t>
  </si>
  <si>
    <t>Creative, drawing, emotional skills</t>
  </si>
  <si>
    <t>I do not want anything that is related to small children</t>
  </si>
  <si>
    <t>w80s29ae0fw7eb3su7inh0w80s2ano5p</t>
  </si>
  <si>
    <t>Mercado</t>
  </si>
  <si>
    <t>gmerc3560@icloud.com</t>
  </si>
  <si>
    <t>+13474300983</t>
  </si>
  <si>
    <t>1 Arden St BSMT, New York, NY,10040</t>
  </si>
  <si>
    <t>Leonarda Mendez</t>
  </si>
  <si>
    <t>leornamerc@icloud.com</t>
  </si>
  <si>
    <t>1 Arden St BSMT, New York, NY, 10040</t>
  </si>
  <si>
    <t>+16465450153</t>
  </si>
  <si>
    <t>Washington Heights Expeditionary Learning School</t>
  </si>
  <si>
    <t>511 West 182nd Street, Manhattan, NY 10033</t>
  </si>
  <si>
    <t>Ultrasound Technician</t>
  </si>
  <si>
    <t>I work in an after school program in my middle school doing activities and helping middle schoolers do their homework. I got that job by going in and asking if they was looking for someone to hire /to volunteer, its the same middle school I was attending and was also part of that program all my 3 years of middle school.</t>
  </si>
  <si>
    <t>Hudson Valley Community College, SUNY Downstate Medical Center, Center For Allied Health Education, Baruch College,</t>
  </si>
  <si>
    <t>Accountant,</t>
  </si>
  <si>
    <t>My SMART goal is that by the end of the program I know what type of jobs/ career I'm definitely interested in for a long period of time and which ones I would definitely stay away from</t>
  </si>
  <si>
    <t>Hardworking
Passionate
Outgoing</t>
  </si>
  <si>
    <t>Team oriented 
Communication skills
Time management</t>
  </si>
  <si>
    <t>My current GPA is 89.53 it should be around a 3.6.</t>
  </si>
  <si>
    <t>k4n0cke3htua8yook4n09ff9p6ilx185</t>
  </si>
  <si>
    <t>Rowena</t>
  </si>
  <si>
    <t>Otero</t>
  </si>
  <si>
    <t>Rowena.otero.24@wheels-student.org</t>
  </si>
  <si>
    <t>+17202990549</t>
  </si>
  <si>
    <t>101 Sherman avenue New York, New York, 10034</t>
  </si>
  <si>
    <t>Martha Wilson</t>
  </si>
  <si>
    <t>marthamain41@gmail.com</t>
  </si>
  <si>
    <t>101 Sherman avenue, New York, New York, 10034</t>
  </si>
  <si>
    <t>Washington Height Expeditionary Learning School</t>
  </si>
  <si>
    <t>511 W 182nd st</t>
  </si>
  <si>
    <t>I wasn't born here</t>
  </si>
  <si>
    <t>Latina/Hispanic</t>
  </si>
  <si>
    <t>After school, helping middle schoolers with homework and doing clubs after helping with homework.</t>
  </si>
  <si>
    <t>New York University,  Columbia University, Barnard college.</t>
  </si>
  <si>
    <t>Real Estate, physiatrist, surgeon, Veterinarian, Chiropractor.</t>
  </si>
  <si>
    <t>By the end of the program, I want to learn more about becoming a doctor and feel confident about the process of becoming one, and get information about the process that I still don’t know.</t>
  </si>
  <si>
    <t>Learn about careers, Learn about colleges, Get coaches and mentors who can help me with college and career</t>
  </si>
  <si>
    <t>Hard Working, self motivated, confident</t>
  </si>
  <si>
    <t>My confidence, self determined, independent.</t>
  </si>
  <si>
    <t>90.49%</t>
  </si>
  <si>
    <t>6rott0jys29ag1g1t38l6rott0uuilio</t>
  </si>
  <si>
    <t>luis0831r@gmail.com</t>
  </si>
  <si>
    <t>+16469530838</t>
  </si>
  <si>
    <t>55-11 92nd St Elmhurst, NY 11373</t>
  </si>
  <si>
    <t>I don't have</t>
  </si>
  <si>
    <t>Yenny Garavito</t>
  </si>
  <si>
    <t>ariela.ihshs@gmail.com</t>
  </si>
  <si>
    <t>+16469401684</t>
  </si>
  <si>
    <t>My parents and I are from Colombia.</t>
  </si>
  <si>
    <t>My dad arrive 40 years ago and my mom 5 years ago.</t>
  </si>
  <si>
    <t>I started to get interested on surgeon.</t>
  </si>
  <si>
    <t>I got I job by my dad, and the only thing have to do is to move the materials, clean and help people.</t>
  </si>
  <si>
    <t>I only know Hunter college and queensborough community college.</t>
  </si>
  <si>
    <t>forensic medicine, doctor, Medical researcher, Pediatrics, Pediatric Surgery</t>
  </si>
  <si>
    <t>I want to improve my knowledge that is related to medicine and be able to advance to another level of knowledge that will help me and new skills that will help me when I am already studying or even when I am already in my career.</t>
  </si>
  <si>
    <t>Get coaches and mentors who can help me with college and career, Gain skills I can use at a future job, Get an internship, Learn about careers, Learn about colleges</t>
  </si>
  <si>
    <t>Patient, respectful, focused</t>
  </si>
  <si>
    <t>adaptability, creativity, coordination with others</t>
  </si>
  <si>
    <t>I have become very interested in medicine and it has always been interesting to learn a lot about medicine, and now that I have this opportunity to learn more with professional people would be a good part of my studying, and that it would benefit me to do new skills and learn many more things that would help me in college.</t>
  </si>
  <si>
    <t>6okef6lol68s5rmnl6oke5ec75psxayn</t>
  </si>
  <si>
    <t>Shobha</t>
  </si>
  <si>
    <t>Gurung</t>
  </si>
  <si>
    <t>shobha.gurung155@gmail.com</t>
  </si>
  <si>
    <t>+16463460412</t>
  </si>
  <si>
    <t>98-17 Horace Harding expressway, Corona, Ny, 11368</t>
  </si>
  <si>
    <t>Pachya maya Gurung</t>
  </si>
  <si>
    <t>menrajgurung2014@yahoo.com</t>
  </si>
  <si>
    <t>98-17 Horace Harding express way, Corona, Ny, 11368</t>
  </si>
  <si>
    <t>+16464077776</t>
  </si>
  <si>
    <t>48-01 90th st Queens, NY, 11373</t>
  </si>
  <si>
    <t>8-9</t>
  </si>
  <si>
    <t>Start my own business</t>
  </si>
  <si>
    <t>Columbia University, Buffalo University, and Yale University</t>
  </si>
  <si>
    <t>Medical Assistant, Cafe owner, Art gallery owner, Artist, Business person.</t>
  </si>
  <si>
    <t>Get an internship
 Gain skills I can use at a future job</t>
  </si>
  <si>
    <t>Creative, Hard Working and Caring</t>
  </si>
  <si>
    <t>Emotional skills, Self-control skills and Patience</t>
  </si>
  <si>
    <t>Nothing much</t>
  </si>
  <si>
    <t>66hm7o8vey1sh7pr5sw663lwvnkb8wyt</t>
  </si>
  <si>
    <t>Nadilka</t>
  </si>
  <si>
    <t>nadilkahernandez29@gmail.com</t>
  </si>
  <si>
    <t>+13477712659</t>
  </si>
  <si>
    <t>84-09 35th avenue Jackson Height, 11372</t>
  </si>
  <si>
    <t>Instagram nadilka29</t>
  </si>
  <si>
    <t>Rosa Jorge</t>
  </si>
  <si>
    <t>rosanelisjorge@gmail.com</t>
  </si>
  <si>
    <t>84-09 35th avenue Jackson Height</t>
  </si>
  <si>
    <t>+13477619817</t>
  </si>
  <si>
    <t>International High School of Health Science</t>
  </si>
  <si>
    <t>48-01 90th ,St Queens, NY, 11421</t>
  </si>
  <si>
    <t>International business</t>
  </si>
  <si>
    <t>Baruch College, The city college of New York , Los Angeles City College, University of California, Los Angeles  University of California, Los Angeles Southwest College,  University of San Francisco, San Francisco State University</t>
  </si>
  <si>
    <t>International business and marketting</t>
  </si>
  <si>
    <t>Specifit: I will improve my GPA, Measurable: by 4 points, Attainable: From a 89 to a 93, Relevant: by studying more, Timely: by the end of the school year</t>
  </si>
  <si>
    <t>Supportive, Open minded, Honest</t>
  </si>
  <si>
    <t>communication, collaboration, Leadership</t>
  </si>
  <si>
    <t>nothing else, thank you!</t>
  </si>
  <si>
    <t>oy47soc7dwaxs2e20ytoy47sou1s8oa6</t>
  </si>
  <si>
    <t>Abdelrahman</t>
  </si>
  <si>
    <t>amohamed@inths.org</t>
  </si>
  <si>
    <t>+13473202776</t>
  </si>
  <si>
    <t>1980 65th street Brooklyn NY 11204</t>
  </si>
  <si>
    <t>Yasser</t>
  </si>
  <si>
    <t>dryaser74@yahoo.com</t>
  </si>
  <si>
    <t>+19295455531</t>
  </si>
  <si>
    <t>2630 Benson Ave, Brooklyn, NY</t>
  </si>
  <si>
    <t>Me and my family from Egypt and I have Egyptian citizenship.</t>
  </si>
  <si>
    <t>Arabic and some time English. Also, A little bit French and Spanish.</t>
  </si>
  <si>
    <t>Doctor or chemist.</t>
  </si>
  <si>
    <t>I work in store in Brooklyn, I work as a cashier .Also ,Sometimes I do western Union</t>
  </si>
  <si>
    <t>1-Doctor 2-Architect 3-Petroleum Engineer 4-surgry doctor 5-chemist 6-Dentist 7-Pharmacist 8-Software engineer 9-Business 10-Flight engineer.</t>
  </si>
  <si>
    <t>1-pediatrician 2-Dentist 3-Software engineer 4-Surgeon 5-flight engineer.</t>
  </si>
  <si>
    <t>I will improve my overall average, Measurable: by 6 points, Attainable: from 92 to 98 relevant : By studying, Working hard and joining in programs that make me better like [speakhire].</t>
  </si>
  <si>
    <t>Learn about colleges, Learn about careers, Gain skills I can use at a future job, Get coaches and mentors who can help me with college and career, Get an internship, Make new friends</t>
  </si>
  <si>
    <t>Hard working, Fun, sports Games , Hard working and Fun because I believe in the saying work hard and play hardly, And sports Games, Because the perfect mind in healthy body.</t>
  </si>
  <si>
    <t>Find solutions, High scores in science, my favorite subject is science, Planning and Organizing, Communication and self-confidence, Teamwork.</t>
  </si>
  <si>
    <t>I hope to join this program because I see it as the the future and they will help me to realize my dream.</t>
  </si>
  <si>
    <t>92%</t>
  </si>
  <si>
    <t>12t3zxiorvnkv2y12t3zgiqja23umb7g</t>
  </si>
  <si>
    <t>Wildainy</t>
  </si>
  <si>
    <t>2023_wildainymartinez@ihs-us.org</t>
  </si>
  <si>
    <t>+19174050711</t>
  </si>
  <si>
    <t>711 E 11th ST APT 5A, New York NY 10009</t>
  </si>
  <si>
    <t>lisethmartinez07</t>
  </si>
  <si>
    <t>Morales</t>
  </si>
  <si>
    <t>wildypf@gmail.com</t>
  </si>
  <si>
    <t>711 E 11TH ST APT 5A, New York NY, 10009</t>
  </si>
  <si>
    <t>+17184502943</t>
  </si>
  <si>
    <t>International High School at Union Square</t>
  </si>
  <si>
    <t>40 Irving place, NY, NY 1003</t>
  </si>
  <si>
    <t>Cardiologist</t>
  </si>
  <si>
    <t>Something about medicine</t>
  </si>
  <si>
    <t>I do not know yet</t>
  </si>
  <si>
    <t>The only career that I have in mind is Medicine</t>
  </si>
  <si>
    <t>I will improve in my knowledge of medicine, I need to be precise.</t>
  </si>
  <si>
    <t>Responsible, calm and organized. I like to be organized, I'm very calm and I like to be responsible with my duties.</t>
  </si>
  <si>
    <t>I like to help others, I'm good at paying attention to details and I'm organized.</t>
  </si>
  <si>
    <t>Nothing else for now.</t>
  </si>
  <si>
    <t>95.12%</t>
  </si>
  <si>
    <t>m88rrvfybz11dshabfm8878qe5khj759</t>
  </si>
  <si>
    <t>Xuyuan</t>
  </si>
  <si>
    <t>Zhao</t>
  </si>
  <si>
    <t>2023_xuyuanzhao@ihs-us.org</t>
  </si>
  <si>
    <t>+19295335303</t>
  </si>
  <si>
    <t>21 Eldridge Street Apt 12, New York, NY 10002</t>
  </si>
  <si>
    <t>Weidong Zhao</t>
  </si>
  <si>
    <t>1903672755@qq.com</t>
  </si>
  <si>
    <t>31 Leonard Street Apt 21D, Brooklyn, NY 11206</t>
  </si>
  <si>
    <t>+19292581539</t>
  </si>
  <si>
    <t>40 Irving Place, New York, NY 10003</t>
  </si>
  <si>
    <t>Software engineer</t>
  </si>
  <si>
    <t>Harvard, MIT, NYU, Columbia, Stanford, Yale, Cornell, Sun Yat-sen, Beijing, Tsinghua</t>
  </si>
  <si>
    <t>Mathematician, biologist, software tester, AI technologist, math teacher</t>
  </si>
  <si>
    <t>I will attend 1 of my ideal universities by using my skills learned from school and internship at the end of high school.</t>
  </si>
  <si>
    <t>Pensive, because I usually think about things in depth.
Independent, because I usually want to do things by myself.
Optimistic, because I don't feel very regretful for failures.</t>
  </si>
  <si>
    <t>Leadership, critical thinking, coding skills</t>
  </si>
  <si>
    <t>I will enjoy my learning during this internship.</t>
  </si>
  <si>
    <t>Safe, connected</t>
  </si>
  <si>
    <t>97.09%</t>
  </si>
  <si>
    <t>jpxeo7lzb3u6f0ehoj31sjpxeotg6n6q</t>
  </si>
  <si>
    <t>Lochart</t>
  </si>
  <si>
    <t>2023_genesislochart@ihs-us.org</t>
  </si>
  <si>
    <t>+13473978074</t>
  </si>
  <si>
    <t>219 Logan street Brooklyn NY 11208</t>
  </si>
  <si>
    <t>@deyluv_genii</t>
  </si>
  <si>
    <t>Raquel peralta</t>
  </si>
  <si>
    <t>219 Logan street NY Brooklyn 11208</t>
  </si>
  <si>
    <t>+19292589048</t>
  </si>
  <si>
    <t>International high school at union square</t>
  </si>
  <si>
    <t>3 years and 10 months</t>
  </si>
  <si>
    <t>undecided.</t>
  </si>
  <si>
    <t>My dad works in a supermarket for 10 years now, and while i was in vacation i decided to work there too as a cashier.</t>
  </si>
  <si>
    <t>Undecided.</t>
  </si>
  <si>
    <t>Education, medicine, law, mental heath therapist, and flight attendant.</t>
  </si>
  <si>
    <t>I want to improve my school average by 4 points alt least from 94 to 98 by applying to new skills and information i get everyday in school my the end of 12th grade.</t>
  </si>
  <si>
    <t>Get coaches and mentors who can help me with college and career, Learn about careers, Gain skills I can use at a future job, Learn about colleges</t>
  </si>
  <si>
    <t>Happy: I am a very happy person who likes to make other people happy too. Positive: i always think that things can be done if you really put the work into it. smart: i believe i am a very smart person because i get good grades in my class.</t>
  </si>
  <si>
    <t>Responsibility, Patience, organization.</t>
  </si>
  <si>
    <t>im very undecided about what i want to do.</t>
  </si>
  <si>
    <t>Safe, and supported.</t>
  </si>
  <si>
    <t>94.64</t>
  </si>
  <si>
    <t>p4savh8wy5f0xvmp4suo8muef0owaoj4</t>
  </si>
  <si>
    <t>Mame Fatime</t>
  </si>
  <si>
    <t>Sarr</t>
  </si>
  <si>
    <t>mamefatimsarr04@gmail.com</t>
  </si>
  <si>
    <t>+13473643953</t>
  </si>
  <si>
    <t>288 East 168th Street, New York, NY 10456</t>
  </si>
  <si>
    <t>Mame Fatime Sarr on YouTube</t>
  </si>
  <si>
    <t>Moussa Sarr</t>
  </si>
  <si>
    <t>Moussasarr127@yahoo.com</t>
  </si>
  <si>
    <t>+16468240287</t>
  </si>
  <si>
    <t>40 Irving Pl, New York, NY 10003</t>
  </si>
  <si>
    <t>My dad came here 18 years ago and my mom 11 months ago.</t>
  </si>
  <si>
    <t>I am black, Senegalese and Lebou.</t>
  </si>
  <si>
    <t>wolof</t>
  </si>
  <si>
    <t>I am a cashier in supermarket. I scan the products and pack their stuff. I applied to get that job and I do it when I don't have school.</t>
  </si>
  <si>
    <t>CUNNY, BMCC, Baruch college, Fordham University, Ithaca College, Clarkson University, LaGuardia Community College, Kingsborough Community College, University at Buffalo, Suffolk County Community College, Yeshiva University.</t>
  </si>
  <si>
    <t>Medicine, engineers, lawyer, architecture, flight attendant</t>
  </si>
  <si>
    <t>I will improve my knowledge by doing something that I want I know I could do and I am ready to do accounting as soon as I finish High School.</t>
  </si>
  <si>
    <t>Get coaches and mentors who can help me with college and career, Get an internship, Learn about careers, Gain skills I can use at a future job</t>
  </si>
  <si>
    <t>Calm, Patient, understanding because I am that type of person I am patient with people or anything else and understanding with them too.</t>
  </si>
  <si>
    <t>I am good in math, I pay attention and I take notes.</t>
  </si>
  <si>
    <t>I wanna learn something that I like and that is accounting and I know that it is not going to be easy but I will do my best.</t>
  </si>
  <si>
    <t>84.08%</t>
  </si>
  <si>
    <t>521z339zv06idrbln3l521z3387iysgn</t>
  </si>
  <si>
    <t>Rongze</t>
  </si>
  <si>
    <t>Yu</t>
  </si>
  <si>
    <t>2023_rongzeyu@ihs-us.org</t>
  </si>
  <si>
    <t>+19084239638</t>
  </si>
  <si>
    <t>170 Henry St, Apt 2A, New York, NY 10002</t>
  </si>
  <si>
    <t>Yingyu Yu</t>
  </si>
  <si>
    <t>yingyuyu19@gmail.com</t>
  </si>
  <si>
    <t>+19173783694</t>
  </si>
  <si>
    <t>International High school at Union Square</t>
  </si>
  <si>
    <t>40 Irving Place New York, NY 10003</t>
  </si>
  <si>
    <t>2 years and 3 months</t>
  </si>
  <si>
    <t>My English is not very good.</t>
  </si>
  <si>
    <t>Computer Programmer</t>
  </si>
  <si>
    <t>Make food in the milk tea shop. Online search.</t>
  </si>
  <si>
    <t>Harvard University, Columbia University, Cornell University, Manhattan College, Washington College, Stony Brook University, New York University, City College of New York, Hunter College, Stanford University</t>
  </si>
  <si>
    <t>Computer Programmer, Web developer, Information systems security manager, Database administrator, Data security analyst</t>
  </si>
  <si>
    <t>I will develop in an all-round way, study the learning and skills that are conducive to my future career, improve by 5 points, from 90 to 95, by using the knowledge and skills I have learned to get better grades as much as possible by the end of the school year.</t>
  </si>
  <si>
    <t>Get an internship, Learn about careers, Learn about colleges, Make new friends, Gain skills I can use at a future job, Get coaches and mentors who can help me with college and career</t>
  </si>
  <si>
    <t>Calm down, because I am calm when things happen. Energetic, because I actively solve my work. cooperative, because I like working with others.</t>
  </si>
  <si>
    <t>Positive attitude. Teamwork. Analytical abilities</t>
  </si>
  <si>
    <t>I lack leadership skills.</t>
  </si>
  <si>
    <t>93.47%</t>
  </si>
  <si>
    <t>5eo2up8t9goqxhbj5eo2ufpive5wt2ll</t>
  </si>
  <si>
    <t>Emmanuel</t>
  </si>
  <si>
    <t>Rezil</t>
  </si>
  <si>
    <t>2023_emmanuelrezil@ihs-us.org</t>
  </si>
  <si>
    <t>+19293375073</t>
  </si>
  <si>
    <t>340 East 31 Street Apt c4 11226</t>
  </si>
  <si>
    <t>datboi.babas</t>
  </si>
  <si>
    <t>Astrel Rezil</t>
  </si>
  <si>
    <t>Astrelrezil28@gmail.com</t>
  </si>
  <si>
    <t>340 East 31 Street apt c4 11226</t>
  </si>
  <si>
    <t>+19294233587</t>
  </si>
  <si>
    <t>40  Irving Pl, New York, NY 10003</t>
  </si>
  <si>
    <t>Black African</t>
  </si>
  <si>
    <t>Haitian Creole</t>
  </si>
  <si>
    <t>Actor</t>
  </si>
  <si>
    <t>My  My Ideal future career job is to open my own business.</t>
  </si>
  <si>
    <t>undecided</t>
  </si>
  <si>
    <t>My goal is Specific , Measurable, Attainable, Relevant and Timely because I will set objectives How I'm going to reach my goal , and  when I'm gonna reach it.</t>
  </si>
  <si>
    <t>Bright , Helpful because of my intelligence and creativity.</t>
  </si>
  <si>
    <t>Speaking skills teamwork leadership</t>
  </si>
  <si>
    <t>My community make me feel safe and supported</t>
  </si>
  <si>
    <t>92.70%</t>
  </si>
  <si>
    <t>zktdgjug6ostn8sdwzktdgsg3sm1vjv6</t>
  </si>
  <si>
    <t>Avril</t>
  </si>
  <si>
    <t>2023_avrilmejiareyes@ihs-us.org</t>
  </si>
  <si>
    <t>+16467159956</t>
  </si>
  <si>
    <t>3674 3rd Ave. Apt 1A, Bronx, NY 10456</t>
  </si>
  <si>
    <t>sabdireyes188@gmail.com</t>
  </si>
  <si>
    <t>+16467159757</t>
  </si>
  <si>
    <t>Pediatric nursing</t>
  </si>
  <si>
    <t>special education teacher,</t>
  </si>
  <si>
    <t>I want an A or B+ in my grades for the rest of my semesters</t>
  </si>
  <si>
    <t>Gain skills I can use at a future job, Get coaches and mentors who can help me with college and career, Make new friends, Get an internship, Learn about careers, Learn about colleges</t>
  </si>
  <si>
    <t>Organized, cooperative and retailer</t>
  </si>
  <si>
    <t>cordial,collaborator, responsable</t>
  </si>
  <si>
    <t>I am a simple, humble, friendly, respectful person, I try to give my best.</t>
  </si>
  <si>
    <t>80.64%</t>
  </si>
  <si>
    <t>yya755g0203dsc6gyya86a9wkemmhvdq</t>
  </si>
  <si>
    <t>Sabina</t>
  </si>
  <si>
    <t>Musayeva</t>
  </si>
  <si>
    <t>musaeyvasabina2003@gmail.com</t>
  </si>
  <si>
    <t>+12159393283</t>
  </si>
  <si>
    <t>9914 President St</t>
  </si>
  <si>
    <t>Aziza Musayeva</t>
  </si>
  <si>
    <t>mspsabina2003@gmail.com</t>
  </si>
  <si>
    <t>+12159009780</t>
  </si>
  <si>
    <t>Russia</t>
  </si>
  <si>
    <t>Turkish</t>
  </si>
  <si>
    <t>Turkish and english</t>
  </si>
  <si>
    <t>Neuroscience, law and business</t>
  </si>
  <si>
    <t>60-70</t>
  </si>
  <si>
    <t>Cashier, with my friend</t>
  </si>
  <si>
    <t>Temple, Drexel, ccp, Upenn, Jefferson, Penn state</t>
  </si>
  <si>
    <t>Law, business, nueroscience</t>
  </si>
  <si>
    <t>I want to do well in whatever I want to pursue</t>
  </si>
  <si>
    <t>Leader, courageous, responsible</t>
  </si>
  <si>
    <t>Leader, responsible, trustworthy</t>
  </si>
  <si>
    <t>4.4</t>
  </si>
  <si>
    <t>7bljzdi2u6k7blsb5hc24lvcz52jhkms</t>
  </si>
  <si>
    <t>Samuel</t>
  </si>
  <si>
    <t>srodriguez122906@gmail.com</t>
  </si>
  <si>
    <t>+16469567823</t>
  </si>
  <si>
    <t>598 W 177 ST APT 61 New York New York 10033</t>
  </si>
  <si>
    <t>Ana Lorenzo</t>
  </si>
  <si>
    <t>samuelkelsei@gmail.com</t>
  </si>
  <si>
    <t>+16466339394</t>
  </si>
  <si>
    <t>511 W 182 ST New York New York 10033</t>
  </si>
  <si>
    <t>Physician Assistant, Pediatrician, Nurse Practitioner and IT manager.</t>
  </si>
  <si>
    <t>I work in a Auto Repair shop. My father owns the business.</t>
  </si>
  <si>
    <t>Cornell University, Columbia University</t>
  </si>
  <si>
    <t>Physician Assistant, Pediatrician, Nurse Practitioner</t>
  </si>
  <si>
    <t>By the end of the program I want to gain more information on the daily experiences of different professions in order to feel confident when choosing a career for the future.</t>
  </si>
  <si>
    <t>Hardworking, Curious, and Dependable. For as long as I can remember I have always been hardworking and curious. I take my work seriously, whether it is in or out of school, and I feel like asking questions. is really helpful. I am also good at managing my time and resources.</t>
  </si>
  <si>
    <t>Good communication, Good Listening, Dedication.</t>
  </si>
  <si>
    <t>I am open-minded when it comes to my future so I understand some things might not be for me.</t>
  </si>
  <si>
    <t>93.65</t>
  </si>
  <si>
    <t>m77llx61qopybe754m77llx61tc6wkn5</t>
  </si>
  <si>
    <t>Stephanie</t>
  </si>
  <si>
    <t>mendozatephanie868@gmail.com</t>
  </si>
  <si>
    <t>+13479526513</t>
  </si>
  <si>
    <t>3730 93 st Queens NY 11372</t>
  </si>
  <si>
    <t>Facebook- Stefi and Instagram @oreovm</t>
  </si>
  <si>
    <t>Leopoldo Vazquez</t>
  </si>
  <si>
    <t>leopoldo.vazquez01@gmail.com</t>
  </si>
  <si>
    <t>+13478705655</t>
  </si>
  <si>
    <t>International High School for health Science</t>
  </si>
  <si>
    <t>21</t>
  </si>
  <si>
    <t>Work in school or help adult people.</t>
  </si>
  <si>
    <t>I was working in International High School for Health science in the Summer, helping a math teacher. I got the job because one of my teachers said that the position of helping in math will be good.</t>
  </si>
  <si>
    <t>Criminology, Ceramist, Transport service, Educator, Helping people, Actor, instrument player</t>
  </si>
  <si>
    <t>Last year I was in 3 different clubs, this years I will end up having 4 clubs.</t>
  </si>
  <si>
    <t>Helpful because I help all of the ones that need it in school, Patient because to help people I have to understand and relax, Attentive, collaborative, kind</t>
  </si>
  <si>
    <t>Language skill, patient, empathy</t>
  </si>
  <si>
    <t>It is important for me to join this program because I want to learn about different types of careers and colleges. When I am older, I want a career doing something that I really like, I don't really know yet what career I want to have. I think this would be a great opportunity for me to learn more about different jobs. I hope to learn basic things to prepare for college and have a career in mind of what I want. I think working with a mentor will be easier for me to be in an internship and also will be fun because it's the first time I am doing an internship.</t>
  </si>
  <si>
    <t>yxzgw981n46pge6yxzgw98ud1nvleaas</t>
  </si>
  <si>
    <t>Jariel</t>
  </si>
  <si>
    <t>Fernandez</t>
  </si>
  <si>
    <t>jariel.fernandez.24@wheels-student.org</t>
  </si>
  <si>
    <t>+19293532175</t>
  </si>
  <si>
    <t>501w 189th sweet ap 1c 10040</t>
  </si>
  <si>
    <t>Gabriel fernandez</t>
  </si>
  <si>
    <t>jarielfernandez1618@gmail.com</t>
  </si>
  <si>
    <t>501 w 189th st 10040 New York</t>
  </si>
  <si>
    <t>+19175780265</t>
  </si>
  <si>
    <t>wheels</t>
  </si>
  <si>
    <t>511 w 182 st New York 10033</t>
  </si>
  <si>
    <t>afro latino</t>
  </si>
  <si>
    <t>nures</t>
  </si>
  <si>
    <t>I work for my dad</t>
  </si>
  <si>
    <t>since or health department</t>
  </si>
  <si>
    <t>By the end of the program, I want to know what kind of a nurse I want to be and how to become that kind of nurse.</t>
  </si>
  <si>
    <t>Smart, helpful, thoughtful</t>
  </si>
  <si>
    <t>Awareness, creativity, insightful questions</t>
  </si>
  <si>
    <t>This program is important to me because it can be helpful for the sole reason that it could help  me with choosing the path I will be taking in the future. If I’m able to join the program, I will be more informed about what nurses actually do in their job and find out what type of nurse I would want to be. I know I want to be a nurse, but there is still a lot that I need to learn about the process towards becoming one and about the different kinds of nursing positions that are out there. I know there are many types of nurses, such as the ones who travel around the world, nurse practitioners, and the ones who work in a hospital or in surgery. Through this program, I want to know more about what is the best part, the worst part, and how much one could make. I want to know how they were able to make the transition of being a student to being a nurse. How was their college experience? What did they want to know before they went to college? Are they happy with the decisions they made?</t>
  </si>
  <si>
    <t>1pvns43al31j0bq2v1pvns43ub3jh9n3</t>
  </si>
  <si>
    <t>Lady</t>
  </si>
  <si>
    <t>Villa</t>
  </si>
  <si>
    <t>2023_ladyvilla@ihs-us.org</t>
  </si>
  <si>
    <t>+19292066632</t>
  </si>
  <si>
    <t>40-42 Junction Blvd, Queens Ny 11368</t>
  </si>
  <si>
    <t>Ximena Simba</t>
  </si>
  <si>
    <t>Ximenasimba12@gmail.com</t>
  </si>
  <si>
    <t>40-42 Junction Blvd Queens,Ny</t>
  </si>
  <si>
    <t>+13472802439</t>
  </si>
  <si>
    <t>International High school at union square</t>
  </si>
  <si>
    <t>40 Irving place</t>
  </si>
  <si>
    <t>Nurses -Doctor</t>
  </si>
  <si>
    <t>Columbia university, CUNY Queens college,CUNY York college</t>
  </si>
  <si>
    <t>pediatrician or stewardess.</t>
  </si>
  <si>
    <t>I intend to pay more attention and put more effort into learning and trying to do everything.</t>
  </si>
  <si>
    <t>Learn about careers, Learn about colleges, Get an internship, Get coaches and mentors who can help me with college and career, Gain skills I can use at a future job, Make new friends</t>
  </si>
  <si>
    <t>sociable, exigente, responsable.</t>
  </si>
  <si>
    <t>patient, help.</t>
  </si>
  <si>
    <t>85.42</t>
  </si>
  <si>
    <t>pyrlz573s5conbu29nupyrlz90wyh3yv</t>
  </si>
  <si>
    <t>Rassiel</t>
  </si>
  <si>
    <t>Munoz Gomez</t>
  </si>
  <si>
    <t>gomezrassiel02@gmail.com</t>
  </si>
  <si>
    <t>+16466701408</t>
  </si>
  <si>
    <t>10104 94th St Ozone Park, Queens NY11416</t>
  </si>
  <si>
    <t>Instagram/gomezrassiel02</t>
  </si>
  <si>
    <t>Raysa Gomez</t>
  </si>
  <si>
    <t>genesi07@live.com</t>
  </si>
  <si>
    <t>10104 94th St Ozone Park Queens NY11416</t>
  </si>
  <si>
    <t>+19176243710</t>
  </si>
  <si>
    <t>48-01, 90th St Queens NY11421</t>
  </si>
  <si>
    <t>Veterinary medicine</t>
  </si>
  <si>
    <t>Kitchen assistant</t>
  </si>
  <si>
    <t>I will improve my gpa  and increase my knowledge of the career I want by using the skill I will learn in this program</t>
  </si>
  <si>
    <t>Patient, calm and comprehensive because I always try to remain calm in any situation.</t>
  </si>
  <si>
    <t>Motivation, comprehensive and the ability to adapt to different environment.</t>
  </si>
  <si>
    <t>I think this is a great opportunity to learn new skills that will be helpful for my journey in becoming what I want.</t>
  </si>
  <si>
    <t>wcyo6ozxhrycp9wcyoyltg0nkp3zy8j2</t>
  </si>
  <si>
    <t>Edison</t>
  </si>
  <si>
    <t>vacacela</t>
  </si>
  <si>
    <t>vacacelaedison149@gmail.com</t>
  </si>
  <si>
    <t>+13478567229</t>
  </si>
  <si>
    <t>208 west 151 st, A53. Manhattan, NY        zip code10039</t>
  </si>
  <si>
    <t>facebook, Instagram, whatsApp</t>
  </si>
  <si>
    <t>Maria Raimunda Tixi</t>
  </si>
  <si>
    <t>Franciscovacacela79@gmail.com</t>
  </si>
  <si>
    <t>208 west. 151 st, A51. Manhattan, NY,   zip code 10039</t>
  </si>
  <si>
    <t>+19177740728</t>
  </si>
  <si>
    <t>international high school at Union square</t>
  </si>
  <si>
    <t>40 Irving PI New York,NY 10003 United States</t>
  </si>
  <si>
    <t>I am of the indigenous race</t>
  </si>
  <si>
    <t>Finance</t>
  </si>
  <si>
    <t>form a business</t>
  </si>
  <si>
    <t>New York University, Fordham university, Hunter college</t>
  </si>
  <si>
    <t>art, police, airplane pilot</t>
  </si>
  <si>
    <t>achievable</t>
  </si>
  <si>
    <t>Get an internship, Learn about colleges, Get coaches and mentors who can help me with college and career</t>
  </si>
  <si>
    <t>curious, motivated, interest</t>
  </si>
  <si>
    <t>risky, responsible, interest</t>
  </si>
  <si>
    <t>When I want to do something I like to do it well</t>
  </si>
  <si>
    <t>83.96%</t>
  </si>
  <si>
    <t>v1ut266a89qxastgz4gdv1ut266c1kcm</t>
  </si>
  <si>
    <t>Frailyn</t>
  </si>
  <si>
    <t>fraylinc3155@gmail.com</t>
  </si>
  <si>
    <t>+19143869513</t>
  </si>
  <si>
    <t>65-04 Cooper Ave, New York NY 11385.</t>
  </si>
  <si>
    <t>No used</t>
  </si>
  <si>
    <t>Yudelkys Torres</t>
  </si>
  <si>
    <t>65-04 Cooper Ave, Nueva York NY 11385.</t>
  </si>
  <si>
    <t>International High School for Health Sciences.</t>
  </si>
  <si>
    <t>48-01 90 St</t>
  </si>
  <si>
    <t>Arts/Creative and Business</t>
  </si>
  <si>
    <t>The job was in a deli in my country, I worked for a year.</t>
  </si>
  <si>
    <t>systems engineering, Technology, business, art, something related with the music industry.</t>
  </si>
  <si>
    <t>Get better</t>
  </si>
  <si>
    <t>Respectful, Focus, Serious.</t>
  </si>
  <si>
    <t>Organization, Creativity, and responsable.</t>
  </si>
  <si>
    <t>My name is Frailyn Cruz, a young Dominican who lives in the United States. I really like mutual respect and I think the best way to solve problems is by talking. If I am interested in something, I can focus and do it very well and learn quickly.</t>
  </si>
  <si>
    <t>83.27%</t>
  </si>
  <si>
    <t>qx83p57e0dt19qx3kv3qx83p58hf5s6d</t>
  </si>
  <si>
    <t>Navier</t>
  </si>
  <si>
    <t>2023_navierrojas@ihs-us.org</t>
  </si>
  <si>
    <t>+13479868613</t>
  </si>
  <si>
    <t>72 Clinton, NY, 1002</t>
  </si>
  <si>
    <t>Kenya Reyes</t>
  </si>
  <si>
    <t>Reyeskenya57@gmail.com</t>
  </si>
  <si>
    <t>72 Clinton, NY, 10002</t>
  </si>
  <si>
    <t>+16463844331</t>
  </si>
  <si>
    <t>INTERNACIONAL HIGH SCHOOL AT UNION SQUARE</t>
  </si>
  <si>
    <t>4 and 11 months</t>
  </si>
  <si>
    <t>Analist System Computer</t>
  </si>
  <si>
    <t>Trabajar en empresas.</t>
  </si>
  <si>
    <t>I Don't know</t>
  </si>
  <si>
    <t>No estoy interesada en otras.</t>
  </si>
  <si>
    <t>Especifico</t>
  </si>
  <si>
    <t>Amable, consigo lo que me propongo, fuerte</t>
  </si>
  <si>
    <t>Ser fuerte, valiente y independiente.</t>
  </si>
  <si>
    <t>75.74%</t>
  </si>
  <si>
    <t>xjyxcgqxt4dtwr0z3bpxjy0i2qs95uad</t>
  </si>
  <si>
    <t>Wasin</t>
  </si>
  <si>
    <t>Shihab</t>
  </si>
  <si>
    <t>wasinshihab@gmail.com</t>
  </si>
  <si>
    <t>+19298108070</t>
  </si>
  <si>
    <t>2426 Fuller street 1F, Bronx NY, 10461</t>
  </si>
  <si>
    <t>www.facebook.com/wasinshihab</t>
  </si>
  <si>
    <t>Tahmina Imam</t>
  </si>
  <si>
    <t>asraful1234@gmail.com</t>
  </si>
  <si>
    <t>+16466737164</t>
  </si>
  <si>
    <t>40 Irving place NY, NY 10003</t>
  </si>
  <si>
    <t>Bengali and English</t>
  </si>
  <si>
    <t>Physician or Researcher</t>
  </si>
  <si>
    <t>I was working in a restaurant at the front orders are taken. I learned about the job opening through my sibling and applied for it.</t>
  </si>
  <si>
    <t>Yale, Columbia, NYU, UCLA, Macaulay Honors,</t>
  </si>
  <si>
    <t>Surgeon, Nurse, Dentist, Anesthesiologists, Pediatricians, Scientist, Biomedical Engineering</t>
  </si>
  <si>
    <t>By the end of this internship I would like to have know exactly how to become physician. My goal is measurable because there are multiple steps that it takes to approach the physician job. My goal is attainable because becoming a physician requires steps to follow. It is also relevant because it's what I feel passionate about and I want to explore it as much as I can. I need to know these steps since college is approaching fast so that I am prepared.</t>
  </si>
  <si>
    <t>Learn about careers, Get coaches and mentors who can help me with college and career, Gain skills I can use at a future job</t>
  </si>
  <si>
    <t>Passionate, Productive, and Proactive</t>
  </si>
  <si>
    <t>Patience, Understanding, and Organized</t>
  </si>
  <si>
    <t>I would love to meet someone who is the career that I would like to pursue. It would help me a lot as I would learn about what the future I'm choosing has in store for me and how I can achieve it.</t>
  </si>
  <si>
    <t>I feel supported and understood.</t>
  </si>
  <si>
    <t>6fhx545j8vqfo3o7vog6fhx5dqytue0x</t>
  </si>
  <si>
    <t>Andrea</t>
  </si>
  <si>
    <t>Guevara</t>
  </si>
  <si>
    <t>2023_andreaguevara@ihs-us.org</t>
  </si>
  <si>
    <t>+13476845166</t>
  </si>
  <si>
    <t>69-56 44th Ave, Woodside, NY 11377</t>
  </si>
  <si>
    <t>Insta: a.904_</t>
  </si>
  <si>
    <t>Alessandra Pedroni</t>
  </si>
  <si>
    <t>Alessandrapedroni54@gmail.com</t>
  </si>
  <si>
    <t>69-56 44th Ave, Woodside NY 11377</t>
  </si>
  <si>
    <t>+13475496430</t>
  </si>
  <si>
    <t>My mom and I arrived at the same time 2 years and 7 months ago</t>
  </si>
  <si>
    <t>Trabaje en McDonald's este verano como un Part Time</t>
  </si>
  <si>
    <t>LaGuardia Community College, Baruch College, Hunter College, Lehman College CUNY,</t>
  </si>
  <si>
    <t>Hoteleria y Turismo, Diseño grafico, Fotografia.</t>
  </si>
  <si>
    <t>Llegar mas temprano al colegio, mejorar mi habla en el ingles y  participar mas en clases.</t>
  </si>
  <si>
    <t>Get coaches and mentors who can help me with college and career, Learn about colleges, Learn about careers, Gain skills I can use at a future job, Get an internship, Make new friends</t>
  </si>
  <si>
    <t>Sociable, valiente, carinosa</t>
  </si>
  <si>
    <t>Independiente, fuerte, creativa</t>
  </si>
  <si>
    <t>TPS</t>
  </si>
  <si>
    <t>83.85%</t>
  </si>
  <si>
    <t>rnmderaj8ldyv2e5b9wrnm7qk97yxxgs</t>
  </si>
  <si>
    <t>Leo</t>
  </si>
  <si>
    <t>Monnier</t>
  </si>
  <si>
    <t>2023_leomonnier@ihs-us.org</t>
  </si>
  <si>
    <t>+19292586738</t>
  </si>
  <si>
    <t>82-84 Havemeyer Street, NY,  Brooklyn 11211</t>
  </si>
  <si>
    <t>Message, Facebook, Whatsapp.</t>
  </si>
  <si>
    <t>Solange Monnier.</t>
  </si>
  <si>
    <t>solangemonnier@gmail.com</t>
  </si>
  <si>
    <t>+19294017828</t>
  </si>
  <si>
    <t>My mom was born in France and I born in Vietnam.</t>
  </si>
  <si>
    <t>about 40 years ago</t>
  </si>
  <si>
    <t>Energy exchange is to help customers and make sure everything is safe</t>
  </si>
  <si>
    <t>Not sure but is in New York City</t>
  </si>
  <si>
    <t>Electrical engineer, that is all I like.</t>
  </si>
  <si>
    <t>get 90 to 95</t>
  </si>
  <si>
    <t>Ethical, Friendly, Extroverted.</t>
  </si>
  <si>
    <t>Learn, have more skills about that profession and vision.</t>
  </si>
  <si>
    <t>Connected and like I belong.</t>
  </si>
  <si>
    <t>90.35%</t>
  </si>
  <si>
    <t>r3k885xonlliu5ur3k8858duyqap5fqx</t>
  </si>
  <si>
    <t>Vy</t>
  </si>
  <si>
    <t>Vo</t>
  </si>
  <si>
    <t>2023_vyvo@ihs-us.org</t>
  </si>
  <si>
    <t>+16463994121</t>
  </si>
  <si>
    <t>110 E 129TH ST APT 4H, New York NY 10035-1322</t>
  </si>
  <si>
    <t>Facebook, Instagram,</t>
  </si>
  <si>
    <t>Vo Duc Minh</t>
  </si>
  <si>
    <t>minhvo70@yahoo.com</t>
  </si>
  <si>
    <t>110 E 129TH ST APT 4H, NEW YORK NY 10035- 1322</t>
  </si>
  <si>
    <t>+16469532696</t>
  </si>
  <si>
    <t>30 year</t>
  </si>
  <si>
    <t>Fashion Designer,</t>
  </si>
  <si>
    <t>Makeup industry, Flight attendant</t>
  </si>
  <si>
    <t>I will improve my overall average by 20 points form 75 to 95 by applying the skill I learn in my academic work by the end of the school year.</t>
  </si>
  <si>
    <t>Gain skills I can use at a future job, Get an internship, Get coaches and mentors who can help me with college and career, Learn about careers, Make new friends</t>
  </si>
  <si>
    <t>friendly, funny, sensitive</t>
  </si>
  <si>
    <t>Creativity, Communicate, Collaboration.</t>
  </si>
  <si>
    <t>76.96</t>
  </si>
  <si>
    <t>sys02dnnof1bl5n6pwgx0sys02o6w8fo</t>
  </si>
  <si>
    <t>Amelia</t>
  </si>
  <si>
    <t>ameliarodriguezc64@gmail.com</t>
  </si>
  <si>
    <t>+15166014346</t>
  </si>
  <si>
    <t>210-05 94th ave, Queens, NY 11428</t>
  </si>
  <si>
    <t>Adelina Cabrera</t>
  </si>
  <si>
    <t>adelinacabrera10324@gmail.com</t>
  </si>
  <si>
    <t>+15166015365</t>
  </si>
  <si>
    <t>International high School for Health Science</t>
  </si>
  <si>
    <t>48-01 90th st</t>
  </si>
  <si>
    <t>Veterinarian</t>
  </si>
  <si>
    <t>Veterinarian, psychologist or criminology</t>
  </si>
  <si>
    <t>Queens College, ​​York College, Hunter College, LaGuardia Community College, Brooklyn College, The City College of New York (CCNY), College of Staten Island, Queensborough Community College, Lehman College, Kingsborough Community College</t>
  </si>
  <si>
    <t>Real Estate or medicine.</t>
  </si>
  <si>
    <t>SPECIFIC: I will improve my leadership skills, MEASURABLE: organize and lead my first circle (from my circle keeper club), ATTAINABLE: Lead my first circle, RELEVANT: by using the skill and advice I get from my champions, TIMELY: by the end of the school year.</t>
  </si>
  <si>
    <t>Calm (I'm a calm person), responsible (I like to fulfill all my responsibilities), Punctual ( I like to be on time)</t>
  </si>
  <si>
    <t>Communication, Fellowship and punctual</t>
  </si>
  <si>
    <t>I don't think there is anything else that is relevant to this topic that I could tell you.</t>
  </si>
  <si>
    <t>rdpke4rtunmnglcbq91rdpke4rau3kq6</t>
  </si>
  <si>
    <t>Yanquel</t>
  </si>
  <si>
    <t>yankelhernandez596@gmail.com</t>
  </si>
  <si>
    <t>+16469403197</t>
  </si>
  <si>
    <t>80-20 88th Ave, Jamaica, NY, 11421</t>
  </si>
  <si>
    <t>Instagram jhonhern9ndez_</t>
  </si>
  <si>
    <t>Carlos Roberto Hernandez Cruz</t>
  </si>
  <si>
    <t>ch6365079@gmail.com</t>
  </si>
  <si>
    <t>+16469403803</t>
  </si>
  <si>
    <t>48-01 90th St,</t>
  </si>
  <si>
    <t>Architecture / graphic design</t>
  </si>
  <si>
    <t>It would be to be a graphic designer.</t>
  </si>
  <si>
    <t>Stewardess, Service and hospitality (in hotels), Modeling (in photography), Art teacher and Industrial mechanics.</t>
  </si>
  <si>
    <t>Improve my grades to a moderate grade of at least 3.4 to a 90-94 by applying it with my work and extra school credit at the end of the year.</t>
  </si>
  <si>
    <t>Creative, Cheerful and Honesty</t>
  </si>
  <si>
    <t>Creative thoughts, Managing emotions and feelings and starting a conversation.</t>
  </si>
  <si>
    <t>Nothing for the moment</t>
  </si>
  <si>
    <t>0h79pfkceu8una9bhrz0h79pf91mwd7g</t>
  </si>
  <si>
    <t>Yannelle</t>
  </si>
  <si>
    <t>Kunakey</t>
  </si>
  <si>
    <t>yannellekunakey@gmail.com</t>
  </si>
  <si>
    <t>+13475458543</t>
  </si>
  <si>
    <t>8420 Pitkin avenue apt 1R Ozone Park 11417</t>
  </si>
  <si>
    <t>IG- likesweet_verane, Facebook- Yannelle Kevy</t>
  </si>
  <si>
    <t>Suzanne Dalmeida</t>
  </si>
  <si>
    <t>verane05@hotmail.com</t>
  </si>
  <si>
    <t>+13472798447</t>
  </si>
  <si>
    <t>4801 90th St</t>
  </si>
  <si>
    <t>Benin</t>
  </si>
  <si>
    <t>Pediatrician, Fashion, Child care</t>
  </si>
  <si>
    <t>My job was to be a teacher-assistant for a middle school called 4200 16th Ave, Brooklyn, NY 11219, I know it thanks to the SYEP program last summer</t>
  </si>
  <si>
    <t>Harvest university, Hunter college, Columbia university (since those are the only ones that I know)</t>
  </si>
  <si>
    <t>I don’t really have goal right now, but I am hoping on doing a good job !</t>
  </si>
  <si>
    <t>I always try my best, I also work really hard when it is needed, and I am doing everything I can to archive my goals, because this is the necessary I can do to have a good grade.</t>
  </si>
  <si>
    <t>Assistance, Support and Helper!</t>
  </si>
  <si>
    <t>Nothings !</t>
  </si>
  <si>
    <t>Doe</t>
  </si>
  <si>
    <t>3.0 (86.9)</t>
  </si>
  <si>
    <t>2z7uw6ixdjs3wv8w2z7u5f2jfdzpsbon</t>
  </si>
  <si>
    <t>Hamzah</t>
  </si>
  <si>
    <t>Saleh</t>
  </si>
  <si>
    <t>hamzahsaleh2006@gmail.com</t>
  </si>
  <si>
    <t>+13474532972</t>
  </si>
  <si>
    <t>165 Sherman Ave New York, NY 10034</t>
  </si>
  <si>
    <t>Abdulghani Saleh and Hialh Saleh</t>
  </si>
  <si>
    <t>hialhisa@gmail.com</t>
  </si>
  <si>
    <t>+16466488202</t>
  </si>
  <si>
    <t>511 W 182nd St New York, NY 10033</t>
  </si>
  <si>
    <t>Arabic and English</t>
  </si>
  <si>
    <t>Internal medicine doctor</t>
  </si>
  <si>
    <t>To be a doctor</t>
  </si>
  <si>
    <t>Queens college, St. Johns University, Columbia, Fordham University that’s all I have in mind for now</t>
  </si>
  <si>
    <t>Business man and an engineer</t>
  </si>
  <si>
    <t>My goal is to learn how to manage my time, an idea of what college and medical school looks like since I want to become a doctor and how much effort it takes to go to college and be a doctor by the end of the program.</t>
  </si>
  <si>
    <t>Smart, nice and helpful</t>
  </si>
  <si>
    <t>I have a passion for learning, whether that is in academics or electives. I think my background knowledge would be a good baseline to discover more and new things. I am a good listener and can pay full attention to my mentors. I am open-minded and willing to learn as much as I can from my peers and mentors.</t>
  </si>
  <si>
    <t>89.41%</t>
  </si>
  <si>
    <t>v9ha22te7lzh70zv92uuifie1lnxu8jc</t>
  </si>
  <si>
    <t>Dania</t>
  </si>
  <si>
    <t>Alshami</t>
  </si>
  <si>
    <t>daniaalshami4@icloud.com</t>
  </si>
  <si>
    <t>+12676940894</t>
  </si>
  <si>
    <t>1504 Creswood Rd</t>
  </si>
  <si>
    <t>Rania AbuHarthieh</t>
  </si>
  <si>
    <t>rabuharthieh@yahoo.com</t>
  </si>
  <si>
    <t>+12157460068</t>
  </si>
  <si>
    <t>10175 Bustleton Ave, Philadelphia, PA 19116, United States</t>
  </si>
  <si>
    <t>Jordan</t>
  </si>
  <si>
    <t>Interior design</t>
  </si>
  <si>
    <t>Crew member</t>
  </si>
  <si>
    <t>Penn state, University of Pennsylvania, Drexel university, temple university, Lasalle university</t>
  </si>
  <si>
    <t>Interior design, designing, party planning, artitucture engineering</t>
  </si>
  <si>
    <t>At the end of the school year, I will know what my dream job will be passed on what my passion is on.</t>
  </si>
  <si>
    <t>Loyalty, good listener, honest</t>
  </si>
  <si>
    <t>The ability to learn fast, the ability to be the leader, the ability to get used to different conditions</t>
  </si>
  <si>
    <t>Fine</t>
  </si>
  <si>
    <t>3.95</t>
  </si>
  <si>
    <t>yd2m82zxu2su1l2yd2m81n5ug3md3pea</t>
  </si>
  <si>
    <t>Yiengchuk</t>
  </si>
  <si>
    <t>Dorji</t>
  </si>
  <si>
    <t>yiengchukdorji123@gmail.com</t>
  </si>
  <si>
    <t>+16462095546</t>
  </si>
  <si>
    <t>94-18-55th av elmhurt 11371</t>
  </si>
  <si>
    <t>instagram- y_dorji_y facecbook- Yiengchuk Yuden Dorji</t>
  </si>
  <si>
    <t>shearb Dorji and kinley wangmo</t>
  </si>
  <si>
    <t>dorjishearb@gmail.com</t>
  </si>
  <si>
    <t>94-18-55th Av 11373 elmhurt, NY</t>
  </si>
  <si>
    <t>+19292648863</t>
  </si>
  <si>
    <t>The international high school for health science</t>
  </si>
  <si>
    <t>Bhutan</t>
  </si>
  <si>
    <t>13 years ago</t>
  </si>
  <si>
    <t>I am bhutanese</t>
  </si>
  <si>
    <t>Dzongkha</t>
  </si>
  <si>
    <t>I want to be a doctor and politics or a law</t>
  </si>
  <si>
    <t>Doctor and politics</t>
  </si>
  <si>
    <t>St jhones, aims, Hunter, up states, NYU,York college, brooklyn,​​University Of British Columbia,Queen's University</t>
  </si>
  <si>
    <t>doctor, politics, lawyer,busniese women, owners, scientist</t>
  </si>
  <si>
    <t>to be caring and helpful for someone</t>
  </si>
  <si>
    <t>Get an internship, Make new friends, Get coaches and mentors who can help me with college and career, Gain skills I can use at a future job</t>
  </si>
  <si>
    <t>nice, smart, caring</t>
  </si>
  <si>
    <t>Caring, helpful, and careful</t>
  </si>
  <si>
    <t>It was important to be because i can gain a  lot of experience thru this and if its like a carrer related i can get an idea what i'm going for it can show the people from my school what i'm going  for and whats my instrest</t>
  </si>
  <si>
    <t>nrjvd3xcjhbk8e5kt8m0yfnrjvd3bw79</t>
  </si>
  <si>
    <t>subham</t>
  </si>
  <si>
    <t>saud</t>
  </si>
  <si>
    <t>subhamsaud66@gmail.com</t>
  </si>
  <si>
    <t>97-22 57th ave</t>
  </si>
  <si>
    <t>tek saud</t>
  </si>
  <si>
    <t>tsaud432@gmail.com</t>
  </si>
  <si>
    <t>97-22 57 th ave lifrak city queen nyc 11368</t>
  </si>
  <si>
    <t>+13472965424</t>
  </si>
  <si>
    <t>international high school for science health</t>
  </si>
  <si>
    <t>48-01 90th street</t>
  </si>
  <si>
    <t>nepal</t>
  </si>
  <si>
    <t>nepali</t>
  </si>
  <si>
    <t>business or finance</t>
  </si>
  <si>
    <t>Computer programmer, business person, finance, banker, engineer</t>
  </si>
  <si>
    <t>I would like to become more comfortable speaking by June of this year.</t>
  </si>
  <si>
    <t>Smart, analytical, responsible</t>
  </si>
  <si>
    <t>focus, discipline and communication</t>
  </si>
  <si>
    <t>I am looking forward to this program.</t>
  </si>
  <si>
    <t>hindu</t>
  </si>
  <si>
    <t>oiw71htaid8d50jxsoiw71h9jaym4nnu</t>
  </si>
  <si>
    <t>Jhon</t>
  </si>
  <si>
    <t>jhonfila343@gmail.com</t>
  </si>
  <si>
    <t>+19294718042</t>
  </si>
  <si>
    <t>37 26 101St 11368 Queens NYC</t>
  </si>
  <si>
    <t>Jhon Fila</t>
  </si>
  <si>
    <t>+19294715642</t>
  </si>
  <si>
    <t>48-01 980th Street, Queens NY 11373</t>
  </si>
  <si>
    <t>I was a packer</t>
  </si>
  <si>
    <t>I want to learn more English and finish high school and go to the army</t>
  </si>
  <si>
    <t>good boy, helper, ordered because I know how I am and those are the words that describe me</t>
  </si>
  <si>
    <t>be fast, think fast, and smart</t>
  </si>
  <si>
    <t>C</t>
  </si>
  <si>
    <t>6te61q4mjok2k6m6te6mrl8jqhunii8s</t>
  </si>
  <si>
    <t>Ilsy</t>
  </si>
  <si>
    <t>ilsyilsy804@gmail.com</t>
  </si>
  <si>
    <t>+16467300242</t>
  </si>
  <si>
    <t>164-07 109  AVE Jamaica. NYC 11433</t>
  </si>
  <si>
    <t>Susana Alvarado</t>
  </si>
  <si>
    <t>+16469534639</t>
  </si>
  <si>
    <t>4801 90 street</t>
  </si>
  <si>
    <t>2 Years</t>
  </si>
  <si>
    <t>Neurosurgeon, Doctor,  Or Stewardess</t>
  </si>
  <si>
    <t>Nurse, Army, Teacher of GYM</t>
  </si>
  <si>
    <t>I want to improve my math average from 70, increase 10 points so that it reaches 80 in order to achieve it I have to be attentive in class and arrive more on time.</t>
  </si>
  <si>
    <t>Sincere, Collaborative Creative, Compassionate.</t>
  </si>
  <si>
    <t>Compassion, Empathy.</t>
  </si>
  <si>
    <t>Chistianity</t>
  </si>
  <si>
    <t>o64j0juzb7a4mcsauogsst7ymp8ka4uv</t>
  </si>
  <si>
    <t>Shirley</t>
  </si>
  <si>
    <t>Cullqui</t>
  </si>
  <si>
    <t>cullquishirley01@gmail.com</t>
  </si>
  <si>
    <t>+13477075358</t>
  </si>
  <si>
    <t>35 11 93rd St   Jackson Heights 11372</t>
  </si>
  <si>
    <t>shirley_16c</t>
  </si>
  <si>
    <t>Narvaez Norma</t>
  </si>
  <si>
    <t>narvaez091287@gmail.com</t>
  </si>
  <si>
    <t>11372</t>
  </si>
  <si>
    <t>+19293665461</t>
  </si>
  <si>
    <t>48-01 90th Street</t>
  </si>
  <si>
    <t>Christany</t>
  </si>
  <si>
    <t>Psychology,Arts,Detective.</t>
  </si>
  <si>
    <t>1=not prepared</t>
  </si>
  <si>
    <t>). Arts,Consolator,Teacher of yoga</t>
  </si>
  <si>
    <t>Gradute oincrese  me gpa</t>
  </si>
  <si>
    <t>What describes me is that I am very shy, I find it difficult to talk or socialize.</t>
  </si>
  <si>
    <t>a know</t>
  </si>
  <si>
    <t>zuhgeo79ecqsc0w2jpzuh57ckhbnjnm1</t>
  </si>
  <si>
    <t>Erika</t>
  </si>
  <si>
    <t>matiaserika841@gmail.com</t>
  </si>
  <si>
    <t>+13474000794</t>
  </si>
  <si>
    <t>108 48-38av Queens NY 11368</t>
  </si>
  <si>
    <t>Oralia Cardona</t>
  </si>
  <si>
    <t>cardonaoralia92@gmail.com</t>
  </si>
  <si>
    <t>+19292619088</t>
  </si>
  <si>
    <t>International High School Health  Science</t>
  </si>
  <si>
    <t>dental assistant</t>
  </si>
  <si>
    <t>bussines , health</t>
  </si>
  <si>
    <t>My goal is to learn something new and see if I like this career so that in the future I can study it at university.</t>
  </si>
  <si>
    <t>Get an internship, Learn about careers</t>
  </si>
  <si>
    <t>?</t>
  </si>
  <si>
    <t>I like to ask questions, I help, I give support, I am supportive, kind</t>
  </si>
  <si>
    <t>j90t6ytj33siymmvj9042jmv9vky6iml</t>
  </si>
  <si>
    <t>luis</t>
  </si>
  <si>
    <t>chimbo</t>
  </si>
  <si>
    <t>2023_luischimbo@ihs-us.org</t>
  </si>
  <si>
    <t>+13323311467</t>
  </si>
  <si>
    <t>1153 Wheeler Avenue, Bronx, NY</t>
  </si>
  <si>
    <t>Janeth Camas</t>
  </si>
  <si>
    <t>luis228138@gmail.com</t>
  </si>
  <si>
    <t>1153 Wheeler Avenue, Bronx, NY 10472</t>
  </si>
  <si>
    <t>+13478676588</t>
  </si>
  <si>
    <t>international high school at union square</t>
  </si>
  <si>
    <t>robotic engineer</t>
  </si>
  <si>
    <t>robotic engineer: is about technology and something like that</t>
  </si>
  <si>
    <t>Northeastern University (Boston, MA), University of Pennsylvania (Philadelphia, PA),Stevens Institute of Technology (Hoboken, NJ)</t>
  </si>
  <si>
    <t>robotic engineer or detective</t>
  </si>
  <si>
    <t>create or disige a robot</t>
  </si>
  <si>
    <t>read, pay atention</t>
  </si>
  <si>
    <t>never give up and all of the time be punctuality</t>
  </si>
  <si>
    <t>I don't think so</t>
  </si>
  <si>
    <t>safe and confortable</t>
  </si>
  <si>
    <t>89.26%</t>
  </si>
  <si>
    <t>zy33tbzo5lu50exjgfa2zy33p1arb7j4</t>
  </si>
  <si>
    <t>Alessandro</t>
  </si>
  <si>
    <t>Pineda</t>
  </si>
  <si>
    <t>alessandrosxdp@gmail.com</t>
  </si>
  <si>
    <t>+19295281550</t>
  </si>
  <si>
    <t>118-45 Metropolitan Ave. Apt 10B Kew Gardens, NY, 11415</t>
  </si>
  <si>
    <t>Wendy Hernandez</t>
  </si>
  <si>
    <t>wdpineda@gmail.com</t>
  </si>
  <si>
    <t>+19175864916</t>
  </si>
  <si>
    <t>48-01 9th st</t>
  </si>
  <si>
    <t>3 years ago.</t>
  </si>
  <si>
    <t>System Engineer.</t>
  </si>
  <si>
    <t>I work in a supermarket and I got there by going in and ask for the job.</t>
  </si>
  <si>
    <t>I don't know the names</t>
  </si>
  <si>
    <t>No other careers, I want to be a System Engineer.</t>
  </si>
  <si>
    <t>I will improve my grades by 0.7 to get it from 3.3 to 4.0 by doing all my work on time and finish everything good by the end of the school year.</t>
  </si>
  <si>
    <t>Gain skills I can use at a future job, Get an internship, Make new friends, Learn about colleges, Get coaches and mentors who can help me with college and career</t>
  </si>
  <si>
    <t>Enthusiastic
Fast learner
Responsible</t>
  </si>
  <si>
    <t>I learn fast
I know a lot about computers
I always listen to the experts</t>
  </si>
  <si>
    <t>I would love to get a job based on the career I want.</t>
  </si>
  <si>
    <t>uv1hb3mkb0c9ukj8grj3auv1hb3cagqz</t>
  </si>
  <si>
    <t>Mehedi</t>
  </si>
  <si>
    <t>Hasan</t>
  </si>
  <si>
    <t>mehedihasan200516@gmail.com</t>
  </si>
  <si>
    <t>+19292061542</t>
  </si>
  <si>
    <t>88-19 219st ,Queens village. NY 11427</t>
  </si>
  <si>
    <t>Fatima Jannath</t>
  </si>
  <si>
    <t>noosrat.jahan17@gmail.com</t>
  </si>
  <si>
    <t>88-19 219st, Queens village ,NY 11427</t>
  </si>
  <si>
    <t>+13472413502</t>
  </si>
  <si>
    <t>IHSHS</t>
  </si>
  <si>
    <t>48-01 90th St, Queens, NY 11421</t>
  </si>
  <si>
    <t>Tech manager</t>
  </si>
  <si>
    <t>something on a tech field</t>
  </si>
  <si>
    <t>QC, UB for now</t>
  </si>
  <si>
    <t>tech manager, doctorate, coder</t>
  </si>
  <si>
    <t>l will use the my skill that I acquired from my mentor in the school or outside the school and Also I want to increase my knowledge about the career am interested in</t>
  </si>
  <si>
    <t>helpful, friendly, approachable</t>
  </si>
  <si>
    <t>determination, acceptance and devotion</t>
  </si>
  <si>
    <t>I am sometime close minded but I am open to any suggestion that are recommended to me.</t>
  </si>
  <si>
    <t>y0gbbpxwfxmjt8v2ppzy0gbbdxa8xbsn</t>
  </si>
  <si>
    <t>51-17 58th place ,NY, Woodside, 11377</t>
  </si>
  <si>
    <t>paulita_ac (instagram)</t>
  </si>
  <si>
    <t>51-17 58th place ,NY ,Woodside, 11377</t>
  </si>
  <si>
    <t>International High School of Health Sciences</t>
  </si>
  <si>
    <t>48-01 90th st, Queens, NY, 11421</t>
  </si>
  <si>
    <t>Cuenca, Ecuador</t>
  </si>
  <si>
    <t>The city college of New York, Community college, Baruch college, University of California Los Angeles, Los Angeles City College, Columbia University, Manhattan College</t>
  </si>
  <si>
    <t>I will improve my GPA by 5 points from 3.0 to 3.5 ,I will do this by learning and applying the skills that i am gonna learn in this program by the end of the year.</t>
  </si>
  <si>
    <t>Patient, peaceful, compressive</t>
  </si>
  <si>
    <t>social skills, communication skills</t>
  </si>
  <si>
    <t>I would like to match with a person that had experiences in international business and have been travel around the world doing this and also that can help me to know more about the career.</t>
  </si>
  <si>
    <t>Supported, Connected, Like I belong,</t>
  </si>
  <si>
    <t>kcphyrpgr9h4ie4ejsmkcph06ml5au3q</t>
  </si>
  <si>
    <t>Dipson</t>
  </si>
  <si>
    <t>Khatri Chhetri</t>
  </si>
  <si>
    <t>dipsuit4@gmail.com</t>
  </si>
  <si>
    <t>+13474597421</t>
  </si>
  <si>
    <t>42-18 forley st, Elmhurst, New york, 11373</t>
  </si>
  <si>
    <t>Anil khatri chhetri</t>
  </si>
  <si>
    <t>kcanil127@gmail.com</t>
  </si>
  <si>
    <t>+16468297109</t>
  </si>
  <si>
    <t>No there is nothing else I would like to tell you about my race/ethnicity/nationality.</t>
  </si>
  <si>
    <t>Business, Real state, mechanic, military and Doctor.</t>
  </si>
  <si>
    <t>Business, Real state, military, Mechanic and Doctor.</t>
  </si>
  <si>
    <t>Columbia University, Hunter</t>
  </si>
  <si>
    <t>Research, Plan, Get money, motivation, have new experiences.</t>
  </si>
  <si>
    <t>Get an internship, Get coaches and mentors who can help me with college and career, Gain skills I can use at a future job, Learn about careers, Make new friends</t>
  </si>
  <si>
    <t>Leaner, wise, calm</t>
  </si>
  <si>
    <t>Collaborative, Engaging and Rewarding.</t>
  </si>
  <si>
    <t>I am great learner.</t>
  </si>
  <si>
    <t>6fdw52bhiywzy8cu6fdw52bzmkuztpu7</t>
  </si>
  <si>
    <t>Yamile</t>
  </si>
  <si>
    <t>Bastidas</t>
  </si>
  <si>
    <t>analien006@gmail.com</t>
  </si>
  <si>
    <t>+13475266223</t>
  </si>
  <si>
    <t>72-07 73rd St Glendale, NY 11385</t>
  </si>
  <si>
    <t>Insta- Viperiorrr</t>
  </si>
  <si>
    <t>Milton Bastidas</t>
  </si>
  <si>
    <t>milbas2017@gmail.com</t>
  </si>
  <si>
    <t>+16469544207</t>
  </si>
  <si>
    <t>International High School For Health And Science</t>
  </si>
  <si>
    <t>Being a detective</t>
  </si>
  <si>
    <t>I dont know but i do know one Jhon Jay College</t>
  </si>
  <si>
    <t>Detective, Forensics</t>
  </si>
  <si>
    <t>I wanna improve my total average mostly to not drop my GPA and learned from my Champion</t>
  </si>
  <si>
    <t>Friendly i am nice to new people Interesting because when i do want to learn about a topic i will take the topic seriously and Shy mostly because it is hard for me to meet new people</t>
  </si>
  <si>
    <t>Interesting because if i put my best effort it will come out as good as i thought it should come</t>
  </si>
  <si>
    <t>My community makes me feel like i belong here</t>
  </si>
  <si>
    <t>3.6</t>
  </si>
  <si>
    <t>1k7ntgeznr6qtbnv81k7ntrptimjgf39</t>
  </si>
  <si>
    <t>Axel</t>
  </si>
  <si>
    <t>Almonte</t>
  </si>
  <si>
    <t>axeljuniellalmonte20@gmail.com</t>
  </si>
  <si>
    <t>+19294025133</t>
  </si>
  <si>
    <t>112-23 francis lewis blvd Queens New York 11429</t>
  </si>
  <si>
    <t>Whatsapp</t>
  </si>
  <si>
    <t>Daihana Taveras</t>
  </si>
  <si>
    <t>+16464643347</t>
  </si>
  <si>
    <t>International high school for health and science.</t>
  </si>
  <si>
    <t>Business, graphical designer, technology, architect</t>
  </si>
  <si>
    <t>My goal is to have all my grades in 3 for the rest of the year by pay attention in all my classes.</t>
  </si>
  <si>
    <t>Funny, Educated and responsible</t>
  </si>
  <si>
    <t>Focused, patient and empathy</t>
  </si>
  <si>
    <t>nallcn28bxkp5bbl2xis87rnallcnpu4</t>
  </si>
  <si>
    <t>Europe</t>
  </si>
  <si>
    <t>Oli</t>
  </si>
  <si>
    <t>EuropeO@nycstudents.net</t>
  </si>
  <si>
    <t>+19294625713</t>
  </si>
  <si>
    <t>48-15 46th st woodside, NY 11377</t>
  </si>
  <si>
    <t>Nanda Oli</t>
  </si>
  <si>
    <t>nandram99@yahoo.com</t>
  </si>
  <si>
    <t>48-15 46th st Woodside, NY 11377</t>
  </si>
  <si>
    <t>+19294215400</t>
  </si>
  <si>
    <t>sport</t>
  </si>
  <si>
    <t>I wanna improve my overall average</t>
  </si>
  <si>
    <t>Active, Hardworking and Smart.</t>
  </si>
  <si>
    <t>my thinking skills</t>
  </si>
  <si>
    <t>3mvz2b12zleanjj4383mvz5mt246n1hi</t>
  </si>
  <si>
    <t>samira</t>
  </si>
  <si>
    <t>vivas</t>
  </si>
  <si>
    <t>2023_samiracuerovivas@ihs-us.org</t>
  </si>
  <si>
    <t>+19172540041</t>
  </si>
  <si>
    <t>22 E 112th St, New York,NY 10029</t>
  </si>
  <si>
    <t>@Alexvivas.18</t>
  </si>
  <si>
    <t>Alexander Cuero</t>
  </si>
  <si>
    <t>Zionalex83@gmail.com</t>
  </si>
  <si>
    <t>22 E 112th St, New York, 10029</t>
  </si>
  <si>
    <t>+16469279848</t>
  </si>
  <si>
    <t>International High School at union Square</t>
  </si>
  <si>
    <t>40 irving Pl,New York, NY 10003</t>
  </si>
  <si>
    <t>He born here</t>
  </si>
  <si>
    <t>Pediatrics</t>
  </si>
  <si>
    <t>Pediatrics general</t>
  </si>
  <si>
    <t>CUNY School of Medicine</t>
  </si>
  <si>
    <t>pediatrician kindergarten teacher</t>
  </si>
  <si>
    <t>One of my goals is to have my grades high as now  I have them in B or C but I would like to have them in A and more. of Science</t>
  </si>
  <si>
    <t>kind , patient, friendly.</t>
  </si>
  <si>
    <t>I like kids 
patience</t>
  </si>
  <si>
    <t>okay</t>
  </si>
  <si>
    <t>catcholicism</t>
  </si>
  <si>
    <t>6ud4kwm9nqg1924ytvs26v6ud40xoha7</t>
  </si>
  <si>
    <t>Romero</t>
  </si>
  <si>
    <t>ar6152262@gmail.com</t>
  </si>
  <si>
    <t>+19296033172</t>
  </si>
  <si>
    <t>116-51 147th jamiaca QUEENS NY 11436</t>
  </si>
  <si>
    <t>Armando gil</t>
  </si>
  <si>
    <t>Maria del carmen</t>
  </si>
  <si>
    <t>wesleyhoffman1969@gmail.com</t>
  </si>
  <si>
    <t>+17186624507</t>
  </si>
  <si>
    <t>Internacional High School for Health Science</t>
  </si>
  <si>
    <t>48-01 90th St Queens NY 11421</t>
  </si>
  <si>
    <t>Mecanic industrial</t>
  </si>
  <si>
    <t>I work in a supermarket</t>
  </si>
  <si>
    <t>mecanic industrial</t>
  </si>
  <si>
    <t>Specific: I will improve my GPA, Measurable: by 3 points, Attainable: from a 2.7 to a 3.00, Relevant: by working hard, Timely: by the end do the school year</t>
  </si>
  <si>
    <t>honest, kind, friendly</t>
  </si>
  <si>
    <t>communication, collaboration, patience</t>
  </si>
  <si>
    <t>gujztokc30g7eskpi1cp1gujzlmpe83c</t>
  </si>
  <si>
    <t>Afrin</t>
  </si>
  <si>
    <t>Tripti</t>
  </si>
  <si>
    <t>afrint4@nycstudents.net</t>
  </si>
  <si>
    <t>+19294016204</t>
  </si>
  <si>
    <t>33-35 76th street apt- 3D jackson heights 11372 NY</t>
  </si>
  <si>
    <t>আঁচলের আম্মু</t>
  </si>
  <si>
    <t>Kamrun Nahar</t>
  </si>
  <si>
    <t>naharkamrun061@gmail.com</t>
  </si>
  <si>
    <t>33-35 76th street apt-3D jackson heights</t>
  </si>
  <si>
    <t>+19292612709</t>
  </si>
  <si>
    <t>The International High School For Health Science</t>
  </si>
  <si>
    <t>48-01 90th street, queens ny 11373</t>
  </si>
  <si>
    <t>2007 mYBE</t>
  </si>
  <si>
    <t>BANGLA</t>
  </si>
  <si>
    <t>lawyer,  Reporter ,writer</t>
  </si>
  <si>
    <t>yup</t>
  </si>
  <si>
    <t>artist , Know about Islam, writer</t>
  </si>
  <si>
    <t>timely work</t>
  </si>
  <si>
    <t>active</t>
  </si>
  <si>
    <t>good job</t>
  </si>
  <si>
    <t>seyub6ou7n50xkrvuarseyub6fh4w27n</t>
  </si>
  <si>
    <t>Pratima</t>
  </si>
  <si>
    <t>Bohara</t>
  </si>
  <si>
    <t>pratimabohara555@gmail.com</t>
  </si>
  <si>
    <t>+19295449841</t>
  </si>
  <si>
    <t>51-60 Van Kleecks Street Elmhurst, NY ,11373  APT  6E</t>
  </si>
  <si>
    <t>Pratima Bohara</t>
  </si>
  <si>
    <t>Prakash Bohara</t>
  </si>
  <si>
    <t>pbohara78@yahoo.com</t>
  </si>
  <si>
    <t>51-60 Van Kleecks Street Elmhurst, NY ,11373 APT 6E</t>
  </si>
  <si>
    <t>+13477614556</t>
  </si>
  <si>
    <t>International High School Of Health Science</t>
  </si>
  <si>
    <t>41-01 90th street ,Queens NY 11373</t>
  </si>
  <si>
    <t>I was not born in this country</t>
  </si>
  <si>
    <t>1. University of Kentucky, Lexington, KY 2. Yale University, New Haven, CT 3. Stanford University, Stanford, CA 4. University of Miami, Coral Gables, FL 5. University of Michigan, Ann Arbor, MI 6. Ohio State University, Columbus, OH 7. New York University, New York, NY 8. University of California, Oakland, CA 9. University of Pittsburgh, Pittsburgh, PA 10. University of Washington, Seattle, WA</t>
  </si>
  <si>
    <t>Cardio surgeon , Pediatrician , Teacher , Business, Child Therapist</t>
  </si>
  <si>
    <t>I want to completed all of my uncompleted work by jan 1</t>
  </si>
  <si>
    <t>Leader- I can lead people with kindness yet strictly.
Helpful- I will help anyone if they ask me or if I see anyone struggling. 
Confident - I am not afraid to state my opinion and I always stand up for the right.</t>
  </si>
  <si>
    <t>Calm 
Kind 
Understanding</t>
  </si>
  <si>
    <t>I am very patient person but sometimes I can go</t>
  </si>
  <si>
    <t>Like I know what I want to do</t>
  </si>
  <si>
    <t>x4cnjqr5vghjqmx4cnjqnkkr5rws4xiz</t>
  </si>
  <si>
    <t>Nayeli</t>
  </si>
  <si>
    <t>Daehyunrobles@gmail.com</t>
  </si>
  <si>
    <t>+13475434865</t>
  </si>
  <si>
    <t>106-07 northern Blvd Apart 2A corona Ny 11368</t>
  </si>
  <si>
    <t>Andres Cruz</t>
  </si>
  <si>
    <t>Andycruz2502@gmail.com</t>
  </si>
  <si>
    <t>+13473029262</t>
  </si>
  <si>
    <t>Salon,Vet,Take care of animals or others</t>
  </si>
  <si>
    <t>Pilot</t>
  </si>
  <si>
    <t>-I'm not sure yet</t>
  </si>
  <si>
    <t>Medical assistant,Veterinary Medicine, Odontology, Surgeon, Aviation</t>
  </si>
  <si>
    <t>I hope to gain experience about the race in mind.</t>
  </si>
  <si>
    <t>Kind, responsible, I like to help, understanding, hard-working, creative, cheerful, studious, intelligent, I like to learn, sincere</t>
  </si>
  <si>
    <t>Empathy, compassion, emotional skills,drawing, dance, I know how to cook, self-control skills</t>
  </si>
  <si>
    <t>that's all, thanks</t>
  </si>
  <si>
    <t>0yggzgzd5ppgzm1l400yggzjdxuw2xnm</t>
  </si>
  <si>
    <t>kenia</t>
  </si>
  <si>
    <t>Cholom</t>
  </si>
  <si>
    <t>keniacholom56@gmail.com</t>
  </si>
  <si>
    <t>+17185931689</t>
  </si>
  <si>
    <t>90-21 76th ST  Woodhaven NY 11421</t>
  </si>
  <si>
    <t>www.Facebook.com/Yourhandle</t>
  </si>
  <si>
    <t>Efrain Cholom</t>
  </si>
  <si>
    <t>efracholomcaal27@gmail.com</t>
  </si>
  <si>
    <t>+19293486725</t>
  </si>
  <si>
    <t>Attorney</t>
  </si>
  <si>
    <t>I got this job through my parents and boyfriend</t>
  </si>
  <si>
    <t>CUNY,Columbia University,New York University,Queens College,Brooklyn College,The College of Staten Island,Columbia University,The City College of New York</t>
  </si>
  <si>
    <t>Azafata, police,Pediatric, detective, maternity doctor</t>
  </si>
  <si>
    <t>I want to improve my grade which is 70 I want to improve it to 80, to achieve this I need to make several changes, for example, turn in my assignments on time, arrive on time to classes, etc.</t>
  </si>
  <si>
    <t>Learn about careers, Learn about colleges, Get an internship, Make new friends</t>
  </si>
  <si>
    <t>creative, help others, Patient</t>
  </si>
  <si>
    <t>responsible, honest, positive attitude</t>
  </si>
  <si>
    <t>For me it is important to join this program because it would help me a lot to practice, learn, learn new things about law.</t>
  </si>
  <si>
    <t>ok</t>
  </si>
  <si>
    <t>2591jf7b6be5sd4sfhdp2591jhvj5pl5</t>
  </si>
  <si>
    <t>dina</t>
  </si>
  <si>
    <t>lagua</t>
  </si>
  <si>
    <t>dinalagua6@gmail.com</t>
  </si>
  <si>
    <t>+13479827881</t>
  </si>
  <si>
    <t>17-18 menahan st ridgewood NY 11385 Estados Unidos</t>
  </si>
  <si>
    <t>Victor Lagua</t>
  </si>
  <si>
    <t>vlagua677@gmail.com</t>
  </si>
  <si>
    <t>17-18 menahan st ridgewood ny 11385 estados unidos</t>
  </si>
  <si>
    <t>+13479826641</t>
  </si>
  <si>
    <t>Internation High School for Health Sciences</t>
  </si>
  <si>
    <t>48-01 90 street queens ny 11373</t>
  </si>
  <si>
    <t>my father  came to this country 23 years old</t>
  </si>
  <si>
    <t>cunny</t>
  </si>
  <si>
    <t>Specific: I want to improve my GPA, Measurable, by 4 points, Attainable: from a 2.3 to a 2.7, Relevant: by working hard, Timely: by the end of the school year.</t>
  </si>
  <si>
    <t>honest, relax, shy</t>
  </si>
  <si>
    <t>collaboration, communication, hard work</t>
  </si>
  <si>
    <t>Connected,</t>
  </si>
  <si>
    <t>5ac12eagdqw9nx2wcfc695ac12yja44u</t>
  </si>
  <si>
    <t>Miguel</t>
  </si>
  <si>
    <t>miguelangelgonzalezvillarraga@gmail.com</t>
  </si>
  <si>
    <t>+19295104634</t>
  </si>
  <si>
    <t>84-48 123 11415 jamaica, NY</t>
  </si>
  <si>
    <t>Instagram-Mg _28035</t>
  </si>
  <si>
    <t>Claudia Villarraga</t>
  </si>
  <si>
    <t>+19175026125</t>
  </si>
  <si>
    <t>international high school science</t>
  </si>
  <si>
    <t>48-01 90th St, Queens, 11373</t>
  </si>
  <si>
    <t>art designer</t>
  </si>
  <si>
    <t>i have a tattoo studio in my apartment</t>
  </si>
  <si>
    <t>i dont know any.</t>
  </si>
  <si>
    <t>tattoo artiest, psychology, bussines, art designer</t>
  </si>
  <si>
    <t>i want teach more for the artist and creative more things</t>
  </si>
  <si>
    <t>nice, calm, creative</t>
  </si>
  <si>
    <t>nice,calm, creative</t>
  </si>
  <si>
    <t>rfa8nom5rsxjnabhcc2rfa8nob94e3i4</t>
  </si>
  <si>
    <t>Keyla</t>
  </si>
  <si>
    <t>Lliguin</t>
  </si>
  <si>
    <t>nagelylliguin@gmail.com</t>
  </si>
  <si>
    <t>+19292000547</t>
  </si>
  <si>
    <t>35-12 104 Street Queens NY 11368</t>
  </si>
  <si>
    <t>Nagely Lliguin</t>
  </si>
  <si>
    <t>Elva Lliguin</t>
  </si>
  <si>
    <t>elva.lliguin@gmail.com</t>
  </si>
  <si>
    <t>+19293656292</t>
  </si>
  <si>
    <t>International High School For Health Science</t>
  </si>
  <si>
    <t>48-01 90th street Queens NY 11373</t>
  </si>
  <si>
    <t>Others / Latino / Ecuador</t>
  </si>
  <si>
    <t>medicine general</t>
  </si>
  <si>
    <t>Resultados de búsqueda CUNY School of Medicine, Weill Cornell Medical College</t>
  </si>
  <si>
    <t>Doctors, medine general</t>
  </si>
  <si>
    <t>Well, my goal is to learn more English and improve my pronunciation.</t>
  </si>
  <si>
    <t>open to new challenges, persistent, analytical thinking</t>
  </si>
  <si>
    <t>Teamwork, creative thinking, conflict resolution.</t>
  </si>
  <si>
    <t>I am a very supportive person and I like to work in a group.</t>
  </si>
  <si>
    <t>b9dvcq5vlp2q7r15pijb9dvc9xjyrxj3</t>
  </si>
  <si>
    <t>Yosandy</t>
  </si>
  <si>
    <t>Liz</t>
  </si>
  <si>
    <t>yosandy.liz.23@wheels-student.org</t>
  </si>
  <si>
    <t>+13479093834</t>
  </si>
  <si>
    <t>433 White Plains Road Bronx, NY 10473</t>
  </si>
  <si>
    <t>Yokasta Liz</t>
  </si>
  <si>
    <t>yokastaperez@hotmail.com</t>
  </si>
  <si>
    <t>+13476532895</t>
  </si>
  <si>
    <t>511 We 182nd Street NY, NY 10033</t>
  </si>
  <si>
    <t>Hispanic/Latina</t>
  </si>
  <si>
    <t>Forensic Psychology</t>
  </si>
  <si>
    <t>Forensic Psychologist</t>
  </si>
  <si>
    <t>University of Saint Rose, John Jay, UAlbany</t>
  </si>
  <si>
    <t>Forensic Psychology, Criminologist, Psychiatrists</t>
  </si>
  <si>
    <t>My goal for the end of this year is to have a clear idea of the career I would like to pursue, with clear steps and skills listed down that I would need to prepare myself to get there.</t>
  </si>
  <si>
    <t>Caring; I'm the type of person that cares a lot for my loved ones and always put them first. Straight-forward; if I am doubtful about certain things or if something is bothering me I will let it be known, as well as anything constructive I have to say, I will say it too. Curious; anything that I find intriguing I will continue to look at and study.</t>
  </si>
  <si>
    <t>Responsible because I know how to manage my time well and get things done correctly, too. Hard-working because I always work my best and do the most I can do to achieve my purpose. I'm also a quick thinker, when faced with a problem or a task I'm quick to find a solution or give in my input.</t>
  </si>
  <si>
    <t>There's nothing else I would like to be known.</t>
  </si>
  <si>
    <t>95.91%</t>
  </si>
  <si>
    <t>2hwehcvrivi4qv0a42hwfu29oq7xv8k6</t>
  </si>
  <si>
    <t>Guzman</t>
  </si>
  <si>
    <t>alessguzman0@gmail.com</t>
  </si>
  <si>
    <t>+19295149626</t>
  </si>
  <si>
    <t>106-19 Otis avenue, Corona NY, 11368</t>
  </si>
  <si>
    <t>IG: aless20._</t>
  </si>
  <si>
    <t>Katiuska Guzman</t>
  </si>
  <si>
    <t>katira.k@live.com</t>
  </si>
  <si>
    <t>+19293965052</t>
  </si>
  <si>
    <t>International High school of Health and Sciences</t>
  </si>
  <si>
    <t>Software developer</t>
  </si>
  <si>
    <t>Software engineering</t>
  </si>
  <si>
    <t>Computer programmer, Computer software engineer, Computer network architect, Database administrator, Computer and information system manager.</t>
  </si>
  <si>
    <t>I will improve my GPA grade from a 3.3 to a 3.6 or more by applying the skills that I will learn from my internship. I also want to do this to be able to have better changes to get to a good college.</t>
  </si>
  <si>
    <t>Gain skills I can use at a future job, Learn about careers, Get an internship, Make new friends</t>
  </si>
  <si>
    <t>Funny, calm and responsable</t>
  </si>
  <si>
    <t>I can communicate with anyone, I’m a good listener and good with technology.</t>
  </si>
  <si>
    <t>For me it is important to join the program because I want to have more knowledge about college  and also what careers can be the best that fit my interests. In the future I want a job that I really enjoy doing, even though my career interests right now are mostly Technology I don’t know if I will change my mind. Other than that I think this program can be a great opportunity to learn about the different types of jobs there are. Also getting help from a mentor that knows about the careers that I am interested in would be very interesting because I will learn a lot, it would also be fun because this is the first time that I'll be doing an internship.</t>
  </si>
  <si>
    <t>Safe, Like I belong</t>
  </si>
  <si>
    <t>hel08708uqabnpehel0f9dxtimt3y1va</t>
  </si>
  <si>
    <t>Jaylin</t>
  </si>
  <si>
    <t>Rosa Gonzalez</t>
  </si>
  <si>
    <t>Jaylinrosa.gonzalez.23@wheels-student.org</t>
  </si>
  <si>
    <t>+19176836329</t>
  </si>
  <si>
    <t>111 Wadsworth Ave Apt 32C, NYC,NY, 10033</t>
  </si>
  <si>
    <t>Heidy Rosa Gonzalez</t>
  </si>
  <si>
    <t>Hveras91@gmail.com</t>
  </si>
  <si>
    <t>+19172570210</t>
  </si>
  <si>
    <t>511 W 182nd St, New York, NY 10033</t>
  </si>
  <si>
    <t>17 years ago</t>
  </si>
  <si>
    <t>Ultrasound Technician or Travel Nurse</t>
  </si>
  <si>
    <t>I work in a supermarket, I got this job by handing out my resume around my neighborhood.</t>
  </si>
  <si>
    <t>lehman</t>
  </si>
  <si>
    <t>Radiology technician, dental hygienist, Nurse, physical therapy</t>
  </si>
  <si>
    <t>My smart goal is by the end of next year, I want to know what are the careers that I will be going forward in college with.</t>
  </si>
  <si>
    <t>Get coaches and mentors who can help me with college and career, Learn about careers, Learn about colleges, Gain skills I can use at a future job, Get an internship</t>
  </si>
  <si>
    <t>Three adjective that describe me are outgoing because i like to go out and meet new people to learn from one another. I am cheerful person because i like to make people around me smile, you never know what someone is going through. I am trustful because people trust me with very important things that has to do with them.</t>
  </si>
  <si>
    <t>Being determined ,responsible, perseverance</t>
  </si>
  <si>
    <t>I would really like to get into the medicine field</t>
  </si>
  <si>
    <t>82.21%</t>
  </si>
  <si>
    <t>63kiny6sn95wkoy263ki1lia97f71or7</t>
  </si>
  <si>
    <t>Jennyfer</t>
  </si>
  <si>
    <t>Montilla</t>
  </si>
  <si>
    <t>jennyfer.montilla.24@wheels-student.org</t>
  </si>
  <si>
    <t>+13476156136</t>
  </si>
  <si>
    <t>1365 Saint Nicholas Avenue apt. 29L New York, NY 10033</t>
  </si>
  <si>
    <t>Francheska De La Rosa</t>
  </si>
  <si>
    <t>delarosafrancheska@gmail.com</t>
  </si>
  <si>
    <t>+16466964228</t>
  </si>
  <si>
    <t>511 W 182nd New York, NY 10033</t>
  </si>
  <si>
    <t>law and business</t>
  </si>
  <si>
    <t>summer camp and I got the application from the counselor</t>
  </si>
  <si>
    <t>City College of New York, Hunter College, Bronx community College, Lehman College, John Jay college, Borough of Manhattan community college, Brooklyn college, Syracuse university college, Geneseo,</t>
  </si>
  <si>
    <t>Law, business,</t>
  </si>
  <si>
    <t>Have a choice of top 5 career paths.</t>
  </si>
  <si>
    <t>leader, enthusiastic, responsible</t>
  </si>
  <si>
    <t>leadership, organization and self-awareness</t>
  </si>
  <si>
    <t>I'm a quiet person at first</t>
  </si>
  <si>
    <t>89.44</t>
  </si>
  <si>
    <t>0xjzw8xeppej97r4ol480xjzwmhqdwtj</t>
  </si>
  <si>
    <t>Jaliyha</t>
  </si>
  <si>
    <t>Eberhart</t>
  </si>
  <si>
    <t>jaliyhae0499@bronxcommunityhighschool.org</t>
  </si>
  <si>
    <t>+16467849692</t>
  </si>
  <si>
    <t>365 E 183rd street 4fd bronx ny 10458</t>
  </si>
  <si>
    <t>instagram nyearmother2021</t>
  </si>
  <si>
    <t>elicia vails</t>
  </si>
  <si>
    <t>vailselicia1@gmail.com</t>
  </si>
  <si>
    <t>365 E 183rd Street 4Fd bronx ny 10458</t>
  </si>
  <si>
    <t>bronx community high school</t>
  </si>
  <si>
    <t>1980 Lafayette ave</t>
  </si>
  <si>
    <t>I am african americian {</t>
  </si>
  <si>
    <t>cvs / internship</t>
  </si>
  <si>
    <t>dont know</t>
  </si>
  <si>
    <t>nursing, teaching, therapist</t>
  </si>
  <si>
    <t>I will come to school on time daily by waking up on time</t>
  </si>
  <si>
    <t>ambitious, passionate and reliable</t>
  </si>
  <si>
    <t>like helping others, organize and reliable</t>
  </si>
  <si>
    <t>no thank you</t>
  </si>
  <si>
    <t>aeh2ofdxlomy8te7dae0mf8lpl2hp6b7</t>
  </si>
  <si>
    <t>Anjalie</t>
  </si>
  <si>
    <t>Ramkissoon</t>
  </si>
  <si>
    <t>anjalie.ramkissoon.23@wheels-student.org</t>
  </si>
  <si>
    <t>+16467071216</t>
  </si>
  <si>
    <t>605 W 170th ST APT 5F NEW YORK, NY 10032</t>
  </si>
  <si>
    <t>instagram-borksinshark</t>
  </si>
  <si>
    <t>Laura Nanette Ramkissoon</t>
  </si>
  <si>
    <t>lramkissoon@nyc.rr.com</t>
  </si>
  <si>
    <t>605 W 170th ST APT 5F NEW YORK, NY, 10032</t>
  </si>
  <si>
    <t>+19179742597</t>
  </si>
  <si>
    <t>My parents are from Trinidad and Tobago</t>
  </si>
  <si>
    <t>i'm not really sure.</t>
  </si>
  <si>
    <t>Forensic Science or Music Industry</t>
  </si>
  <si>
    <t>Something in the entertainment field.</t>
  </si>
  <si>
    <t>I only know two so far. John Jay and Saint Rose.</t>
  </si>
  <si>
    <t>Forensic Science, Music Industry, Art, Forensic Psychology, Media.</t>
  </si>
  <si>
    <t>With this internship, I want to improve my knowledge of the career paths I want to pursue from 0 knowledge to at least more than what I knew by the stuff I will learn from the zooms up until the last day.</t>
  </si>
  <si>
    <t>Inventive because I love to be independent sometimes and do stuff creatively. Passionate because I focus on stuff that I love to do (like acting, theater, etc.). I guess reliable too because I'm able to get work done.</t>
  </si>
  <si>
    <t>I'm not really sure.</t>
  </si>
  <si>
    <t>I really love musicals, acting, theater, art, forensics, and video games!</t>
  </si>
  <si>
    <t>Not Religious.</t>
  </si>
  <si>
    <t>At the moment it's at 83.35%</t>
  </si>
  <si>
    <t>azovaxlk1fhy2o2nazjxpg4s8sbsfmj8</t>
  </si>
  <si>
    <t>Joshua</t>
  </si>
  <si>
    <t>joshua.jimenez.23@wheels-student.org</t>
  </si>
  <si>
    <t>+19294202872</t>
  </si>
  <si>
    <t>501 W179th St Apt 10, New York, NY, 10033</t>
  </si>
  <si>
    <t>instagram : @ek_mandinkingod</t>
  </si>
  <si>
    <t>Isaura Jimenez</t>
  </si>
  <si>
    <t>isaurajimenez22@live.com</t>
  </si>
  <si>
    <t>+16467314079</t>
  </si>
  <si>
    <t>Afro-American</t>
  </si>
  <si>
    <t>English, Spanish</t>
  </si>
  <si>
    <t>Visual Arts</t>
  </si>
  <si>
    <t>Super Market Delivery</t>
  </si>
  <si>
    <t>Art College</t>
  </si>
  <si>
    <t>Graphic Design, Filmmaking</t>
  </si>
  <si>
    <t>Graphics Career, By 2024</t>
  </si>
  <si>
    <t>compassionate, jolly, bright</t>
  </si>
  <si>
    <t>How to use certain programs, color corrections</t>
  </si>
  <si>
    <t>Thumbs Up</t>
  </si>
  <si>
    <t>77.80</t>
  </si>
  <si>
    <t>49bpon19wdsuz8922949bponumdkwq4q</t>
  </si>
  <si>
    <t>Crisffer</t>
  </si>
  <si>
    <t>Urena</t>
  </si>
  <si>
    <t>curenabiz@gmail.com</t>
  </si>
  <si>
    <t>+13478185332</t>
  </si>
  <si>
    <t>2971 Frederick Douglass Blvd, New York, NY, 10039</t>
  </si>
  <si>
    <t>Cristina Regalado</t>
  </si>
  <si>
    <t>lascribel@gmail.com</t>
  </si>
  <si>
    <t>+13475431768</t>
  </si>
  <si>
    <t>Washington Irving YABC</t>
  </si>
  <si>
    <t>40 Irving Place</t>
  </si>
  <si>
    <t>Video Producer/Screenwriter</t>
  </si>
  <si>
    <t>BMCC</t>
  </si>
  <si>
    <t>Graphic Designer, Computer Engineer, Game Developer, Electrical Engineering, Mechanical Engineer</t>
  </si>
  <si>
    <t>Specific: I want to learn how to edit videos on an intermediate level
Measurable: learn 10 intermediate editing skills
Attainable: from a beginner's level to an intermediate level
Relevant: I can use apply my editing skills to any media-related projects that come up in both my academics and my career
Timely: By the end of the school year</t>
  </si>
  <si>
    <t>Get an internship, Get coaches and mentors who can help me with college and career, Gain skills I can use at a future job, Make new friends</t>
  </si>
  <si>
    <t>Sociable, tech savvy, and dependable. Sociable because I like talking and communicating with people frequently, tech savvy because I know various different things about tech and how to use it, and dependable because I am always there in case anyone is in a pinch.</t>
  </si>
  <si>
    <t>Video editing skills
Communication skills
Tolerance</t>
  </si>
  <si>
    <t>I would greatly prefer if you can match me with a video producer/editor, as that would help me pursue my passions even further.</t>
  </si>
  <si>
    <t>69.17</t>
  </si>
  <si>
    <t>00osj518lkjzyovggfv00osj5l1z6puw</t>
  </si>
  <si>
    <t>Angelina</t>
  </si>
  <si>
    <t>Gil</t>
  </si>
  <si>
    <t>angelina.gil.23@wheels-student.org</t>
  </si>
  <si>
    <t>+19174453140</t>
  </si>
  <si>
    <t>1820 harrison ave apt 5G, Bronx NY 10453</t>
  </si>
  <si>
    <t>Ana De La Cruz</t>
  </si>
  <si>
    <t>morena09061@gmail.com</t>
  </si>
  <si>
    <t>+16466964949</t>
  </si>
  <si>
    <t>20+</t>
  </si>
  <si>
    <t>registered nurse</t>
  </si>
  <si>
    <t>Registered Nurse</t>
  </si>
  <si>
    <t>University at Albany, Fordham University</t>
  </si>
  <si>
    <t>Veterinarian, Teacher, dentist</t>
  </si>
  <si>
    <t>By the end of the program, I want to have a better understanding of nursing careers and how to become a nurse, as well as have my questions about careers answered.</t>
  </si>
  <si>
    <t>Calm, patient, people-person</t>
  </si>
  <si>
    <t>Confidence, focusing/paying attention, time management</t>
  </si>
  <si>
    <t>I'm a patient person</t>
  </si>
  <si>
    <t>efhkxz45i6dlpia0befhkxz4vavn65c2</t>
  </si>
  <si>
    <t>Ligia</t>
  </si>
  <si>
    <t>Espinoza</t>
  </si>
  <si>
    <t>lijiaespinosa123@gmail.com</t>
  </si>
  <si>
    <t>+16469231309</t>
  </si>
  <si>
    <t>41-07 28 av Astoria</t>
  </si>
  <si>
    <t>Alicia Padilla</t>
  </si>
  <si>
    <t>bespinza5335@gmail.com</t>
  </si>
  <si>
    <t>41-07 28 ave Astoria NY</t>
  </si>
  <si>
    <t>+13473617635</t>
  </si>
  <si>
    <t>N</t>
  </si>
  <si>
    <t>Columbia University, New York University, Queens College, Barnard College</t>
  </si>
  <si>
    <t>Veterinarian, Medicine, Psycology, Odontology, Bussines</t>
  </si>
  <si>
    <t>I would like to get good grades in 11th grade</t>
  </si>
  <si>
    <t>Kind, Caring, Responsible</t>
  </si>
  <si>
    <t>Computer skills , Im bilingual</t>
  </si>
  <si>
    <t>Supoorted,</t>
  </si>
  <si>
    <t>atb01ae0rv6t4gratbl5ia44je0jmnim</t>
  </si>
  <si>
    <t>genesismunoz0118@gmail.com</t>
  </si>
  <si>
    <t>+19145307587</t>
  </si>
  <si>
    <t>101-04 94th st ozone park Queens, NY 11416</t>
  </si>
  <si>
    <t>Instagram- gnsy0518</t>
  </si>
  <si>
    <t>101-04 94th st ozone park Queens, NY, 11416</t>
  </si>
  <si>
    <t>International high school for health sciences</t>
  </si>
  <si>
    <t>48-01 90th</t>
  </si>
  <si>
    <t>cardiologist, surgeon</t>
  </si>
  <si>
    <t>Human Resurces Summer program</t>
  </si>
  <si>
    <t>i want to improve my GPA by using the skills that i gonna learn.</t>
  </si>
  <si>
    <t>sociable, energy, friendly...</t>
  </si>
  <si>
    <t>Fast learner, collaborator, bilingual</t>
  </si>
  <si>
    <t>sz7tzgxu4nhk14e5arisz7tzbnbzlss3</t>
  </si>
  <si>
    <t>Ashley</t>
  </si>
  <si>
    <t>bonillamariel2@gmail.com</t>
  </si>
  <si>
    <t>+19292164219</t>
  </si>
  <si>
    <t>34 pine st 11208 brooklyn</t>
  </si>
  <si>
    <t>Instagram: Ashleybr130</t>
  </si>
  <si>
    <t>Lorenzo Barrientos</t>
  </si>
  <si>
    <t>+17182139994</t>
  </si>
  <si>
    <t>International High school of Health sciences</t>
  </si>
  <si>
    <t>48-01 90th st queens NY 11373</t>
  </si>
  <si>
    <t>I came from Dominican Republic and my dad from Mexico</t>
  </si>
  <si>
    <t>my mom have like 4 or 5 years but my dad have a lot of years here, he's citizen</t>
  </si>
  <si>
    <t>Nothing really, I'm latina</t>
  </si>
  <si>
    <t>Spanish and sometimes english</t>
  </si>
  <si>
    <t>Dental assistent</t>
  </si>
  <si>
    <t>Cunny or Suny</t>
  </si>
  <si>
    <t>Dental</t>
  </si>
  <si>
    <t>I will improve my overall average</t>
  </si>
  <si>
    <t>Curious, pensative</t>
  </si>
  <si>
    <t>leadership</t>
  </si>
  <si>
    <t>s33gdo1447mfx9r5s33gdo16wsbljvpu</t>
  </si>
  <si>
    <t>Niloy</t>
  </si>
  <si>
    <t>niloyahmed2005@gmail.com</t>
  </si>
  <si>
    <t>+19294241424</t>
  </si>
  <si>
    <t>40-15-76 st Elmhurst 11373 New york</t>
  </si>
  <si>
    <t>Begum kulsuma</t>
  </si>
  <si>
    <t>Niloyahmed2005@gmail.com</t>
  </si>
  <si>
    <t>+19294356271</t>
  </si>
  <si>
    <t>salesman from my uncle</t>
  </si>
  <si>
    <t>hunter college , Columbia University</t>
  </si>
  <si>
    <t>business, military, real estate ,law, tech</t>
  </si>
  <si>
    <t>i will work on my grades and work on career and graduate from my high school go into college and develop my career skills</t>
  </si>
  <si>
    <t>smart,learner,funny</t>
  </si>
  <si>
    <t>typing,learning, investigate</t>
  </si>
  <si>
    <t>no thanks</t>
  </si>
  <si>
    <t>p62r0escl62ul6muke7e182p62r0exxy</t>
  </si>
  <si>
    <t>Yonathan</t>
  </si>
  <si>
    <t>jonathanmartinez7537@gmail.com</t>
  </si>
  <si>
    <t>+13479428747</t>
  </si>
  <si>
    <t>87-52 109 street Richmond  hill NY 11418</t>
  </si>
  <si>
    <t>Angela Martinez</t>
  </si>
  <si>
    <t>87-52 109 street Richmond hill NY 11418</t>
  </si>
  <si>
    <t>+13476398996</t>
  </si>
  <si>
    <t>48-01 90th street queens NY 11373</t>
  </si>
  <si>
    <t>I don't know any</t>
  </si>
  <si>
    <t>I want to improve my grades by the end of the year.</t>
  </si>
  <si>
    <t>smart
happy</t>
  </si>
  <si>
    <t>fight
strenght</t>
  </si>
  <si>
    <t>safe supported</t>
  </si>
  <si>
    <t>qp65z9xwtswxjvl38vzk0aqp65z9xwtf</t>
  </si>
  <si>
    <t>Josselyn</t>
  </si>
  <si>
    <t>Josselynrcanas@gmail.com</t>
  </si>
  <si>
    <t>+19293989753</t>
  </si>
  <si>
    <t>17222 83rd ave jamaica New York 11432</t>
  </si>
  <si>
    <t>Daniela rivera in faceebook</t>
  </si>
  <si>
    <t>Dora canas</t>
  </si>
  <si>
    <t>+13472571979</t>
  </si>
  <si>
    <t>My mother has 8 years of living in the United States</t>
  </si>
  <si>
    <t>others/latino/El Salvador</t>
  </si>
  <si>
    <t>Preparadores de equipos médicos</t>
  </si>
  <si>
    <t>I don't really know</t>
  </si>
  <si>
    <t>Docdor and Veterinaria</t>
  </si>
  <si>
    <t>I want to have better grades I want to increase all my grades to 4 by the end of 2021.</t>
  </si>
  <si>
    <t>Kind communicative curious</t>
  </si>
  <si>
    <t>For veterinary medicine, I really like animals and I like to take care of them</t>
  </si>
  <si>
    <t>a0tm83v0hl6t4hia008l17j3jlwsqls0</t>
  </si>
  <si>
    <t>parkkoni95@gmail.com</t>
  </si>
  <si>
    <t>+17186837823</t>
  </si>
  <si>
    <t>168-39 90th avenue Jamaica, 11432</t>
  </si>
  <si>
    <t>ig: @blue_.wtch</t>
  </si>
  <si>
    <t>Jacqueline Batres</t>
  </si>
  <si>
    <t>+19292552455</t>
  </si>
  <si>
    <t>International high school for health and science</t>
  </si>
  <si>
    <t>Physchology</t>
  </si>
  <si>
    <t>I work at a beauty salon</t>
  </si>
  <si>
    <t>Hunter College  Queens College  LaGuardia College  York College  Queensborough C. C. Brooklyn College</t>
  </si>
  <si>
    <t>Psychology  Nurse Forense Lawyer</t>
  </si>
  <si>
    <t>I think that my goal is Specific because I want to improve my overall average but I also wanna spend time in the program</t>
  </si>
  <si>
    <t>Leader, intellectual, caring</t>
  </si>
  <si>
    <t>Leadership, helping others, languages</t>
  </si>
  <si>
    <t>92r3hbyw4nuscoh6m92r3hbydrdtwyxw</t>
  </si>
  <si>
    <t>Abdulghani</t>
  </si>
  <si>
    <t>aali2@inths.org</t>
  </si>
  <si>
    <t>+19177044051</t>
  </si>
  <si>
    <t>1364 east 100 st</t>
  </si>
  <si>
    <t>abdulwaled25@gmail.com</t>
  </si>
  <si>
    <t>1364 east 100 St Brooklyn NY 11236</t>
  </si>
  <si>
    <t>+13475736834</t>
  </si>
  <si>
    <t>yemen</t>
  </si>
  <si>
    <t>nationality</t>
  </si>
  <si>
    <t>working in store making food, i get this job form my friend.</t>
  </si>
  <si>
    <t>Brooklyn College, Kingsborough Community College, City Tech, New York University, Hunter,</t>
  </si>
  <si>
    <t>engineer,business,nurse, teacher</t>
  </si>
  <si>
    <t>friendly, kind, like to work</t>
  </si>
  <si>
    <t>good writer, and reader, focused</t>
  </si>
  <si>
    <t>i am ver interest in business and want to learn about it more</t>
  </si>
  <si>
    <t>supported and connected</t>
  </si>
  <si>
    <t>84%</t>
  </si>
  <si>
    <t>cgj7go2dxeezaqopwq0ncgj7go6c3crk</t>
  </si>
  <si>
    <t>Calle</t>
  </si>
  <si>
    <t>Ladycalle119@gmail.com</t>
  </si>
  <si>
    <t>+16462507298</t>
  </si>
  <si>
    <t>34-24 112th ST     Queens, NY 11368</t>
  </si>
  <si>
    <t>Twitter/@KlleLady  Facebook/@klleMichi Instagram/@24_lc_emp</t>
  </si>
  <si>
    <t>Nancy Calle</t>
  </si>
  <si>
    <t>+16465477056</t>
  </si>
  <si>
    <t>48-01 90th Street- Queens, NY 11373</t>
  </si>
  <si>
    <t>Business administration, finance, filmmaking, advertising.</t>
  </si>
  <si>
    <t>I work as a waitress. I got this job through my friend.</t>
  </si>
  <si>
    <t>Baruch - Parsons School of Design | The New School-NYU Stern School of Business</t>
  </si>
  <si>
    <t>Bussines, start up, retail</t>
  </si>
  <si>
    <t>Create a business plan</t>
  </si>
  <si>
    <t>Adventurous, Emotional, Kind</t>
  </si>
  <si>
    <t>leadership-Teamwork and collaboration.</t>
  </si>
  <si>
    <t>3.3 B+</t>
  </si>
  <si>
    <t>o6bpqwnaluffo4rbtzrdszo6bpqwo9uo</t>
  </si>
  <si>
    <t>Fernando</t>
  </si>
  <si>
    <t>Zelaya</t>
  </si>
  <si>
    <t>fzelayaruiz@inths.org</t>
  </si>
  <si>
    <t>+13478484706</t>
  </si>
  <si>
    <t>569 55TH Street</t>
  </si>
  <si>
    <t>Cheila Ruiz</t>
  </si>
  <si>
    <t>kikezelaya3@gmail.com</t>
  </si>
  <si>
    <t>+13477922877</t>
  </si>
  <si>
    <t>2630 Benson Ave brooklyn,ny 11214</t>
  </si>
  <si>
    <t>Latin</t>
  </si>
  <si>
    <t>General Practitioner with a specialization a psychiatry</t>
  </si>
  <si>
    <t>Be a doctor</t>
  </si>
  <si>
    <t>Harvard</t>
  </si>
  <si>
    <t>Be a president of a hospital</t>
  </si>
  <si>
    <t>Well i am focus in what i want and also i am going to  do everithyng in my power for get it</t>
  </si>
  <si>
    <t>extroverted,friendly,competitive i think this 3 words are combinated because they describe how is my personality.</t>
  </si>
  <si>
    <t>Helper,Patient,Perfectionist</t>
  </si>
  <si>
    <t>Safe,,Supported</t>
  </si>
  <si>
    <t>85.47</t>
  </si>
  <si>
    <t>xi4dju04sq7xyiw71r0h4ml7ahvwtiiy</t>
  </si>
  <si>
    <t>Gelber</t>
  </si>
  <si>
    <t>ggarciavasquez@inths.org</t>
  </si>
  <si>
    <t>+16466646832</t>
  </si>
  <si>
    <t>1883 shore parkway, Brooklyn New York, 11214</t>
  </si>
  <si>
    <t>Guadalupe Garcia</t>
  </si>
  <si>
    <t>noemail@gmail.com</t>
  </si>
  <si>
    <t>1883 Shore Parkway, Brooklyn New York, 11214</t>
  </si>
  <si>
    <t>+16463630498</t>
  </si>
  <si>
    <t>2630 Benson ave, Brooklyn NY, 11214</t>
  </si>
  <si>
    <t>Title about actor</t>
  </si>
  <si>
    <t>my joy sometime is helping in a party or help in store. and i get this about my friends or just looking for that.</t>
  </si>
  <si>
    <t>Brooklyn collage,  Kingsborough, Columbia University,Lehmancollage, queensborough community collage, CUNY</t>
  </si>
  <si>
    <t>Engineer, astronaut, detective, doctor,judge</t>
  </si>
  <si>
    <t>soap opera actor</t>
  </si>
  <si>
    <t>Calm, respectful, and happy, i  think this adjectives can describe me because i am like a person that don't say nothing but think about the thinks that happened.</t>
  </si>
  <si>
    <t>solution, think before acting, make sure that it is what I really want.</t>
  </si>
  <si>
    <t>I think i am good for now.</t>
  </si>
  <si>
    <t>80.82</t>
  </si>
  <si>
    <t>7mr4funb9pxyno7dpj3m0s7mr4fud82h</t>
  </si>
  <si>
    <t>Gafar</t>
  </si>
  <si>
    <t>Aliyev</t>
  </si>
  <si>
    <t>aaliyev@inths.org</t>
  </si>
  <si>
    <t>+19177046076</t>
  </si>
  <si>
    <t>3100 Brighton 7 street Apt 45 New York Brooklyn 11235</t>
  </si>
  <si>
    <t>Javid Aliyev</t>
  </si>
  <si>
    <t>djavausa@gmail.com</t>
  </si>
  <si>
    <t>3100 Brighton 7 street apt 45 Brooklyn New York 11235</t>
  </si>
  <si>
    <t>+13474471094</t>
  </si>
  <si>
    <t>International high school at Lafayete</t>
  </si>
  <si>
    <t>Azerbaijan</t>
  </si>
  <si>
    <t>Azerbaijani</t>
  </si>
  <si>
    <t>Russian,Azerbaijani</t>
  </si>
  <si>
    <t>Soccer coach assistant</t>
  </si>
  <si>
    <t>Columbia, Dartmouth,Harvard,Brown,Kingsborough,Carnell,Stanford</t>
  </si>
  <si>
    <t>Programer, Doctor.</t>
  </si>
  <si>
    <t>I will work hard on things that i'm not really good at to make it better.</t>
  </si>
  <si>
    <t>energetic, kind,peaceful</t>
  </si>
  <si>
    <t>critical thinking,patient,empathy,</t>
  </si>
  <si>
    <t>i understand things fast</t>
  </si>
  <si>
    <t>74.68</t>
  </si>
  <si>
    <t>xewqfpj8w6shadqvs3xewqfpjc21gd52</t>
  </si>
  <si>
    <t>Lisy</t>
  </si>
  <si>
    <t>Sanchez</t>
  </si>
  <si>
    <t>lisy.sanchez.24@wheels-student.org</t>
  </si>
  <si>
    <t>+15514040985</t>
  </si>
  <si>
    <t>505 W. 162 St. Apt.406 New York,NY 10032</t>
  </si>
  <si>
    <t>Instagram- @lisyy08</t>
  </si>
  <si>
    <t>Betty Cruz</t>
  </si>
  <si>
    <t>bery2703@gmail.com</t>
  </si>
  <si>
    <t>+16462495944</t>
  </si>
  <si>
    <t>511 W 182 St</t>
  </si>
  <si>
    <t>Latinx</t>
  </si>
  <si>
    <t>FBI Agent or Homicide or Special Victims detective</t>
  </si>
  <si>
    <t>Anything in Law Enforcement such as FBI agent or a detective</t>
  </si>
  <si>
    <t>John Jay College, NYU, Colombia University, PACE University, Harvard</t>
  </si>
  <si>
    <t>Lawyer/Attorney, Crime scene investigator</t>
  </si>
  <si>
    <t>To better understand the career I want to pursue and the everyday tasks that I will be faced with in order to help improve our community by advocating.</t>
  </si>
  <si>
    <t>Compassionate, I like to give people a second chance and try my best to place myself in their shoes to understand them. Ambitious and Determined, I am always thinking about my next move and why and what I will achieve from this move.</t>
  </si>
  <si>
    <t>-The ability to work with and communicate with younger children. 
-Willingness to assist others whether that’d be physically or mentally. 
-Inform others rather than make the person feel less than anyone else.</t>
  </si>
  <si>
    <t>I am a bit shy and introverted at first but when it comes to something I am passionate about and learn about it, I love discussing!</t>
  </si>
  <si>
    <t>94.02%</t>
  </si>
  <si>
    <t>czoepg90nzdjz90dnjlpwczoep10x30m</t>
  </si>
  <si>
    <t>Ciara</t>
  </si>
  <si>
    <t>ciara.cruz.23@wheels-student.org</t>
  </si>
  <si>
    <t>+13474584670</t>
  </si>
  <si>
    <t>516 West 174 Street Apt.18, New York, NY, 10033</t>
  </si>
  <si>
    <t>Adalgisa Ferreira</t>
  </si>
  <si>
    <t>adalgisaferreira174@gmail.com</t>
  </si>
  <si>
    <t>+19179152519</t>
  </si>
  <si>
    <t>Washington Heights Expeditionary School</t>
  </si>
  <si>
    <t>like 22 years ago or more</t>
  </si>
  <si>
    <t>Spanish/English</t>
  </si>
  <si>
    <t>forensic psychology, behavioral analyst</t>
  </si>
  <si>
    <t>if i don't end up being a criminal profiler, i would like to start my own business to end beauty standards</t>
  </si>
  <si>
    <t>University of Tampa, Saint Rose, UAlbany, University of Hawaiʻi at Mānoa, John Jay College, University of California, Colombia University, Boston College, Upen University, UCLA</t>
  </si>
  <si>
    <t>detective, business owner, actor, model, and psychologist</t>
  </si>
  <si>
    <t>I will commit to learning about my career by attending to each of the 9 sessions by using my time wisely and taking responsibility over my future by the end of this mentor-ship.</t>
  </si>
  <si>
    <t>one of a kind- There is no duplicate of me. I’m rare, special, organic, and pure. My vibe? Different. My energy? Different. My style? Different. My attitude? Different. My mentality? Special.
growing/changing - I like change, I like to grow my mind and learn new skills. I am not afraid of the unknown - every challenge is an opportunity and I’m still young.
empathetic - I’ve faced many challenges and struggles, but I’m definitely not a quitter and strive hard every day to improve myself. With that, I am able to empathize with people and show a high level of forgiveness. I try to mentally comprehend what other people feel, see things from their point of view, and basically put myself in their shoes. I do it all the time.</t>
  </si>
  <si>
    <t>empathy, communication, and observant</t>
  </si>
  <si>
    <t>i want to specialize in serial killers mostly</t>
  </si>
  <si>
    <t>Agnostic</t>
  </si>
  <si>
    <t>91.19%</t>
  </si>
  <si>
    <t>8ca3jn57lbf9bx1w28li8ca3j3vs1guz</t>
  </si>
  <si>
    <t>11/15/0001</t>
  </si>
  <si>
    <t>mariambarry139@gmail.com</t>
  </si>
  <si>
    <t>+13473585267</t>
  </si>
  <si>
    <t>429 East 146 street, Apt.1b, 10455</t>
  </si>
  <si>
    <t>I just have snapchat mbarry0298</t>
  </si>
  <si>
    <t>Mouctar Diallo</t>
  </si>
  <si>
    <t>alphasoccer@yahoo.com</t>
  </si>
  <si>
    <t>429 East 146th Street Apt 1B, Bronx, NY 10455</t>
  </si>
  <si>
    <t>WHEELS</t>
  </si>
  <si>
    <t>I was born in Guinea, and my dad lived in the U.S for 20 years.</t>
  </si>
  <si>
    <t>yeah and I'm also identify as an African American</t>
  </si>
  <si>
    <t>Fulani, a little French and English. Also currently I'm learning Spanish and Arabic but only the greetings.</t>
  </si>
  <si>
    <t>I haven't decided yet but I like engineering, business, Nursing (RN), pharmacist, doctor or in the medical field.</t>
  </si>
  <si>
    <t>Howard, Columbia, Lafayette, Baruch, City College, NYU, Rogers, etc...</t>
  </si>
  <si>
    <t>Engineering, Business, Nursing (RN), Pharmacist, Doctor, or In the medical field</t>
  </si>
  <si>
    <t>Gain skills I can use at a future job, Get coaches and mentors who can help me with college and career, Get an internship, Learn about careers, Learn about colleges</t>
  </si>
  <si>
    <t>Loyal, Passionate, Moody</t>
  </si>
  <si>
    <t>Consistent, Intelligent, Courageous</t>
  </si>
  <si>
    <t>Nothing and I just wanted to learn a lot of different careers.</t>
  </si>
  <si>
    <t>Manhattan NY</t>
  </si>
  <si>
    <t>cgran28slf3tt0pvaxvtzcgra8vblics</t>
  </si>
  <si>
    <t>Akemi</t>
  </si>
  <si>
    <t>akemiliz03@gmail.com</t>
  </si>
  <si>
    <t>+18456308662</t>
  </si>
  <si>
    <t>252 Wadsworth Ave, apt 5C, Manhattan, NY, 10033</t>
  </si>
  <si>
    <t>akemiii.liz</t>
  </si>
  <si>
    <t>John Liz</t>
  </si>
  <si>
    <t>cilibanoft@hotmail.com</t>
  </si>
  <si>
    <t>+19175822427</t>
  </si>
  <si>
    <t>511 W 182nd St, New York, NY</t>
  </si>
  <si>
    <t>24</t>
  </si>
  <si>
    <t>I'd like to be a Forensic Psychologist</t>
  </si>
  <si>
    <t>The College of Saint Rose, John Jay University, University of Houston-Victoria, University of New Haven, Kean University, University of Denver</t>
  </si>
  <si>
    <t>Neuroscience, Molecular Biology, Biotechnology, Anthropology, Trauma Surgery</t>
  </si>
  <si>
    <t>I will improve my overall average (Specific) by 12 points (Measurable) from a 74 to a 86 (Attainable) by applying what I've learned from Champions, by the end of January (Timely).</t>
  </si>
  <si>
    <t>Determined, Ambitious, Open-Minded. I'd use these words to describe myself because I am very keen on learning more things everyday, and I'm open to many opportunities and ways to learn.</t>
  </si>
  <si>
    <t>I am curious, resourceful, and independent.</t>
  </si>
  <si>
    <t>There's nothing else.</t>
  </si>
  <si>
    <t>Buddhism, Catholicism</t>
  </si>
  <si>
    <t>kl61hs5p4bg8pl1oq3kl61hsvvi9w24s</t>
  </si>
  <si>
    <t>Myrny</t>
  </si>
  <si>
    <t>St Vil</t>
  </si>
  <si>
    <t>stvilmyrny@gmail.com</t>
  </si>
  <si>
    <t>+19297321730</t>
  </si>
  <si>
    <t>743 Empire blvd Apt B16 Brooklyn, NY 11213</t>
  </si>
  <si>
    <t>Instagram: @thereal._.jennie</t>
  </si>
  <si>
    <t>Rony St Vil</t>
  </si>
  <si>
    <t>svrony1815@yahoo.fr</t>
  </si>
  <si>
    <t>+13476593585</t>
  </si>
  <si>
    <t>French and Haitian Creole</t>
  </si>
  <si>
    <t>Nurse, Business, Doctor</t>
  </si>
  <si>
    <t>Working with sick people</t>
  </si>
  <si>
    <t>UCLA, USC, Columbia University, St Johns</t>
  </si>
  <si>
    <t>Lawyer, Business, therapist, real estate agent, psychologist.</t>
  </si>
  <si>
    <t>I will improve my overall average, by 6 point from a 91 to 97 by applying  the skills I learn from my Champions in my academic work</t>
  </si>
  <si>
    <t>Creative, talkative, smart</t>
  </si>
  <si>
    <t>Language skills, communication skills, self-control skills.</t>
  </si>
  <si>
    <t>I'm very passionate about my career path to the medical and I would love to learn more about it.</t>
  </si>
  <si>
    <t>t0389e2p4bhbt03jwmep4v3jxgoyxuq2</t>
  </si>
  <si>
    <t>justin</t>
  </si>
  <si>
    <t>pinero</t>
  </si>
  <si>
    <t>nycjustinp@gmail.com</t>
  </si>
  <si>
    <t>+16468860422</t>
  </si>
  <si>
    <t>692 Brush avenue, Bronx, 10465</t>
  </si>
  <si>
    <t>Teddy Pinero</t>
  </si>
  <si>
    <t>thebeasthulk@gmail.com</t>
  </si>
  <si>
    <t>+19174020351</t>
  </si>
  <si>
    <t>Bronx Community high school</t>
  </si>
  <si>
    <t>1980  Lafayette avenue</t>
  </si>
  <si>
    <t>Puerto Rican/White</t>
  </si>
  <si>
    <t>Mechanical Engineering</t>
  </si>
  <si>
    <t>Business, i started it on my own.</t>
  </si>
  <si>
    <t>Penn state, South Florida university</t>
  </si>
  <si>
    <t>Engineering, Architecture, Medical</t>
  </si>
  <si>
    <t>My Goal is go to college and Get a masters in the degree I study in. my goal is achievable if I put all my energy into it</t>
  </si>
  <si>
    <t>Learn about careers, Gain skills I can use at a future job, Get coaches and mentors who can help me with college and career</t>
  </si>
  <si>
    <t>Determined, Detailed, and a fast learner</t>
  </si>
  <si>
    <t>Detail oriented, skillful, and great with time management</t>
  </si>
  <si>
    <t>There is nothing else.</t>
  </si>
  <si>
    <t>Not Religous</t>
  </si>
  <si>
    <t>60g8jeei1qb54ltma7rxcqx60g8jeiu2</t>
  </si>
  <si>
    <t>ORtiz</t>
  </si>
  <si>
    <t>samuelortiz.student@hseigators.org</t>
  </si>
  <si>
    <t>1260 webster ave 13b , Bronx, NY10456</t>
  </si>
  <si>
    <t>Billy Ortiz</t>
  </si>
  <si>
    <t>N/A@notavailable.com</t>
  </si>
  <si>
    <t>1260 webster ave 13b , 10456 NY</t>
  </si>
  <si>
    <t>+19294141012</t>
  </si>
  <si>
    <t>High school of excellence and innovation</t>
  </si>
  <si>
    <t>Puerto Rican</t>
  </si>
  <si>
    <t>Anything technical</t>
  </si>
  <si>
    <t>don't currently have one</t>
  </si>
  <si>
    <t>kvs74jwes9lurmkvs74jwjjsownkw4wz</t>
  </si>
  <si>
    <t>JOSIMAR</t>
  </si>
  <si>
    <t>LUCERO</t>
  </si>
  <si>
    <t>2023_JOSIMARLUCEROJINDIACHI@IHS-US.ORG</t>
  </si>
  <si>
    <t>+19293751883</t>
  </si>
  <si>
    <t>45 SAINT NICHOLAS  AVE  BROOKLYN NY  11237</t>
  </si>
  <si>
    <t>INSTAGRAN</t>
  </si>
  <si>
    <t>ANGEL VERA</t>
  </si>
  <si>
    <t>arvja@yahoo.com</t>
  </si>
  <si>
    <t>45 Saint Nicholas ave Brooklyn NY 11237</t>
  </si>
  <si>
    <t>+19172257253</t>
  </si>
  <si>
    <t>INTERNATIONAL HIGH SCHOOL AT Union Square</t>
  </si>
  <si>
    <t>39 IRVING PL</t>
  </si>
  <si>
    <t>ECUADOR</t>
  </si>
  <si>
    <t>30 ANOS</t>
  </si>
  <si>
    <t>ENGLISH AND SPANISH</t>
  </si>
  <si>
    <t>INDUSTRIAL MECHANICS</t>
  </si>
  <si>
    <t>I WANT TO WORK IN A CAR WORKSHOP BUT I ENTER A WAREHOUSE</t>
  </si>
  <si>
    <t>mechanic, police and accountant</t>
  </si>
  <si>
    <t>i dont usdestent</t>
  </si>
  <si>
    <t>personalidad honestidad y respeto</t>
  </si>
  <si>
    <t>ser responsable y dedicado</t>
  </si>
  <si>
    <t>SAFE/CONNECTED</t>
  </si>
  <si>
    <t>I AM IN THE PROCESS OF CITIZENSHIP</t>
  </si>
  <si>
    <t>CHRISTIANITY</t>
  </si>
  <si>
    <t>79.22%</t>
  </si>
  <si>
    <t>sm1re5ba1l1x2gjsm1rge76u50ys4g0i</t>
  </si>
  <si>
    <t>Astudillo</t>
  </si>
  <si>
    <t>astudillopaula23@icloud.com</t>
  </si>
  <si>
    <t>+19294763626</t>
  </si>
  <si>
    <t>299 St Nicholas Ave</t>
  </si>
  <si>
    <t>Pau.la16_</t>
  </si>
  <si>
    <t>Alva chacon</t>
  </si>
  <si>
    <t>astudillopaula@icloud.com</t>
  </si>
  <si>
    <t>299 St Nicholas Av</t>
  </si>
  <si>
    <t>+18606188984</t>
  </si>
  <si>
    <t>I was not born here but my parents arrive here in 2016</t>
  </si>
  <si>
    <t>Spanish, sometimes english</t>
  </si>
  <si>
    <t>NICU nurse, make up artist</t>
  </si>
  <si>
    <t>deliver food to different houses</t>
  </si>
  <si>
    <t>make up artist, normal nurse, lawyer.</t>
  </si>
  <si>
    <t>I don't know how to</t>
  </si>
  <si>
    <t>respectful, simple, patient</t>
  </si>
  <si>
    <t>respectful, patient, love to teach other people</t>
  </si>
  <si>
    <t>In this country most of the time us hispanic people don't feel save because there is a lot of racism and discrimination, but in school I feel good.</t>
  </si>
  <si>
    <t>80.34%</t>
  </si>
  <si>
    <t>aj8tnz0ut2q21jjmid3naj8tnz989acq</t>
  </si>
  <si>
    <t>test</t>
  </si>
  <si>
    <t>test@gmail.com</t>
  </si>
  <si>
    <t>+17189920989</t>
  </si>
  <si>
    <t>Balkan Peninsula</t>
  </si>
  <si>
    <t>fu46347qwx2c4w0mydtfu463474y0wkc</t>
  </si>
  <si>
    <t>Acevedo</t>
  </si>
  <si>
    <t>11/2/0005</t>
  </si>
  <si>
    <t>luisacevado.student@hseigators.org</t>
  </si>
  <si>
    <t>207 Academy street 10034</t>
  </si>
  <si>
    <t>Yaboy_Soggy</t>
  </si>
  <si>
    <t>Luis Maldonado</t>
  </si>
  <si>
    <t>N/A@gmail.com</t>
  </si>
  <si>
    <t>207 academy street 10034</t>
  </si>
  <si>
    <t>HSEI</t>
  </si>
  <si>
    <t>207 Academy street</t>
  </si>
  <si>
    <t>Game developer</t>
  </si>
  <si>
    <t>Music productor</t>
  </si>
  <si>
    <t>well it can help me with time management</t>
  </si>
  <si>
    <t>Fun
Lazy
Smart when i want</t>
  </si>
  <si>
    <t>less work
Time to complete
Free time</t>
  </si>
  <si>
    <t>Not religius</t>
  </si>
  <si>
    <t>o4gkgu0a3rl1ao3m5o4gkgidny6xea4u</t>
  </si>
  <si>
    <t>Israel</t>
  </si>
  <si>
    <t>israel.martinez.24@wheels-student.org</t>
  </si>
  <si>
    <t>+16464160073</t>
  </si>
  <si>
    <t>544 west 147th street Apt 3D New York NY 10031</t>
  </si>
  <si>
    <t>Griselda Ramirez</t>
  </si>
  <si>
    <t>gramirez0183@gmail.com</t>
  </si>
  <si>
    <t>+13472773470</t>
  </si>
  <si>
    <t>511 W 182nd St New York, NY 1003 United States</t>
  </si>
  <si>
    <t>around 20 or 30</t>
  </si>
  <si>
    <t>Mainly English and also Spanish</t>
  </si>
  <si>
    <t>I don't really know of many options</t>
  </si>
  <si>
    <t>1. Groomer</t>
  </si>
  <si>
    <t>By the end of my involvement in the program, I will know the process of becoming a veterinarian and the details of being involved in that job, and I will feel confident in and sure of what my next steps during and after high school will be.</t>
  </si>
  <si>
    <t>Kind, Smart and Tenacious</t>
  </si>
  <si>
    <t>Caring, Animal comprehension and Ambition</t>
  </si>
  <si>
    <t>My information on my career choice will help me greatly</t>
  </si>
  <si>
    <t>82.62%</t>
  </si>
  <si>
    <t>6s9btc7epi5tfovmft6s9bpr0qw707p1</t>
  </si>
  <si>
    <t>Aura</t>
  </si>
  <si>
    <t>Caraballo</t>
  </si>
  <si>
    <t>2023_auracaraballo@ihs-us.org</t>
  </si>
  <si>
    <t>+19293833109</t>
  </si>
  <si>
    <t>9005 52ND ave Elmhurst, NY 11373-4003</t>
  </si>
  <si>
    <t>Ramon Caraballo</t>
  </si>
  <si>
    <t>jimenezwilly@gmail.com</t>
  </si>
  <si>
    <t>+19292709418</t>
  </si>
  <si>
    <t>International High School At Union Square</t>
  </si>
  <si>
    <t>40 Irving PL</t>
  </si>
  <si>
    <t>Criminal law</t>
  </si>
  <si>
    <t>Yale university school of law, Brooklyn law school, columbia University school law, St. John's university school of law</t>
  </si>
  <si>
    <t>Criminal law, criminalistic, law and criminology</t>
  </si>
  <si>
    <t>while im in high school having good grades for college</t>
  </si>
  <si>
    <t>Gain skills I can use at a future job, Get an internship, Learn about colleges, Learn about careers, Get coaches and mentors who can help me with college and career</t>
  </si>
  <si>
    <t>responsable, respectful, and calm</t>
  </si>
  <si>
    <t>responsibility, perseverance and objective</t>
  </si>
  <si>
    <t>School</t>
  </si>
  <si>
    <t>90.83</t>
  </si>
  <si>
    <t>rxdfwpmp1tmh59p11e0rxdfwpmpyaedx</t>
  </si>
  <si>
    <t>Heiscelys</t>
  </si>
  <si>
    <t>Campusano</t>
  </si>
  <si>
    <t>heiscelys.campusano.24@wheels-student.org</t>
  </si>
  <si>
    <t>+16467454025</t>
  </si>
  <si>
    <t>1011 Washington Av Apt 501 Bronx, NY 10456</t>
  </si>
  <si>
    <t>Celeste Mejia</t>
  </si>
  <si>
    <t>mejiaceleste1@gmail.com</t>
  </si>
  <si>
    <t>1011 Washington Av Apt 45 Bronx,NY 10456</t>
  </si>
  <si>
    <t>+13472795572</t>
  </si>
  <si>
    <t>511 W 182nd st New York, NY 10033</t>
  </si>
  <si>
    <t>Surgeon</t>
  </si>
  <si>
    <t>Neuro doctor</t>
  </si>
  <si>
    <t>Columbia University, Brown College, Penn University, UCLA</t>
  </si>
  <si>
    <t>Neuro medicine, Business, Law,</t>
  </si>
  <si>
    <t>By the end of the program I want to know what kind of doctor I want to be or simply just what role I want to take part of in the medical field.</t>
  </si>
  <si>
    <t>Get coaches and mentors who can help me with college and career, Get an internship, Gain skills I can use at a future job, Learn about colleges</t>
  </si>
  <si>
    <t>calm, quiet, curious</t>
  </si>
  <si>
    <t>patience, curiosity, and care</t>
  </si>
  <si>
    <t>I'm all good</t>
  </si>
  <si>
    <t>88.32%</t>
  </si>
  <si>
    <t>hjhjnsuedm7fs3ghyg8amhjhjnssa64k</t>
  </si>
  <si>
    <t>diogo</t>
  </si>
  <si>
    <t>perez</t>
  </si>
  <si>
    <t>diogo.rondon.23@wheels-student.org</t>
  </si>
  <si>
    <t>+16468363214</t>
  </si>
  <si>
    <t>188 wadsworth ave, New York NY 10033</t>
  </si>
  <si>
    <t>Anneris Perez</t>
  </si>
  <si>
    <t>annerisperez363@gmail.com</t>
  </si>
  <si>
    <t>188 wadsworth ave New York NY 10033</t>
  </si>
  <si>
    <t>+16467213844</t>
  </si>
  <si>
    <t>Washington Heights expeditionary learning shcool</t>
  </si>
  <si>
    <t>11 W 182nd St, New York, NY 10033</t>
  </si>
  <si>
    <t>23</t>
  </si>
  <si>
    <t>I am dominican</t>
  </si>
  <si>
    <t>real estate agency, photographer, business</t>
  </si>
  <si>
    <t>real estate agent</t>
  </si>
  <si>
    <t>Uconn, syracuse, st. johns, sienna, st. rose,</t>
  </si>
  <si>
    <t>real estate, marketing, engineer</t>
  </si>
  <si>
    <t>I will improve my GPA from a 2.7 to a 3.0 by the end of this semester. My ultimate goal is by the end of the year to have a 90 avg in order to raise my GPA.</t>
  </si>
  <si>
    <t>Get an internship, Get coaches and mentors who can help me with college and career, Learn about colleges, Learn about careers, Gain skills I can use at a future job</t>
  </si>
  <si>
    <t>Determined, reliable, energetic</t>
  </si>
  <si>
    <t>communication,creativity, and perseverance</t>
  </si>
  <si>
    <t>I play basketball and have dreams to play in the NBA one day</t>
  </si>
  <si>
    <t>makes me feel like i need to do better and be better</t>
  </si>
  <si>
    <t>ai5s24rrxqfdbe9b843m2jwai5s2f236</t>
  </si>
  <si>
    <t>544 west 147th street Apt 3D New York NY 1003</t>
  </si>
  <si>
    <t>around their 30 or 40</t>
  </si>
  <si>
    <t>Mainly english but also spanish</t>
  </si>
  <si>
    <t>Wildlife Biologist, Groomer,Laboratory animal caretaker, Animal Trainers, Animal control worker</t>
  </si>
  <si>
    <t>Kind, Smart, Tenacious</t>
  </si>
  <si>
    <t>Caring, Animal comprehension, Ambition</t>
  </si>
  <si>
    <t>My Knowledge of animals is very resourceful and helpful</t>
  </si>
  <si>
    <t>nkvtx5mkht6q70p0e7hnkvtejc8e9dh4</t>
  </si>
  <si>
    <t>Tiasha</t>
  </si>
  <si>
    <t>Grullon</t>
  </si>
  <si>
    <t>tiasha.grullon.23@wheels-student.org</t>
  </si>
  <si>
    <t>+19172158367</t>
  </si>
  <si>
    <t>500 west 190 street apt 3D 10040</t>
  </si>
  <si>
    <t>Joselin Madrigal</t>
  </si>
  <si>
    <t>madrigalin08@hotmail.com</t>
  </si>
  <si>
    <t>500 west 190 street Apt 3D Ny,Ny 10040</t>
  </si>
  <si>
    <t>+19293058279</t>
  </si>
  <si>
    <t>Washington heights expeditionary learning school</t>
  </si>
  <si>
    <t>511 west 182nd street 10033</t>
  </si>
  <si>
    <t>32 years ago</t>
  </si>
  <si>
    <t>It is a huge part of my life and family.</t>
  </si>
  <si>
    <t>Elder care/ child care, tutoring, customer service and/or finance.</t>
  </si>
  <si>
    <t>Math teacher, home attendant or entrepreneur</t>
  </si>
  <si>
    <t>SUNY college at Albany, Lehman College, University at Buffalo, Stony Brook University, Hunter College, The City College Of New York</t>
  </si>
  <si>
    <t>Social worker, therapist, or babysitter</t>
  </si>
  <si>
    <t>I will go to every meeting until the internship is done, being on time, and getting more experience and knowledge about my career path</t>
  </si>
  <si>
    <t>Gain skills I can use at a future job, Get coaches and mentors who can help me with college and career, Get an internship</t>
  </si>
  <si>
    <t>Adventurous because I am down for anything, social because I enjoy talking with people and curious because I’m almost always asking questions.</t>
  </si>
  <si>
    <t>I’m social, empathetic and good with numbers</t>
  </si>
  <si>
    <t>I’m looking forward to creating friendships with the people who help me long the way.</t>
  </si>
  <si>
    <t>Supported and like I belong</t>
  </si>
  <si>
    <t>Atheist</t>
  </si>
  <si>
    <t>77%</t>
  </si>
  <si>
    <t>5okfyoza7mut626i5okfyztt215vegyd</t>
  </si>
  <si>
    <t>Cristian</t>
  </si>
  <si>
    <t>Cristian.rodriguez.24@wheels-student.org</t>
  </si>
  <si>
    <t>+16463464430</t>
  </si>
  <si>
    <t>511w 181st apt22 10033</t>
  </si>
  <si>
    <t>Maria Gregorio</t>
  </si>
  <si>
    <t>happybonie99667@gmail.com</t>
  </si>
  <si>
    <t>+16464549574</t>
  </si>
  <si>
    <t>182nd street</t>
  </si>
  <si>
    <t>Physicist</t>
  </si>
  <si>
    <t>Physicist or a business owner of some sort</t>
  </si>
  <si>
    <t>Princeton, Stanford, City college of new york, University of Massachusetts Amherst,University of Rochester, University of California (I cant think of any more)</t>
  </si>
  <si>
    <t>Dentist, Doctor, Software developer</t>
  </si>
  <si>
    <t>My "SMART" goal in this program is to find more occupations to work torwards.</t>
  </si>
  <si>
    <t>Learn about careers, Get coaches and mentors who can help me with college and career</t>
  </si>
  <si>
    <t>Hardworking, Responsible, Reliable</t>
  </si>
  <si>
    <t>I try as hard as i can as long as im passionate about it</t>
  </si>
  <si>
    <t>Nothing really, thank you for your time</t>
  </si>
  <si>
    <t>90.75</t>
  </si>
  <si>
    <t>4lt6q860wuowvhqms24lt6q5s3vg31hk</t>
  </si>
  <si>
    <t>alfonsinar49@gmail.com</t>
  </si>
  <si>
    <t>+19294319043</t>
  </si>
  <si>
    <t>555W 173st Apt 45 Manhattan,NY 10032</t>
  </si>
  <si>
    <t>Maria de leon</t>
  </si>
  <si>
    <t>estelin09d@gmail.com</t>
  </si>
  <si>
    <t>555W 173st Apt 45 Manhattan, NY 10032</t>
  </si>
  <si>
    <t>+19294625527</t>
  </si>
  <si>
    <t>511W 182nd St New York, NY 10033</t>
  </si>
  <si>
    <t>Pediatrician &amp; OBGYN</t>
  </si>
  <si>
    <t>Obgyn &amp; pediatrician</t>
  </si>
  <si>
    <t>Columbia university, suny</t>
  </si>
  <si>
    <t>Obgyn, pediatrician,</t>
  </si>
  <si>
    <t>My goal is to learn more about different carriers and learn more about the carrier that I want to practice</t>
  </si>
  <si>
    <t>Artistic, Dependable and I learn new things quickl</t>
  </si>
  <si>
    <t>I am curious. 
I am creative.
I love to help other people.</t>
  </si>
  <si>
    <t>No!</t>
  </si>
  <si>
    <t>79.62</t>
  </si>
  <si>
    <t>zskgiub2ak9xfwijrx0zskgb7wl2xxx5</t>
  </si>
  <si>
    <t>matthew</t>
  </si>
  <si>
    <t>vargas</t>
  </si>
  <si>
    <t>matthew.vargas.23@wheels-student.org</t>
  </si>
  <si>
    <t>+19293129869</t>
  </si>
  <si>
    <t>10w 182nd st. bronx NY 10453</t>
  </si>
  <si>
    <t>karina nunez</t>
  </si>
  <si>
    <t>mv2kops115311@gmail.com</t>
  </si>
  <si>
    <t>10 w 182ns st. bronx NY 10453</t>
  </si>
  <si>
    <t>+13479516753</t>
  </si>
  <si>
    <t>washington heights expeditionary learning school</t>
  </si>
  <si>
    <t>west 182nd street, newyork NY</t>
  </si>
  <si>
    <t>dominican republic and puerto rico</t>
  </si>
  <si>
    <t>dominican/puertorican</t>
  </si>
  <si>
    <t>automechanic</t>
  </si>
  <si>
    <t>ferris state university,Northern Michigan University,wytechUniversity of Northwestern Ohio,</t>
  </si>
  <si>
    <t>computer engineering, coding, engineering</t>
  </si>
  <si>
    <t>specific: I will do more research on my career measurable: everyday for at least an hour</t>
  </si>
  <si>
    <t>Get coaches and mentors who can help me with college and career, Gain skills I can use at a future job, Learn about careers, Make new friends</t>
  </si>
  <si>
    <t>chill interested and motivated because thats what people describe me as</t>
  </si>
  <si>
    <t>no there's nothing else</t>
  </si>
  <si>
    <t>87.7</t>
  </si>
  <si>
    <t>ci35d5gd5mi0p2804ci35d5d63jydvxw</t>
  </si>
  <si>
    <t>Piron II</t>
  </si>
  <si>
    <t>omar.piron.23@wheels-student.org</t>
  </si>
  <si>
    <t>+19176696032</t>
  </si>
  <si>
    <t>495 W 186th St. Apt# 6c, NYC, 10033</t>
  </si>
  <si>
    <t>Katty Piron</t>
  </si>
  <si>
    <t>kattypiron@hotmail.com</t>
  </si>
  <si>
    <t>495 W 186th St. Apt# 6c, NYC, New York, 10033</t>
  </si>
  <si>
    <t>+16463771740</t>
  </si>
  <si>
    <t>511 W 182nd St</t>
  </si>
  <si>
    <t>25 years ago</t>
  </si>
  <si>
    <t>Latino American</t>
  </si>
  <si>
    <t>Some sort of engineer or computer scientist</t>
  </si>
  <si>
    <t>Engineer or computer scientist</t>
  </si>
  <si>
    <t>columbia university, marist college, mercy college, city college of new york, lehman college, New York City College of Technology, MIT, University of California Los Angeles, NYU</t>
  </si>
  <si>
    <t>Computer scientists, computer Engineer, other Engineer, I don't know anything else</t>
  </si>
  <si>
    <t>I am trying to find a career that suits me. I am trying to figure out if the career that I have an idea of will work for me. If yes then I will build on my skills. If not, then I will choose a different path and build my skill on those skills.</t>
  </si>
  <si>
    <t>Learn about careers, Get coaches and mentors who can help me with college and career, Gain skills I can use at a future job, Learn about colleges</t>
  </si>
  <si>
    <t>Smart, focused, and quiet. Smart because my friends see me that way. Focused because I get the job done but I tend to procrastinate. Quiet because I don't socialize a lot.</t>
  </si>
  <si>
    <t>Coding, working on google slides, I can assemble</t>
  </si>
  <si>
    <t>I don't have anything else to say.</t>
  </si>
  <si>
    <t>Normal</t>
  </si>
  <si>
    <t>3aoplnab2a68mp3hhiew13aofij6rjhz</t>
  </si>
  <si>
    <t>Johalyn</t>
  </si>
  <si>
    <t>9/21/0005</t>
  </si>
  <si>
    <t>johalyn.perez.23@wheels-student.org</t>
  </si>
  <si>
    <t>+13474462717</t>
  </si>
  <si>
    <t>490 w 187st New York New York 10033</t>
  </si>
  <si>
    <t>IG nycJoha</t>
  </si>
  <si>
    <t>Giovanny Rodriguez</t>
  </si>
  <si>
    <t>diazdionis@gmail.com</t>
  </si>
  <si>
    <t>+19175783273</t>
  </si>
  <si>
    <t>Wheels</t>
  </si>
  <si>
    <t>Hispanic, White, Dominican Republic</t>
  </si>
  <si>
    <t>both English and Spanish</t>
  </si>
  <si>
    <t>Dermatologist</t>
  </si>
  <si>
    <t>dermatologist</t>
  </si>
  <si>
    <t>Russel sage, Rider University, St John University, Hunter College, Colombia, Syracuse, Wake Forest University, Duke University, North Carolina State University</t>
  </si>
  <si>
    <t>Density, Pediatric, Business, Finical Medical general</t>
  </si>
  <si>
    <t>I will stay focused through this whole program being on task and applying the skills I learn in my academic work.</t>
  </si>
  <si>
    <t>Respectfully Very helpful Responsible</t>
  </si>
  <si>
    <t>showing perseverance hard-working dedication</t>
  </si>
  <si>
    <t>I love baseball</t>
  </si>
  <si>
    <t>2.9</t>
  </si>
  <si>
    <t>1d6zsni6d09mijccsdrfm331d6zsni6d</t>
  </si>
  <si>
    <t>juana</t>
  </si>
  <si>
    <t>verdecia</t>
  </si>
  <si>
    <t>juana.verdecia.24@wheels-student.org</t>
  </si>
  <si>
    <t>+13472903499</t>
  </si>
  <si>
    <t>708 w 177th st apt 4f new york ny 10033</t>
  </si>
  <si>
    <t>wilson verdecia and sandra verdecia</t>
  </si>
  <si>
    <t>sandraverdecia023@gmail.com</t>
  </si>
  <si>
    <t>+19175758239</t>
  </si>
  <si>
    <t>cuba and el salvodor</t>
  </si>
  <si>
    <t>im hard working and a kind person</t>
  </si>
  <si>
    <t>english,spanish,and a bit of bulgarian</t>
  </si>
  <si>
    <t>police officer</t>
  </si>
  <si>
    <t>i dont khow</t>
  </si>
  <si>
    <t>working with kids thats it beside being a police</t>
  </si>
  <si>
    <t>Learning about my potential interests in regards to a career and learning more about career paths.</t>
  </si>
  <si>
    <t>kind beacuse i am just a kind person to pepeole beacuse i would not like it if others didnt show kindness to me so i show kindness to others so that they can give it to me,hard working beacuse all my life i have pushed myself to try and to try hard and to be hard working just like my mother,understanding beacuse pepole go throw stuff and i most be understanding beacuse i have no right to be mean to no one</t>
  </si>
  <si>
    <t>my kindnees my hardworking self and  my ability to learn and im a Active listening when it comes to my future jod</t>
  </si>
  <si>
    <t>good and it makes me feel like i can do it no matter what and to keep on going to get what u want in life</t>
  </si>
  <si>
    <t>69.04</t>
  </si>
  <si>
    <t>8df56apbolpmgp2ak968df56aknj2i3r</t>
  </si>
  <si>
    <t>Scarlett</t>
  </si>
  <si>
    <t>Cotto</t>
  </si>
  <si>
    <t>scarlettsophia03@icloud.com</t>
  </si>
  <si>
    <t>+19292739022</t>
  </si>
  <si>
    <t>186 E 164th St Apt 4B, Bronx NY, 10456</t>
  </si>
  <si>
    <t>Noemi Martinez</t>
  </si>
  <si>
    <t>186 E 164th St Apt 4B Bronx NY, 10456</t>
  </si>
  <si>
    <t>+16463053203</t>
  </si>
  <si>
    <t>Bronx Community High School</t>
  </si>
  <si>
    <t>1980 Lafayette Ave</t>
  </si>
  <si>
    <t>I am puerto rican</t>
  </si>
  <si>
    <t>Spanish &amp; English</t>
  </si>
  <si>
    <t>Animal Behavior &amp; Care Technician</t>
  </si>
  <si>
    <t>Someone i know</t>
  </si>
  <si>
    <t>Cuny Schools that have science major</t>
  </si>
  <si>
    <t>Careers that work with animals</t>
  </si>
  <si>
    <t>I will improve to not procrastinate</t>
  </si>
  <si>
    <t>energetic, cheerful , thankful</t>
  </si>
  <si>
    <t>communication skills, determined &amp; well organized</t>
  </si>
  <si>
    <t>I need more ideas of different careers that work with animals</t>
  </si>
  <si>
    <t>Safe , supported</t>
  </si>
  <si>
    <t>likls7brbpyv1q61slikiakbvvsyev6e</t>
  </si>
  <si>
    <t>Keren</t>
  </si>
  <si>
    <t>Mejia Calderon</t>
  </si>
  <si>
    <t>2023_kerenmejia@ihs-us.org</t>
  </si>
  <si>
    <t>+19293716094</t>
  </si>
  <si>
    <t>7006 66 St.Glendale, NY 11385</t>
  </si>
  <si>
    <t>anyelizac@hotmail.com</t>
  </si>
  <si>
    <t>7006 66 St. Glendale, NY 11385</t>
  </si>
  <si>
    <t>+13474898017</t>
  </si>
  <si>
    <t>International High School-Union Square</t>
  </si>
  <si>
    <t>Pastry Chef</t>
  </si>
  <si>
    <t>Banking and Pastry</t>
  </si>
  <si>
    <t>Baking and Pastry</t>
  </si>
  <si>
    <t>I'm gonna be on time to every period on school.</t>
  </si>
  <si>
    <t>Gain skills I can use at a future job, Learn about careers, Get coaches and mentors who can help me with college and career, Make new friends, Get an internship, Learn about colleges</t>
  </si>
  <si>
    <t>Kind, dedicate, and humble</t>
  </si>
  <si>
    <t>Emotional and social intelligence
Creative and innovative mindset</t>
  </si>
  <si>
    <t>9myv3968eatkohlf59myv3rnrv8swdfk</t>
  </si>
  <si>
    <t>Salgado</t>
  </si>
  <si>
    <t>cmhernandez@inths.org</t>
  </si>
  <si>
    <t>+16469122178</t>
  </si>
  <si>
    <t>8824 24 Ave 3rd fl Brooklyn, NY 11214</t>
  </si>
  <si>
    <t>Carlos Salgado</t>
  </si>
  <si>
    <t>notapplicable@inths.org</t>
  </si>
  <si>
    <t>8824 24 Ave 3rd fl Brooklyn NY 11214</t>
  </si>
  <si>
    <t>+13479327993</t>
  </si>
  <si>
    <t>2630 Benson Ave Brooklyn, NY 11214</t>
  </si>
  <si>
    <t>Real Estate Broker</t>
  </si>
  <si>
    <t>NY City College, Kingborough Community College, Brooklyn College, BMCC,</t>
  </si>
  <si>
    <t>Social Work, Business, Finance, Design, Architecture</t>
  </si>
  <si>
    <t>I want to to pass all Regents exams, portfolios, and classes this school year.</t>
  </si>
  <si>
    <t>Get coaches and mentors who can help me with college and career, Gain skills I can use at a future job, Learn about colleges, Make new friends</t>
  </si>
  <si>
    <t>friendly, confident, helpful</t>
  </si>
  <si>
    <t>outgoing, self-advocacy, listening</t>
  </si>
  <si>
    <t>m7vrqximc2xlz6cpjovm7vrqxnezyiyi</t>
  </si>
  <si>
    <t>Gabriel</t>
  </si>
  <si>
    <t>Morris</t>
  </si>
  <si>
    <t>2023_gabrielmorris@ihs-us.org</t>
  </si>
  <si>
    <t>+13474898071</t>
  </si>
  <si>
    <t>477FDR drive New York  NY APT 1504 M 10002</t>
  </si>
  <si>
    <t>banksgeovanny</t>
  </si>
  <si>
    <t>Esteban Morris</t>
  </si>
  <si>
    <t>+19172444525</t>
  </si>
  <si>
    <t>I want to improve my grade in math class by 5 points, from 79 to 85, by taking more time to study and understand my class, by the end of this month.</t>
  </si>
  <si>
    <t>Three adjectives that describe me as a person are: relaxed because I am a person that does not get in trouble, impatient because I get very desperate, and bored because I don't put too much interest in things.</t>
  </si>
  <si>
    <t>Communication, organization, Responsible</t>
  </si>
  <si>
    <t>81.62</t>
  </si>
  <si>
    <t>heb5wpmata9wawjpheb5wpdm938hmixs</t>
  </si>
  <si>
    <t>Toure</t>
  </si>
  <si>
    <t>2023_mariamatoure@ihs-us.org</t>
  </si>
  <si>
    <t>+16462443326</t>
  </si>
  <si>
    <t>696Courtlandt Ave,Bronx,NY, 10451 Apt#3B</t>
  </si>
  <si>
    <t>Mamadou Toure</t>
  </si>
  <si>
    <t>marimatoure46@gmail.com</t>
  </si>
  <si>
    <t>696 Courtlandt Ave, Bronx, NY, 10451,Apt#3B</t>
  </si>
  <si>
    <t>+19173302726</t>
  </si>
  <si>
    <t>40 Iriving Pl</t>
  </si>
  <si>
    <t>wolof,french</t>
  </si>
  <si>
    <t>computer science</t>
  </si>
  <si>
    <t>computer science, nurse, laws, social worker, teacher</t>
  </si>
  <si>
    <t>my goal is to an A in all my classes</t>
  </si>
  <si>
    <t>strong, hard worker, shy because i don't know how to give</t>
  </si>
  <si>
    <t>not yet</t>
  </si>
  <si>
    <t>90.44</t>
  </si>
  <si>
    <t>78ww54aevua2ggogtf5d178wh6zis66c</t>
  </si>
  <si>
    <t>Pontes</t>
  </si>
  <si>
    <t>2023_juliapontes@ihs-us.org</t>
  </si>
  <si>
    <t>+19299339920</t>
  </si>
  <si>
    <t>30 River Road, new york, NY 10044</t>
  </si>
  <si>
    <t>Antonio Pontes</t>
  </si>
  <si>
    <t>30 river road, new york,NY, 10044</t>
  </si>
  <si>
    <t>+16466181399</t>
  </si>
  <si>
    <t>International High School at US</t>
  </si>
  <si>
    <t>40 Irving pl</t>
  </si>
  <si>
    <t>Brazil</t>
  </si>
  <si>
    <t>1 month</t>
  </si>
  <si>
    <t>Portuguese</t>
  </si>
  <si>
    <t>Veterinarian, Biologist, English teacher</t>
  </si>
  <si>
    <t>Not decided</t>
  </si>
  <si>
    <t>NYU, USP, UNICAMP, yale</t>
  </si>
  <si>
    <t>Veterinarian, english teacher, biologist</t>
  </si>
  <si>
    <t>Improve my grades</t>
  </si>
  <si>
    <t>Organized, Hard work, Curious</t>
  </si>
  <si>
    <t>unsure</t>
  </si>
  <si>
    <t>7exz6suvwsp85dck517exz6sf0lcybux</t>
  </si>
  <si>
    <t>Takezo</t>
  </si>
  <si>
    <t>Fujita Ostman</t>
  </si>
  <si>
    <t>2023_takezoostman@ihs-us.org</t>
  </si>
  <si>
    <t>+19175174410</t>
  </si>
  <si>
    <t>6 Stuyvesant Oval 10A, New York, NY, 10009</t>
  </si>
  <si>
    <t>Bjorn Ostman</t>
  </si>
  <si>
    <t>parictis@gmail.com</t>
  </si>
  <si>
    <t>6 Stuyvesant Oval 10A, NewYork, NY, 10009</t>
  </si>
  <si>
    <t>+15177631232</t>
  </si>
  <si>
    <t>Me and my mother were born in Japan, and my father is from Denmark.</t>
  </si>
  <si>
    <t>In the 90's</t>
  </si>
  <si>
    <t>Supermarket job. I got it by asking them.</t>
  </si>
  <si>
    <t>IDK</t>
  </si>
  <si>
    <t>I don't have a specific goal for now</t>
  </si>
  <si>
    <t>Hard working, kind, intelligent</t>
  </si>
  <si>
    <t>Intelligence, hard working, kindness</t>
  </si>
  <si>
    <t>86.11%</t>
  </si>
  <si>
    <t>lx0s6trw3kh1bf10yjyuulx0s6t7z1x2</t>
  </si>
  <si>
    <t>Osvaldo</t>
  </si>
  <si>
    <t>oasis17d@gmail.com</t>
  </si>
  <si>
    <t>+13474447694</t>
  </si>
  <si>
    <t>2265 Morris avenue 10453</t>
  </si>
  <si>
    <t>osw_rc</t>
  </si>
  <si>
    <t>Miguel Angel Rodriguez Bonola</t>
  </si>
  <si>
    <t>angelbonola1@gmail.com</t>
  </si>
  <si>
    <t>2265 Morris Avenue 10453</t>
  </si>
  <si>
    <t>+13474445142</t>
  </si>
  <si>
    <t>International High School</t>
  </si>
  <si>
    <t>40 Irving place NY 10003</t>
  </si>
  <si>
    <t>im not sure</t>
  </si>
  <si>
    <t>I don't have a job right now</t>
  </si>
  <si>
    <t>health/ medicine, social science, biology, education, laws</t>
  </si>
  <si>
    <t>next semester I want to improve my history's grades</t>
  </si>
  <si>
    <t>thinker, listener and quick learner</t>
  </si>
  <si>
    <t>quick learner,  organizer, responsible</t>
  </si>
  <si>
    <t>89.39</t>
  </si>
  <si>
    <t>7pmlo8xoo50vfrn6k6r7pmlo8va2n7n4</t>
  </si>
  <si>
    <t>salem</t>
  </si>
  <si>
    <t>2023_alisalem@ihs-us.org</t>
  </si>
  <si>
    <t>+19296035627</t>
  </si>
  <si>
    <t>532 9th ave apt 4c</t>
  </si>
  <si>
    <t>instagram, whatsApp, facebook.</t>
  </si>
  <si>
    <t>First : Saad  last : Ahmed</t>
  </si>
  <si>
    <t>+16465417523</t>
  </si>
  <si>
    <t>International high school at union Square</t>
  </si>
  <si>
    <t>40 Irving Pl</t>
  </si>
  <si>
    <t>arabic</t>
  </si>
  <si>
    <t>accountant</t>
  </si>
  <si>
    <t>do homework on time.</t>
  </si>
  <si>
    <t>Get an internship, Learn about colleges</t>
  </si>
  <si>
    <t>kind, smart, confident.</t>
  </si>
  <si>
    <t>On-time, Customer service, social.</t>
  </si>
  <si>
    <t>I sometimes have a hard time understanding English.</t>
  </si>
  <si>
    <t>85.90%</t>
  </si>
  <si>
    <t>l5nio8en8s14uslzl5niokg4a2ulhsjc</t>
  </si>
  <si>
    <t>Eliexer</t>
  </si>
  <si>
    <t>Santos</t>
  </si>
  <si>
    <t>eliexeraka2k@gmail.com</t>
  </si>
  <si>
    <t>+19292163420</t>
  </si>
  <si>
    <t>1790 story ave</t>
  </si>
  <si>
    <t>Lino Santos</t>
  </si>
  <si>
    <t>10473</t>
  </si>
  <si>
    <t>+13474853958</t>
  </si>
  <si>
    <t>1980 lafayette ave</t>
  </si>
  <si>
    <t>sanitation</t>
  </si>
  <si>
    <t>ucla</t>
  </si>
  <si>
    <t>ill do my best</t>
  </si>
  <si>
    <t>relentless</t>
  </si>
  <si>
    <t>problem solving</t>
  </si>
  <si>
    <t>great</t>
  </si>
  <si>
    <t>american</t>
  </si>
  <si>
    <t>2h5rxjc6etay5q9xz2h5rxzqvy4j10ce</t>
  </si>
  <si>
    <t>kaitlynn</t>
  </si>
  <si>
    <t>coppin</t>
  </si>
  <si>
    <t>kaitlynnC9329@bronxcommunityhighschool.org</t>
  </si>
  <si>
    <t>+13472618339</t>
  </si>
  <si>
    <t>1210 Croes ave, 4C</t>
  </si>
  <si>
    <t>nina cruz</t>
  </si>
  <si>
    <t>ninacruz233@gmail.com</t>
  </si>
  <si>
    <t>3472378998</t>
  </si>
  <si>
    <t>+13472378998</t>
  </si>
  <si>
    <t>bronx community highschool</t>
  </si>
  <si>
    <t>1980 layfettete ave</t>
  </si>
  <si>
    <t>english/spanish</t>
  </si>
  <si>
    <t>sociol worker</t>
  </si>
  <si>
    <t>kfc fast food worker</t>
  </si>
  <si>
    <t>bchs</t>
  </si>
  <si>
    <t>hair , school, law,cop,office</t>
  </si>
  <si>
    <t>my smart goal is to graduate highschool</t>
  </si>
  <si>
    <t>Get an internship, Make new friends, Learn about colleges, Learn about careers, Gain skills I can use at a future job, Get coaches and mentors who can help me with college and career</t>
  </si>
  <si>
    <t>kind smart funny</t>
  </si>
  <si>
    <t>drawning makeup communitcqation</t>
  </si>
  <si>
    <t>h5d37af7xr2f0ldzcahh5d37aisl90b9</t>
  </si>
  <si>
    <t>Kiara</t>
  </si>
  <si>
    <t>Paulino</t>
  </si>
  <si>
    <t>kiarapaulino@claremontihs.org</t>
  </si>
  <si>
    <t>+16466410588</t>
  </si>
  <si>
    <t>10456</t>
  </si>
  <si>
    <t>Herson Paulino</t>
  </si>
  <si>
    <t>hpaulino@live.com</t>
  </si>
  <si>
    <t>+13477579237</t>
  </si>
  <si>
    <t>Claremont international hight school</t>
  </si>
  <si>
    <t>240 E 172 s</t>
  </si>
  <si>
    <t>n</t>
  </si>
  <si>
    <t>Law, Medicine, Physicologist</t>
  </si>
  <si>
    <t>Improve my skills</t>
  </si>
  <si>
    <t>Responsable, Funny, Creative</t>
  </si>
  <si>
    <t>Team work, Concise communication, Critical thinking</t>
  </si>
  <si>
    <t>good, support</t>
  </si>
  <si>
    <t>N/a credits transfer from DR</t>
  </si>
  <si>
    <t>v8hmps1notmgfq7ha55v8hmp21ec0fay</t>
  </si>
  <si>
    <t>Payano</t>
  </si>
  <si>
    <t>emelypayano@claremontihs.org</t>
  </si>
  <si>
    <t>+19293203672</t>
  </si>
  <si>
    <t>2300 Grand Concourse Apt 6E Bronx NY 10458</t>
  </si>
  <si>
    <t>Alfredo Payano</t>
  </si>
  <si>
    <t>alfredopayano697@gmail.com</t>
  </si>
  <si>
    <t>2300 Grand Concourse Apt6E Bronx NY 10458</t>
  </si>
  <si>
    <t>+19176576241</t>
  </si>
  <si>
    <t>240 E 172nd Street Bronx, NY 10457</t>
  </si>
  <si>
    <t>Flight attendant</t>
  </si>
  <si>
    <t>I want to be a stewardess since I would love to see many places and countries</t>
  </si>
  <si>
    <t>I don't have any yet</t>
  </si>
  <si>
    <t>Flight attendant y Criminology</t>
  </si>
  <si>
    <t>I feel I’m a bit ambitious and when I set my mind to something I look for a way achieve it</t>
  </si>
  <si>
    <t>Ambitious,Friendly and Cheerful because I feel that a year ago I couldn’t be myself and I had to try to have another personality  to fit in but it’s just me Emely and her sarcastic comments</t>
  </si>
  <si>
    <t>I’m friendly,Cheerful and Careful(with some things)</t>
  </si>
  <si>
    <t>No, really</t>
  </si>
  <si>
    <t>78.52%</t>
  </si>
  <si>
    <t>e1imf26azuypbhsnw9e1imf26ixrlf04</t>
  </si>
  <si>
    <t>Darwin</t>
  </si>
  <si>
    <t>darwinguerrero@claremontihs.org</t>
  </si>
  <si>
    <t>+13477480235</t>
  </si>
  <si>
    <t>1689 Monroe Ave, Bronx, NY 10457</t>
  </si>
  <si>
    <t>Felix Guerrero</t>
  </si>
  <si>
    <t>felixga109@gmail.com</t>
  </si>
  <si>
    <t>+16462419835</t>
  </si>
  <si>
    <t>240 East 172nd St., Bronx, NY 10457</t>
  </si>
  <si>
    <t>My grandparents are natives of a town in Mexico, and I can understand their language.</t>
  </si>
  <si>
    <t>Medical examiner, Dentistry</t>
  </si>
  <si>
    <t>Be a Dentistry</t>
  </si>
  <si>
    <t>Marist College, Hofstra university and Hartwick College and I'm still looking for more universities</t>
  </si>
  <si>
    <t>Dentistry, Public Relations Specialists, Film and Video Editors and Camera Operators, Corporate communications.</t>
  </si>
  <si>
    <t>I want to improve my GPA on a 10% more, from 78% to 90% by doing this I will have more opportunities to enter to a good collage on the future, I will complete my achievements for the end of this school year.</t>
  </si>
  <si>
    <t>Ambitious - I am ambitious because when I propose I want to complete my achievement.
Adaptable - I am able to adapt myself on whatever situation to help people.
Amiable  - Always help my classmates with whatever they need help and treated them with the respect they deserve.</t>
  </si>
  <si>
    <t>Positive attitude
Teamwork
Willingness to learn
Organisation
Perseverance</t>
  </si>
  <si>
    <t>I am still learning step by step of how I will complete my achievements to finish the career I want to study and I want to help the people around me for complete their goals.</t>
  </si>
  <si>
    <t>Connected and Safe</t>
  </si>
  <si>
    <t>78.91%</t>
  </si>
  <si>
    <t>0h8rmbijps8q8qgqv0h8rmb09sclkt32</t>
  </si>
  <si>
    <t>anafabian@claremontihs.org</t>
  </si>
  <si>
    <t>102-26 martense ave Corona,Queens</t>
  </si>
  <si>
    <t>Erika Monterrosa</t>
  </si>
  <si>
    <t>erikamonterrosa4@gmail.com</t>
  </si>
  <si>
    <t>102-26 Martense ave Corona, Queens</t>
  </si>
  <si>
    <t>+19298107738</t>
  </si>
  <si>
    <t>240 E. 172nd St Bronx NY 10457</t>
  </si>
  <si>
    <t>I was not born in the United States and I came to the country with my mother 3 years ago</t>
  </si>
  <si>
    <t>biologist or veterinary doctor</t>
  </si>
  <si>
    <t>During the summer of 2021, thanks to my school, I had the opportunity to work in a school during a summer camp helping the teachers to take care of and make crafts with third grade children.</t>
  </si>
  <si>
    <t>I haven’t researched any colleges yet.</t>
  </si>
  <si>
    <t>veterinary doctor, biologist , animal husbandry , nurse</t>
  </si>
  <si>
    <t>Increase my chances of entering a university by looking for at least 10 options and I will go from having 1 option to having 11 by investigating more with the help of professionals by the end of the intership</t>
  </si>
  <si>
    <t>kind, quiet, listener</t>
  </si>
  <si>
    <t>Team work, listen to others, creativity</t>
  </si>
  <si>
    <t>I am a person with a lot of empathy with those around me, I also know how to listen and I am open to new points of view and opinions</t>
  </si>
  <si>
    <t>asylee</t>
  </si>
  <si>
    <t>85.21</t>
  </si>
  <si>
    <t>rher3qdycnxioyzstgodrher3y6huemh</t>
  </si>
  <si>
    <t>Dinardi</t>
  </si>
  <si>
    <t>diego.a.dinardi@gmail.com</t>
  </si>
  <si>
    <t>+19393881245</t>
  </si>
  <si>
    <t>2100 Creston Ave, Bronx, NY 10453 apt 5L</t>
  </si>
  <si>
    <t>diego.dinardi</t>
  </si>
  <si>
    <t>Juan Dinardi</t>
  </si>
  <si>
    <t>jpdinardi@gmail.com</t>
  </si>
  <si>
    <t>2100 Creston Ave, New York NY 10453 Apt 5L</t>
  </si>
  <si>
    <t>+17873787660</t>
  </si>
  <si>
    <t>Claremont internacional high school</t>
  </si>
  <si>
    <t>240 E. 172nd St. Bx, NY 10457</t>
  </si>
  <si>
    <t>My dad is from Chile, my mom is from Dominican Republic and I was born in Puerto Rico</t>
  </si>
  <si>
    <t>My dad moved to Puerto Rico when he was 13 so 37 years and I don’t know from my mom</t>
  </si>
  <si>
    <t>We’ve been jumping from place to place, all over the place</t>
  </si>
  <si>
    <t>software engineer, Business studies, architect</t>
  </si>
  <si>
    <t>Software engineer work in a big Tec company, have my own business or something to do with business</t>
  </si>
  <si>
    <t>New Jersey intuition of technology</t>
  </si>
  <si>
    <t>Engineering, architecture, business study’s, Financial Manager, Market Research Analyst, economist, real state</t>
  </si>
  <si>
    <t>I want know what I want to study by the end of the year. I want to get an A(I have a b now) in AP Spanish by the end of the year. I want to be more social and more active in my school community. Pass all my clases in the 11th grade with A’s. Be more consistent in my overall life</t>
  </si>
  <si>
    <t>I’m determined, I know what I want, I am persistent because when I know what I want I will do my best to achieve it and I’m composed because having control over yourself is very important.</t>
  </si>
  <si>
    <t>I work well under pressure, I’m reliable, I’m trustworthy</t>
  </si>
  <si>
    <t>I need some help figuring out what I want to do as my career. One thing I know is that I don’t want to be working for someone for 20 years, lord having a dead end job.</t>
  </si>
  <si>
    <t>84.60</t>
  </si>
  <si>
    <t>pbscut0a0s5909gqp5d1pbsc22g6j837</t>
  </si>
  <si>
    <t>Noelia</t>
  </si>
  <si>
    <t>Pimentel</t>
  </si>
  <si>
    <t>noeliapimentel@claremontihs.org</t>
  </si>
  <si>
    <t>+19294086400</t>
  </si>
  <si>
    <t>1044 Ave Saint John Bronx, NY 10455</t>
  </si>
  <si>
    <t>Nubia Marichal</t>
  </si>
  <si>
    <t>pimentelnoelia336@gmail.com</t>
  </si>
  <si>
    <t>+19294745056</t>
  </si>
  <si>
    <t>Medical specialist in surgery,</t>
  </si>
  <si>
    <t>none yet</t>
  </si>
  <si>
    <t>Surgeon, stewardess, pediatrics</t>
  </si>
  <si>
    <t>I am a very ambitious person, I never rest until</t>
  </si>
  <si>
    <t>sensible, creative, impatient</t>
  </si>
  <si>
    <t>patient, observant, witty</t>
  </si>
  <si>
    <t>74.25%</t>
  </si>
  <si>
    <t>64j7tjps3hojyjs164j7tkrpbi7h1bqg</t>
  </si>
  <si>
    <t>Ashleysosaaa120@gmail.com</t>
  </si>
  <si>
    <t>+19293712837</t>
  </si>
  <si>
    <t>1545 Nelson Ave, Apartment 35, Bronx NY 10452</t>
  </si>
  <si>
    <t>Celeste Mercedes</t>
  </si>
  <si>
    <t>Claudiamercedez20@gmail.com</t>
  </si>
  <si>
    <t>+16463182939</t>
  </si>
  <si>
    <t>X564 Claremont International High School</t>
  </si>
  <si>
    <t>240 E 172nd St, Bronx, NY 10457</t>
  </si>
  <si>
    <t>Years ago</t>
  </si>
  <si>
    <t>I was born in the United States but grew up in the Dominican Republic</t>
  </si>
  <si>
    <t>I haven't decided on any college yet.</t>
  </si>
  <si>
    <t>The only one I'm interested in is pediatrics.</t>
  </si>
  <si>
    <t>My goal is to be able to get good information about this program, that the person who guides me about the career I am interested in helps me a lot. I will improve my average to obtain much more, to be able to achieve the goal of being ready for college, to feel that I can give much more of myself (may my academic knowledge help me to have a good average).</t>
  </si>
  <si>
    <t>Energetic: Energetic because I know that I can give my best and I set high goals for myself, even if the path is complicated, I continue to fight.
Firm: Firm because if I have a purpose I don't let it go, firm because I stay in the position with which I started.
Safe: Safe because I know the kind of person I am (I'm sure of myself), because I trust that my values that have been inculcated in me can be reflected in some way.</t>
  </si>
  <si>
    <t>Discipline
Perseverance
Empathy</t>
  </si>
  <si>
    <t>80.90%</t>
  </si>
  <si>
    <t>nx6wvswssoufnx6w801wj00qr68gy0u2</t>
  </si>
  <si>
    <t>Lisvany</t>
  </si>
  <si>
    <t>7/23/0005</t>
  </si>
  <si>
    <t>lisvanygs0523@gmail.com</t>
  </si>
  <si>
    <t>+19176032144</t>
  </si>
  <si>
    <t>700 morris av 10451 bronx, New York</t>
  </si>
  <si>
    <t>marilisa sanchez</t>
  </si>
  <si>
    <t>marilisasdv@gmail.com</t>
  </si>
  <si>
    <t>700 morris av 10451</t>
  </si>
  <si>
    <t>+19173326886</t>
  </si>
  <si>
    <t>240 E 172nd Street Bronx new york 10457</t>
  </si>
  <si>
    <t>i did not born here</t>
  </si>
  <si>
    <t>dermatology</t>
  </si>
  <si>
    <t>dermatology or business</t>
  </si>
  <si>
    <t>I don't know but I want to stay in New York.</t>
  </si>
  <si>
    <t>dermatology, business, Nursing, gynecologist, food critic</t>
  </si>
  <si>
    <t>with potential, funny, tall</t>
  </si>
  <si>
    <t>empathy, teamwork, bilingual</t>
  </si>
  <si>
    <t>the careers that I wrote are the ones that I like and call my attention but I don't know much about them deeply</t>
  </si>
  <si>
    <t>82.98%</t>
  </si>
  <si>
    <t>jnswxq9cn0of1r7l9jnswxqt6rrp1wv4</t>
  </si>
  <si>
    <t>Alex</t>
  </si>
  <si>
    <t>Aquino Cruz</t>
  </si>
  <si>
    <t>alexaquino@claremontihs.org</t>
  </si>
  <si>
    <t>+17875601888</t>
  </si>
  <si>
    <t>1306 Balcom Avenue, Bronx, New York 10461</t>
  </si>
  <si>
    <t>hrku.u</t>
  </si>
  <si>
    <t>Yudy Cruz</t>
  </si>
  <si>
    <t>cruzyudy58@gmail.com</t>
  </si>
  <si>
    <t>10461</t>
  </si>
  <si>
    <t>+18493854447</t>
  </si>
  <si>
    <t>240 E. 172nd St. Bronx, NY 10457</t>
  </si>
  <si>
    <t>Puerto Rico and Dominican Republic</t>
  </si>
  <si>
    <t>My mom 7 years ago and my dad I don't know</t>
  </si>
  <si>
    <t>I am simply Dominican with American nationality by my father, with Italian ancestry from my paternal family and Chinese from my maternal family.</t>
  </si>
  <si>
    <t>Aerospace/Astronautic Engineer</t>
  </si>
  <si>
    <t>Aerospace Engineer</t>
  </si>
  <si>
    <t>Standford University,University of Rochester, Clarkson  University,Princeton University,etc</t>
  </si>
  <si>
    <t>Aerospace Engeering, astrophysicist, physical, biotechnologist, and astronaut</t>
  </si>
  <si>
    <t>My goal is specific since I want to be an aerospace engineer and work for SpaceX, my biggest dream is to be part of the mission that Elon Musk declared to colonize Mars. It is measurable since I plan to enter the university in two years maximum, be in the university for around 4-8 years for some ideas that I have, extend the time and get the job before I reach 30. I need to achieve a result above 1450 on the SAT to get into a good college, which with hard study I can do.</t>
  </si>
  <si>
    <t>Get coaches and mentors who can help me with college and career, Learn about careers, Gain skills I can use at a future job, Get an internship</t>
  </si>
  <si>
    <t>Ambitious; Because because my goals are extremely high. Perfectionist; Because I usually try to control as much as possible the variables that may affect my work or future. Competitive; It doesn't matter if the score is 24-10 in favor of the opposing team, the game is not over until the ball hits the ground. Besides, I usually make an effort to be the first in the things that interest me.</t>
  </si>
  <si>
    <t>Leadership, dedicated and insistent (I hardly ever give up)</t>
  </si>
  <si>
    <t>I have a great facility for writing essays.</t>
  </si>
  <si>
    <t>4gsh0nqr7rgwhj4gsh1tpm3u5v1sty67</t>
  </si>
  <si>
    <t>Francisco</t>
  </si>
  <si>
    <t>Dominguez</t>
  </si>
  <si>
    <t>dfran6031@gmail.com</t>
  </si>
  <si>
    <t>+13476660912</t>
  </si>
  <si>
    <t>2141 chatterton avenue</t>
  </si>
  <si>
    <t>Facebook,instagram,Twitter</t>
  </si>
  <si>
    <t>Yaneliz</t>
  </si>
  <si>
    <t>Altamarmolejos@gmail.com</t>
  </si>
  <si>
    <t>+16465085816</t>
  </si>
  <si>
    <t>psychiatrist</t>
  </si>
  <si>
    <t>psychiatrist ,Doctor, mechanic, electrician ,computer experts</t>
  </si>
  <si>
    <t>to have a job for my future and to be able to have everything I have in mind for my loved ones.</t>
  </si>
  <si>
    <t>Friendly, attentive, polite</t>
  </si>
  <si>
    <t>I work in team
I pay attention
I'm obedient</t>
  </si>
  <si>
    <t>I agree</t>
  </si>
  <si>
    <t>77.73%</t>
  </si>
  <si>
    <t>81egunukiq57w381e19jr6ky3kgini7n</t>
  </si>
  <si>
    <t>Sebastien</t>
  </si>
  <si>
    <t>Sierra</t>
  </si>
  <si>
    <t>sebastiansierra321@gmail.com</t>
  </si>
  <si>
    <t>+13475827444</t>
  </si>
  <si>
    <t>2060 White Plains Road apt:316 post:10462</t>
  </si>
  <si>
    <t>Elba Terrero</t>
  </si>
  <si>
    <t>elbalabella@yahoo.com</t>
  </si>
  <si>
    <t>2060 White Plains Road apt:316, Bronx NY 10462</t>
  </si>
  <si>
    <t>+13473504374</t>
  </si>
  <si>
    <t>Pluming</t>
  </si>
  <si>
    <t>I work for FedEx</t>
  </si>
  <si>
    <t>picking up a trade</t>
  </si>
  <si>
    <t>Pluming, mechanic</t>
  </si>
  <si>
    <t>I plan on going to a trade school for pluming and I will get it done before the age of 24. I will have 80's and up in all my classes.</t>
  </si>
  <si>
    <t>Determined, helpful, and charismatic</t>
  </si>
  <si>
    <t>communication, listening, and teamwork skills</t>
  </si>
  <si>
    <t>I'm a funny person but I know when its time for work and time for play.</t>
  </si>
  <si>
    <t>12671gg8xxi6egn8vdqg126712lpya2r</t>
  </si>
  <si>
    <t>joseo2019@flushinginternational.org</t>
  </si>
  <si>
    <t>+13477208587</t>
  </si>
  <si>
    <t>43-30 147 street flushing NY 11355</t>
  </si>
  <si>
    <t>Josue Nehemias Vasquez Lopez</t>
  </si>
  <si>
    <t>daniellpo2004@gmail.com</t>
  </si>
  <si>
    <t>+13477373328</t>
  </si>
  <si>
    <t>144-80 Barclay Ave, Queens, NY 13355</t>
  </si>
  <si>
    <t>I have 3 in mind, architect, astronomer and plane pilot</t>
  </si>
  <si>
    <t>my future is to continue with my high school and finish my university</t>
  </si>
  <si>
    <t>Suny</t>
  </si>
  <si>
    <t>airplane pilot, architect, astronomer</t>
  </si>
  <si>
    <t>finish all my classes, and finish 11th grade and then start 12th grade and pass my classes</t>
  </si>
  <si>
    <t>social, responsible, honest</t>
  </si>
  <si>
    <t>photography, collaborator, speaks spanish</t>
  </si>
  <si>
    <t>Secure, Compatible, Connected</t>
  </si>
  <si>
    <t>my case is in profession</t>
  </si>
  <si>
    <t>345al2b9ifqcgu24zgkk345albhxldcz</t>
  </si>
  <si>
    <t>Aminata</t>
  </si>
  <si>
    <t>Kebe</t>
  </si>
  <si>
    <t>aminatakebe@claremontihs.org</t>
  </si>
  <si>
    <t>+19177569950</t>
  </si>
  <si>
    <t>1491 Macombs Rd Apt 2b bronx ny 10452</t>
  </si>
  <si>
    <t>Fatoumata Kebe</t>
  </si>
  <si>
    <t>fatoumatak1975@icloud.com</t>
  </si>
  <si>
    <t>1491Macombs.Rd  Apt 2b Bronx NY  10452</t>
  </si>
  <si>
    <t>+19293418196</t>
  </si>
  <si>
    <t>Soninke and English</t>
  </si>
  <si>
    <t>I don't know any colleges for now</t>
  </si>
  <si>
    <t>Nursing, social work,culinary, computer technology,Writing</t>
  </si>
  <si>
    <t>Specific i want to present all of my PBAT, Measurable I want to get the highest grade for all of my PBAT, Attainable at above 90 Relevant by preparing, practicing and being familiar  with my project, Timely by the end of June.</t>
  </si>
  <si>
    <t>Empathetic, Careful, Confident</t>
  </si>
  <si>
    <t>Math, communication ,</t>
  </si>
  <si>
    <t>It is hard for me to comprehend i need many different explanations</t>
  </si>
  <si>
    <t>79.99%</t>
  </si>
  <si>
    <t>3jcn65n9s4j7jama3jcn6nx0gcavnkhy</t>
  </si>
  <si>
    <t>Kadidiatou</t>
  </si>
  <si>
    <t>Traore</t>
  </si>
  <si>
    <t>Kadidiatoutraore@claremontihs.org</t>
  </si>
  <si>
    <t>+19292639109</t>
  </si>
  <si>
    <t>Bronx 2640 Marion Avenue Apt 4L 10458</t>
  </si>
  <si>
    <t>Souleymane Traore</t>
  </si>
  <si>
    <t>Fonmondjeneba@gmail.com</t>
  </si>
  <si>
    <t>2640 Marion Ave Apt 4l Bronx NY 10458</t>
  </si>
  <si>
    <t>+13472590357</t>
  </si>
  <si>
    <t>240 E 172nd st, Bronx, NY 10457</t>
  </si>
  <si>
    <t>about 15 years</t>
  </si>
  <si>
    <t>I'm African, I speak two language French and English and two dialect Bambara and senoufo. and</t>
  </si>
  <si>
    <t>Bambara, French</t>
  </si>
  <si>
    <t>nurse, flight attendant, Banker, accountant.</t>
  </si>
  <si>
    <t>I work at as team member In a fast food, there I make sure that I make the food correctly the way the costumer want it and so that they will be satisfied and come back again also sometime they made me wash the dishes. I got this job trough someone I know.</t>
  </si>
  <si>
    <t>nursing, banking, flight attendant, accountant and pharmacist.</t>
  </si>
  <si>
    <t>I will be ready to learn every day from not knowing nothing about the career I want to pursue to knowing what I want to do by listening with my heart every minute of the classes.</t>
  </si>
  <si>
    <t>calm, responsible and hard worker  I think these adjectives describe the person I am by my behavior.</t>
  </si>
  <si>
    <t>understand people, the language I speak and I do my best in everything.</t>
  </si>
  <si>
    <t>I would like to add that I am someone who doesn't support seeing people in difficulties.</t>
  </si>
  <si>
    <t>supported, connected</t>
  </si>
  <si>
    <t>75. 93%</t>
  </si>
  <si>
    <t>ibo10iewcap4qoflq6ibo10m3w7s3kz8</t>
  </si>
  <si>
    <t>aboubacar sidiki</t>
  </si>
  <si>
    <t>djoumande</t>
  </si>
  <si>
    <t>djoumandeabhu@gmail.com</t>
  </si>
  <si>
    <t>+19295351234</t>
  </si>
  <si>
    <t>952 sherman avenue new york city NY 10456</t>
  </si>
  <si>
    <t>intagram</t>
  </si>
  <si>
    <t>Djiba djoumande and makeme djoumande</t>
  </si>
  <si>
    <t>morrison avenue</t>
  </si>
  <si>
    <t>mandingo</t>
  </si>
  <si>
    <t>I worked with elementary school students</t>
  </si>
  <si>
    <t>x</t>
  </si>
  <si>
    <t>71.93</t>
  </si>
  <si>
    <t>2ljc2wgcey3kyitc7uu6dt5x2ljc2wga</t>
  </si>
  <si>
    <t>Greisi</t>
  </si>
  <si>
    <t>Colon</t>
  </si>
  <si>
    <t>greisicolon@claremontihs.org</t>
  </si>
  <si>
    <t>+13479856369</t>
  </si>
  <si>
    <t>1818 Clay Avenue, Bronx, NY, 10457</t>
  </si>
  <si>
    <t>Instagram: greisi_mcv</t>
  </si>
  <si>
    <t>Juan Colon</t>
  </si>
  <si>
    <t>colonjuan244@gmail.com</t>
  </si>
  <si>
    <t>+13473762383</t>
  </si>
  <si>
    <t>Phycologist, flight attendant</t>
  </si>
  <si>
    <t>Phycologist</t>
  </si>
  <si>
    <t>University College London, University of California Los Angeles, New York University, Yale University</t>
  </si>
  <si>
    <t>Psychologist, flight attendant</t>
  </si>
  <si>
    <t>I want to know the requirements that I'm gonna need to study psychology and how much I need to know about the career, so when I go to college I will have an idea of what I need to do.</t>
  </si>
  <si>
    <t>Competitive. 
Smart. 
Responsable.
I believe this are the adjectives that the describe me the most because those are the ones that I see the most in myself and that other people see too.</t>
  </si>
  <si>
    <t>Fast learner.
Analyzer.
Punctual.</t>
  </si>
  <si>
    <t>I prefer to work alone but I don't have problems to work with other people as long as they're willing to work.</t>
  </si>
  <si>
    <t>Safe, supported, like I belong</t>
  </si>
  <si>
    <t>91.96</t>
  </si>
  <si>
    <t>jek5my2n5td691lmvyd5jek5my2vjuf8</t>
  </si>
  <si>
    <t>Heather</t>
  </si>
  <si>
    <t>Nieves</t>
  </si>
  <si>
    <t>opalite45@icloud.com</t>
  </si>
  <si>
    <t>+19178051672</t>
  </si>
  <si>
    <t>1148 Boynton Avenue Bronx, NY 10472 apt 3C</t>
  </si>
  <si>
    <t>Elise Argueta</t>
  </si>
  <si>
    <t>eargueta63@gmail.com</t>
  </si>
  <si>
    <t>1148 Boynton Avenue Bronx,NY 10472 apt 3C</t>
  </si>
  <si>
    <t>+17186684624</t>
  </si>
  <si>
    <t>Bronx community HS</t>
  </si>
  <si>
    <t>1980 Lafayette ave, Bronx, NY</t>
  </si>
  <si>
    <t>Cosmetoligy</t>
  </si>
  <si>
    <t>I saw a listing for YMCA summer counciling</t>
  </si>
  <si>
    <t>yale, bronx community, mercy, monroe, fordham</t>
  </si>
  <si>
    <t>Hair dressing, nursing, summer counselor, artist, actor</t>
  </si>
  <si>
    <t>I will ensure that I finish and graduate High school and possibly attend trade or specialized classes to better my skills to get into one of my career jobs</t>
  </si>
  <si>
    <t>ambitious, curious, outgoing
I am always eagered to learn something new even if it means I have to get out of my comfort zone</t>
  </si>
  <si>
    <t>organization, public speaking, leadership</t>
  </si>
  <si>
    <t>I would be interested in finding out how deep the connections of the speakhire program go to see if I could possible find something that may help me in the future</t>
  </si>
  <si>
    <t>safe, supported and wanted</t>
  </si>
  <si>
    <t>iolokj1zeqtbfplky74iolonw7js6sze</t>
  </si>
  <si>
    <t>Bianca</t>
  </si>
  <si>
    <t>mora</t>
  </si>
  <si>
    <t>Biancamora359@gmail.com</t>
  </si>
  <si>
    <t>+19298550854</t>
  </si>
  <si>
    <t>52 fountain Ave brooklyn NY, 11208</t>
  </si>
  <si>
    <t>Johanna vargas</t>
  </si>
  <si>
    <t>+19294729403</t>
  </si>
  <si>
    <t>Flight Attendant</t>
  </si>
  <si>
    <t>my goal would be to learn different languages.</t>
  </si>
  <si>
    <t>honest because i dont like to speak lies</t>
  </si>
  <si>
    <t>suppoted</t>
  </si>
  <si>
    <t>yybbtr4y9gl0bkz1kt7yybbtrvtszkcj</t>
  </si>
  <si>
    <t>Sael</t>
  </si>
  <si>
    <t>Marroquin</t>
  </si>
  <si>
    <t>saelm@nycstudents.net</t>
  </si>
  <si>
    <t>+13479324742</t>
  </si>
  <si>
    <t>88-60 street NEw york Jackson heights 11372</t>
  </si>
  <si>
    <t>My mother is Gladis umana</t>
  </si>
  <si>
    <t>+19293423210</t>
  </si>
  <si>
    <t>the international high school for health sciences</t>
  </si>
  <si>
    <t>48-01 street Elmhurst NY</t>
  </si>
  <si>
    <t>I would like to continue the career of mechanics</t>
  </si>
  <si>
    <t>mecanics</t>
  </si>
  <si>
    <t>harvard university</t>
  </si>
  <si>
    <t>finish high school</t>
  </si>
  <si>
    <t>are. now</t>
  </si>
  <si>
    <t>are now</t>
  </si>
  <si>
    <t>c1tj9rhxf9eleo84zc1tj9afzt4bwuz3</t>
  </si>
  <si>
    <t>Jaque</t>
  </si>
  <si>
    <t>valentinajaquesanchez24@gmail.com</t>
  </si>
  <si>
    <t>+19293969940</t>
  </si>
  <si>
    <t>30 27 80th Street, Queens NY 11370</t>
  </si>
  <si>
    <t>IG: __vaalenn___</t>
  </si>
  <si>
    <t>Diana Sanchez</t>
  </si>
  <si>
    <t>divalenico@gmail.com</t>
  </si>
  <si>
    <t>+19177243436</t>
  </si>
  <si>
    <t>no born in usa</t>
  </si>
  <si>
    <t>Hispanic/ Colombia</t>
  </si>
  <si>
    <t>1.Hunter College 2.CUNY 3.SUNY</t>
  </si>
  <si>
    <t>1.Nursing 2.Assistent medical 3.General medicine 4.Surgery</t>
  </si>
  <si>
    <t>Specific: to have a good development in speakhire.
Measurable: to dedicate the necessary time 
Attainable: have a high level of knowledge 
Relevant: practice every knowledge in order to have a good result.
Timely: Finishing my speakhire</t>
  </si>
  <si>
    <t>Persistent because I don't give up until I get what I want. 
Responsible because my priorities come before anything else. 
Hard-working because I like to start and finish my work to get good results.</t>
  </si>
  <si>
    <t>Listening to people when they have problems
Confident and patient</t>
  </si>
  <si>
    <t>I want to focus on nursing and learn more about it.</t>
  </si>
  <si>
    <t>cly5gzoe9parfkg8ktitcly5gz61n4gq</t>
  </si>
  <si>
    <t>Aybar</t>
  </si>
  <si>
    <t>aaliyahaybar@claremontihs.org</t>
  </si>
  <si>
    <t>+16468599542</t>
  </si>
  <si>
    <t>i do not have social media, but if the program required that i can creat one</t>
  </si>
  <si>
    <t>+13475488451</t>
  </si>
  <si>
    <t>no, i do not have anything else to tell</t>
  </si>
  <si>
    <t>medicine, cardiologist or pediatrician</t>
  </si>
  <si>
    <t>pediatrician or cardiologist</t>
  </si>
  <si>
    <t>yale, stanford, columbia, university, buffalo university, harvard</t>
  </si>
  <si>
    <t>medicine, actriss, designer, architect and artist</t>
  </si>
  <si>
    <t>my goals always are pass my classes. and be succed for myself</t>
  </si>
  <si>
    <t>honest, friend and good learned</t>
  </si>
  <si>
    <t>good listener, i like to help others and honest</t>
  </si>
  <si>
    <t>cd2t4mlc33zbklfoxcv5cd2t4m5a1uje</t>
  </si>
  <si>
    <t>Carolyn</t>
  </si>
  <si>
    <t>carolynguzman@claremontihs.org</t>
  </si>
  <si>
    <t>+16469722766</t>
  </si>
  <si>
    <t>1545 Nelson Ave Bronx, N.Y.C</t>
  </si>
  <si>
    <t>jose guzman</t>
  </si>
  <si>
    <t>jguzmannu@gmail.com</t>
  </si>
  <si>
    <t>1545 Nelson Ave Bronx,  N.Y.C</t>
  </si>
  <si>
    <t>+16463536765</t>
  </si>
  <si>
    <t>dominica republic</t>
  </si>
  <si>
    <t>psychology, and teacher of special childre</t>
  </si>
  <si>
    <t>social worked</t>
  </si>
  <si>
    <t>Columbia University, Hunter College,Hartwick College,</t>
  </si>
  <si>
    <t>teacher, actor, stewardess, therapist</t>
  </si>
  <si>
    <t>My goal is based on helping a child who has been through traumatic things to not be secluded in his own world. It is measurable in a quantity of 3 points, I am not sure. achievable from an 85 and up. In this race I will apply what I have learned from the experiences and how I have helped my friends to get ahead. I don't know what you mean by timely, but I will do it whenever I have the opportunity, as I have done during my time at school</t>
  </si>
  <si>
    <t>Get coaches and mentors who can help me with college and career, Get an internship, Learn about colleges, Gain skills I can use at a future job, Learn about careers</t>
  </si>
  <si>
    <t>my three goals are to finish high school, get into a good university and get a job to help people like me. this discribe me because i have pass for a lot of things in my life and i didnt have someone that help or just listen me</t>
  </si>
  <si>
    <t>idependes, good hearing people, and good giving advice.</t>
  </si>
  <si>
    <t>no religioso</t>
  </si>
  <si>
    <t>17zuz86pi9q6cpp9a4c17zuz8niswbpf</t>
  </si>
  <si>
    <t>kaddijatou</t>
  </si>
  <si>
    <t>sey</t>
  </si>
  <si>
    <t>kaddijatousey@claremontihs.org</t>
  </si>
  <si>
    <t>+13673644176</t>
  </si>
  <si>
    <t>1365 sheridan Avenue 10456</t>
  </si>
  <si>
    <t>ig</t>
  </si>
  <si>
    <t>musa</t>
  </si>
  <si>
    <t>musaballa@yaho.com</t>
  </si>
  <si>
    <t>1365 sheridan Avenue 10456 apt2G</t>
  </si>
  <si>
    <t>+13473644176</t>
  </si>
  <si>
    <t>The Gambia</t>
  </si>
  <si>
    <t>i wasn't born here. my parents arrive here 5 months ago</t>
  </si>
  <si>
    <t>Mandinka and wollof with one of my half sister</t>
  </si>
  <si>
    <t>Business management or Economist</t>
  </si>
  <si>
    <t>i want to work in a very big business company as a business manager</t>
  </si>
  <si>
    <t>Business management, Economist, Financial Account, Banker,</t>
  </si>
  <si>
    <t>i want to be able to speak Infront of the crowd without having any fear</t>
  </si>
  <si>
    <t>i am quite, respectful and truthful. i always tell the no matter who you are. ie; if it is necessary and it concerns me. because am someone who always minds her business</t>
  </si>
  <si>
    <t>am honest, respectful, and i always do my best in anything that am doing</t>
  </si>
  <si>
    <t>i think i lack confidence in myself</t>
  </si>
  <si>
    <t>I just started school in NY so I don't have one yet.</t>
  </si>
  <si>
    <t>x61og2gq3ufolzj6ghmo2x61og2glw4f</t>
  </si>
  <si>
    <t>Edgar</t>
  </si>
  <si>
    <t>Silverio</t>
  </si>
  <si>
    <t>Edgarsilverio@claremontihs.org</t>
  </si>
  <si>
    <t>+19294329030</t>
  </si>
  <si>
    <t>1153 boston road, bronx, NY, 10456</t>
  </si>
  <si>
    <t>Vicente Silverio</t>
  </si>
  <si>
    <t>Vicentesilverio151@gmail.com</t>
  </si>
  <si>
    <t>1153 Boston road, Bronx, NY, 10456</t>
  </si>
  <si>
    <t>+19175364361</t>
  </si>
  <si>
    <t>claremont</t>
  </si>
  <si>
    <t>Service</t>
  </si>
  <si>
    <t>I Don't Know yet</t>
  </si>
  <si>
    <t>I will try to find a carreer that I can enjoy - Attainable</t>
  </si>
  <si>
    <t>hard worker, focused, and learner, because I'm person that If understand what I'm doing I can push myself to done as soon as possible.</t>
  </si>
  <si>
    <t>Be focus, work hard, and try</t>
  </si>
  <si>
    <t>I don't have a very clear idea about the career that I would like to follow.</t>
  </si>
  <si>
    <t>89.97</t>
  </si>
  <si>
    <t>2p6vxf4fnbb3i8f2p6vxflbyorm9apva</t>
  </si>
  <si>
    <t>Akram</t>
  </si>
  <si>
    <t>mehdi</t>
  </si>
  <si>
    <t>akrammehdi@claremontihs.org</t>
  </si>
  <si>
    <t>+19295133732</t>
  </si>
  <si>
    <t>3156 Fulton St Brooklyn, NY 11208</t>
  </si>
  <si>
    <t>Akram Mehdi</t>
  </si>
  <si>
    <t>Samir Mehdi</t>
  </si>
  <si>
    <t>akram.smehdi2020@gmail.com</t>
  </si>
  <si>
    <t>+19295133738</t>
  </si>
  <si>
    <t>Information Technology</t>
  </si>
  <si>
    <t>I work in a grocery store and I got the job from someone I know.</t>
  </si>
  <si>
    <t>Massachusetts Institute of Technology,New York City College of Technology,Kingsborough Community College,Hostos Community College, Hunter College.</t>
  </si>
  <si>
    <t>IT, Business management, Business Administration</t>
  </si>
  <si>
    <t>I'm hard-worker,active and responsible because I know how to get a job done according to the training I get.</t>
  </si>
  <si>
    <t>Handling money, construction(ceramic wall), customer service</t>
  </si>
  <si>
    <t>I generally love technology.</t>
  </si>
  <si>
    <t>ybak8i4jfsi3vwluooybak8isk2524l4</t>
  </si>
  <si>
    <t>ilse</t>
  </si>
  <si>
    <t>cotiy tambriz</t>
  </si>
  <si>
    <t>ilsecotiy@claremontihs.org</t>
  </si>
  <si>
    <t>+17185649008</t>
  </si>
  <si>
    <t>2322 Loring Pl N bronx,NY 10468</t>
  </si>
  <si>
    <t>isabel leger</t>
  </si>
  <si>
    <t>ilsecotiy60@gmail.com</t>
  </si>
  <si>
    <t>+19292000226</t>
  </si>
  <si>
    <t>i'm from Guatemala  and parents guardian was born in Dominican republic</t>
  </si>
  <si>
    <t>i'm an indigenous person</t>
  </si>
  <si>
    <t>I'm interesting becoming a Dentist</t>
  </si>
  <si>
    <t>My ideal future career job is dentist.</t>
  </si>
  <si>
    <t>Columbus college</t>
  </si>
  <si>
    <t>My goal this year is to be on time, try my best to learn about the career that I'm interesting in, work as a team member.</t>
  </si>
  <si>
    <t>Punctual, Hard-working and responsible.</t>
  </si>
  <si>
    <t>Empathy, Perspective and patience.</t>
  </si>
  <si>
    <t>I'm christian</t>
  </si>
  <si>
    <t>89.33%</t>
  </si>
  <si>
    <t>rvkfsa0dp6aalsqgg55rvkfsaolct9ai</t>
  </si>
  <si>
    <t>Denzel</t>
  </si>
  <si>
    <t>denzelvelazquez@claremontihs.org</t>
  </si>
  <si>
    <t>+14703982955</t>
  </si>
  <si>
    <t>815 East 168th Street,3 , Bronx NY 10459</t>
  </si>
  <si>
    <t>Berlin Norales</t>
  </si>
  <si>
    <t>berlinnorales06@gmail.com</t>
  </si>
  <si>
    <t>815 EAST 168 STREET 3, BRONX, NY 10459</t>
  </si>
  <si>
    <t>+19293711444</t>
  </si>
  <si>
    <t>240  EAST 172nd Street</t>
  </si>
  <si>
    <t>my mom 8 years ago and my dad still on Honduras</t>
  </si>
  <si>
    <t>My family is Garifuna</t>
  </si>
  <si>
    <t>Sports Journalism Career</t>
  </si>
  <si>
    <t>I worked in a store doing customer service in Honduras.</t>
  </si>
  <si>
    <t>Chef, business owner, athletic careers, barber, Sports reporter</t>
  </si>
  <si>
    <t>By the end of the school year I want to improve my GPA.</t>
  </si>
  <si>
    <t>Mature, funny and helpful.</t>
  </si>
  <si>
    <t>Good communicator, creative and good at collaboration.</t>
  </si>
  <si>
    <t>I am nervous for my english, I Like Soccer match</t>
  </si>
  <si>
    <t>4neb6i0it465pd0z56bwer4neb6i0gw4</t>
  </si>
  <si>
    <t>Salas</t>
  </si>
  <si>
    <t>josesalas@claremontihs.org</t>
  </si>
  <si>
    <t>+17182882026</t>
  </si>
  <si>
    <t>18 Gabriel Dr, Bronx, NY, 10459</t>
  </si>
  <si>
    <t>@iannjvlian</t>
  </si>
  <si>
    <t>Cecilia</t>
  </si>
  <si>
    <t>dulcececilia01@hotmail.com</t>
  </si>
  <si>
    <t>18 Grabiel Dr, Bronx, NY, 10469</t>
  </si>
  <si>
    <t>Modifying existing software applications. Creating new software applications from scratch. Analyzing and designing full software systems.</t>
  </si>
  <si>
    <t>Working with software developers, designers, programmers, coders, and others to bring things together</t>
  </si>
  <si>
    <t>New York University, Rochester Institute Of Technology,Clarkson University, Chapman University, Marist College, SUNY Oswego, Pace University, CUNY Laguardia Community College, Lehman College, The College Of Westchester, SUNY Morrisville</t>
  </si>
  <si>
    <t>Psychology, Veterinarian, Business, Music Producer, Art</t>
  </si>
  <si>
    <t>I'm going to be responsible with all my assignments, I will have critical thinking in class, I will be more selective and relevant with my work.</t>
  </si>
  <si>
    <t>Explorer, Responsible, inspire</t>
  </si>
  <si>
    <t>Music maker, Public speaking, Film Maker</t>
  </si>
  <si>
    <t>I am very excited to take this progam</t>
  </si>
  <si>
    <t>80.75%</t>
  </si>
  <si>
    <t>410bofkzwoikqf367410bo464bk704gl</t>
  </si>
  <si>
    <t>Shiraylin</t>
  </si>
  <si>
    <t>Marine Torres</t>
  </si>
  <si>
    <t>shiralynmarine@claremontihs.org</t>
  </si>
  <si>
    <t>+19295277724</t>
  </si>
  <si>
    <t>352 E 169 street 10456</t>
  </si>
  <si>
    <t>Jonathan Marine Tavarez</t>
  </si>
  <si>
    <t>352 E 169 street</t>
  </si>
  <si>
    <t>240 East 172nd St, Bronx, NY 10457</t>
  </si>
  <si>
    <t>Dominican Republic.</t>
  </si>
  <si>
    <t>They are from another country.</t>
  </si>
  <si>
    <t>i do not have one in specific</t>
  </si>
  <si>
    <t>Pass the year with good grades.</t>
  </si>
  <si>
    <t>Responsable, Friendly and Honest because I always  try to improve as a person.</t>
  </si>
  <si>
    <t>Responsable, Creative and Focused.</t>
  </si>
  <si>
    <t>I want to find my way and know what career I want to take for my future.</t>
  </si>
  <si>
    <t>3.33</t>
  </si>
  <si>
    <t>xg81od4uqfc4cwhzhxg81oo124bwqswc</t>
  </si>
  <si>
    <t>jhojanly</t>
  </si>
  <si>
    <t>mendez</t>
  </si>
  <si>
    <t>jhojanlymendez@claremontihs.org</t>
  </si>
  <si>
    <t>+19295639678</t>
  </si>
  <si>
    <t>890 elsmere pl  bronx new york 10460 ap 1b</t>
  </si>
  <si>
    <t>yahaira laguard</t>
  </si>
  <si>
    <t>Jorge313131@live.com</t>
  </si>
  <si>
    <t>890 elsmere pl bronx new york 10460 ap 1b</t>
  </si>
  <si>
    <t>+19295639606</t>
  </si>
  <si>
    <t>claremont intenational high school</t>
  </si>
  <si>
    <t>240 E 172nd Street Bronx  NY 10457</t>
  </si>
  <si>
    <t>radiology</t>
  </si>
  <si>
    <t>cardiology</t>
  </si>
  <si>
    <t>Being a professional doctor</t>
  </si>
  <si>
    <t>I am very friendly because I like that the person treats me well.
I am cheerful because people like to see another person with a good vibe.
I am educated because everywhere we go what represents us is education.</t>
  </si>
  <si>
    <t>education,friendly,sympathetic</t>
  </si>
  <si>
    <t>i am generous</t>
  </si>
  <si>
    <t>ktulbih3lk9pud9bs6uktulbih86qp1m</t>
  </si>
  <si>
    <t>Assane</t>
  </si>
  <si>
    <t>Thiam</t>
  </si>
  <si>
    <t>assane.thiam@ellisprep.com</t>
  </si>
  <si>
    <t>+19293517850</t>
  </si>
  <si>
    <t>3324 Bronx Blvd, New York NY 10467</t>
  </si>
  <si>
    <t>Instagram @prince__assane</t>
  </si>
  <si>
    <t>Cheikh Thiam</t>
  </si>
  <si>
    <t>imhass98@gmail.com</t>
  </si>
  <si>
    <t>99 Terrace View Ave, Bronx NY 10463</t>
  </si>
  <si>
    <t>West Africa Senegal</t>
  </si>
  <si>
    <t>More then 20years</t>
  </si>
  <si>
    <t>I was born and grow up in Senegal west Africa.</t>
  </si>
  <si>
    <t>English and french</t>
  </si>
  <si>
    <t>I’m work in restaurant Applebee’s my position is R.A</t>
  </si>
  <si>
    <t>John Fisher, SONY Onieanta Manhattan college…</t>
  </si>
  <si>
    <t>Technology, Business, Financial</t>
  </si>
  <si>
    <t>I will improve my GPA from 3.9 to 5 by the end of the school years.</t>
  </si>
  <si>
    <t>I’m a simple person and my life is so easy, because I understand people</t>
  </si>
  <si>
    <t>Social media, computer skill, leader skill</t>
  </si>
  <si>
    <t>Maybe later</t>
  </si>
  <si>
    <t>qlnbpa98bkxyywq5lks5xqlnbpafkbdo</t>
  </si>
  <si>
    <t>Nixon</t>
  </si>
  <si>
    <t>vergara</t>
  </si>
  <si>
    <t>nixonvergara888@gmail.com</t>
  </si>
  <si>
    <t>+19294829318</t>
  </si>
  <si>
    <t>275 hulls street  Brooklyn 11233</t>
  </si>
  <si>
    <t>nixon_nyc</t>
  </si>
  <si>
    <t>Ninfa calderon</t>
  </si>
  <si>
    <t>ninfa.calderon@gmail.com</t>
  </si>
  <si>
    <t>275 hulls street Brooklyn 11233</t>
  </si>
  <si>
    <t>+13215949712</t>
  </si>
  <si>
    <t>international high school for health sciences</t>
  </si>
  <si>
    <t>Latino/ Latino/ Venezuelan</t>
  </si>
  <si>
    <t>physical therapist</t>
  </si>
  <si>
    <t>helping move out people</t>
  </si>
  <si>
    <t>physical therapist, soccer player, Business, Accouter</t>
  </si>
  <si>
    <t>Go to university to have a professional career and earn a better salary it will take me between 5 and 6 years to finish my degree.</t>
  </si>
  <si>
    <t>funny, likeable, hardworker because when i make something difficult i end up accomplishing it</t>
  </si>
  <si>
    <t>creative, Team worker, Flexibility</t>
  </si>
  <si>
    <t>safe and support</t>
  </si>
  <si>
    <t>r84umox8q6d3lyr85bv5twz5e3tqrr2g</t>
  </si>
  <si>
    <t>sushi</t>
  </si>
  <si>
    <t>magar</t>
  </si>
  <si>
    <t>magarsushil369@gmal.com</t>
  </si>
  <si>
    <t>+19173408162</t>
  </si>
  <si>
    <t>51 41 74st elmurst , 11373 NY</t>
  </si>
  <si>
    <t>Face book</t>
  </si>
  <si>
    <t>mansa gharti magar</t>
  </si>
  <si>
    <t>mansamagar0@gmail.com</t>
  </si>
  <si>
    <t>51 41 74 st Elmhurst 11373</t>
  </si>
  <si>
    <t>+13477400561</t>
  </si>
  <si>
    <t>international high school for health and sciences</t>
  </si>
  <si>
    <t>: 48-01 90th St, Queens, NY 11421</t>
  </si>
  <si>
    <t>coding program, and  environment\</t>
  </si>
  <si>
    <t>coding</t>
  </si>
  <si>
    <t>queens college , New Jersey City University</t>
  </si>
  <si>
    <t>technology, biology, business, google,</t>
  </si>
  <si>
    <t>to graduate high school and get college and to get better job</t>
  </si>
  <si>
    <t>polite , Honest,Personable</t>
  </si>
  <si>
    <t>Organization
Project Management
Resourcefulness</t>
  </si>
  <si>
    <t>It is important for me to join this program because I want to learn about my career. When I am older, I want a career doing well. I think this would be a great opportunity for me to learn more about this job. I think working with a mentor will be fun/interesting/good because I will learn new things and have a chance to talk with other people. I am new to this country so I do not know many people.</t>
  </si>
  <si>
    <t>2.80</t>
  </si>
  <si>
    <t>6cwuz4q5s16lsa6c6mor0c9wyj42lnka</t>
  </si>
  <si>
    <t>Francheska</t>
  </si>
  <si>
    <t>caraballofrancheska01@gmail.com</t>
  </si>
  <si>
    <t>+19293129360</t>
  </si>
  <si>
    <t>1235 Morris Av Ap4E Bronx, New York, 10456</t>
  </si>
  <si>
    <t>Jocelyn Blanco</t>
  </si>
  <si>
    <t>joceblanco2201@gmail.com</t>
  </si>
  <si>
    <t>1235 Morris Av Ap4E, Bronx, New York, 10456</t>
  </si>
  <si>
    <t>+19172807967</t>
  </si>
  <si>
    <t>240 E. 172nd St. Bronx NY 10457</t>
  </si>
  <si>
    <t>n-a</t>
  </si>
  <si>
    <t>SUNY Buffalo</t>
  </si>
  <si>
    <t>architect, medicine, graphic design</t>
  </si>
  <si>
    <t>By the end of the year, I want to have excellent grades and learn more about the careers.</t>
  </si>
  <si>
    <t>Intelligent, friendly, supportive</t>
  </si>
  <si>
    <t>work hard, careful, patient</t>
  </si>
  <si>
    <t>77.71</t>
  </si>
  <si>
    <t>nkp6hhn4l5jr4u44jnkp6hhloxb7vm22</t>
  </si>
  <si>
    <t>Enmanuel</t>
  </si>
  <si>
    <t>Gervacio Rodriguez</t>
  </si>
  <si>
    <t>enmanuelgervacio@claremontihs.org</t>
  </si>
  <si>
    <t>+13477413371</t>
  </si>
  <si>
    <t>110 mount hope place,1F</t>
  </si>
  <si>
    <t>Manuel Gervacio Santos</t>
  </si>
  <si>
    <t>renelo2050@gmail.com</t>
  </si>
  <si>
    <t>110 mount hope place APT 1F zip 10453</t>
  </si>
  <si>
    <t>+16464929428</t>
  </si>
  <si>
    <t>240 E 172nd Street</t>
  </si>
  <si>
    <t>Epanish</t>
  </si>
  <si>
    <t>being a veterinarian and owning a clinic</t>
  </si>
  <si>
    <t>investigator,police professor</t>
  </si>
  <si>
    <t>finish university and start my career as a veterinarian and start my own clinic</t>
  </si>
  <si>
    <t>calm
logical and solution oriented 
understanding</t>
  </si>
  <si>
    <t>I know how to pay attention
I am a fast learner 
I know how to apply my knowledge</t>
  </si>
  <si>
    <t>I will do all the ones that come to my mind, when I don't do it is that I already know everything.</t>
  </si>
  <si>
    <t>i feel normal about that</t>
  </si>
  <si>
    <t>77.8</t>
  </si>
  <si>
    <t>4silsnu8uet16ve14sidbmvck8u0klqy</t>
  </si>
  <si>
    <t>alex</t>
  </si>
  <si>
    <t>guaillas</t>
  </si>
  <si>
    <t>alex2019@flushinginternational.org</t>
  </si>
  <si>
    <t>+19292685566</t>
  </si>
  <si>
    <t>jamaica 170-34 11432</t>
  </si>
  <si>
    <t>syu.anthony</t>
  </si>
  <si>
    <t>alexguayas8@gmail.com</t>
  </si>
  <si>
    <t>170-34 jamaica av queens</t>
  </si>
  <si>
    <t>i not sure yet</t>
  </si>
  <si>
    <t>not sure yet</t>
  </si>
  <si>
    <t>i still dont know what college i can go</t>
  </si>
  <si>
    <t>learn more english and improve at my grades</t>
  </si>
  <si>
    <t>friendly</t>
  </si>
  <si>
    <t>i dont have one</t>
  </si>
  <si>
    <t>65.34</t>
  </si>
  <si>
    <t>yvngwneeup8dl24fr49fdyvngwjag178</t>
  </si>
  <si>
    <t>1405 college av 10456 Bronx NY</t>
  </si>
  <si>
    <t>Yami_nunez29</t>
  </si>
  <si>
    <t>1405 College Av.10456 Bronx Ny</t>
  </si>
  <si>
    <t>Crotona International</t>
  </si>
  <si>
    <t>2474 Crotona Av</t>
  </si>
  <si>
    <t>Garifuna</t>
  </si>
  <si>
    <t>Psicology social</t>
  </si>
  <si>
    <t>CUNY Yale university,culumbia.</t>
  </si>
  <si>
    <t>Psicology,doctor general,chef,baby sister</t>
  </si>
  <si>
    <t>Me gusta hacer nuevos amigos,aprender muchas cosas,disfrutar los momentos,pasta tiempo con las personas que me quieren.El mar,la naturaleza,los animales.</t>
  </si>
  <si>
    <t>Amigable,Respetuosa,Tolerante</t>
  </si>
  <si>
    <t>*respeto,Tolerancia,Amistad</t>
  </si>
  <si>
    <t>Psicology</t>
  </si>
  <si>
    <t>2z8uajjmvp22hgi4gb2z8uga2xd20ap5</t>
  </si>
  <si>
    <t>Jazling</t>
  </si>
  <si>
    <t>2690 Morris avenue Bronx New York 10468</t>
  </si>
  <si>
    <t>Facebook instagram tiktok</t>
  </si>
  <si>
    <t>Lousy smith</t>
  </si>
  <si>
    <t>Fling attendant</t>
  </si>
  <si>
    <t>Fling attended and doctor</t>
  </si>
  <si>
    <t>Monroe college, Columbia, forah</t>
  </si>
  <si>
    <t>Fling attend and doctor</t>
  </si>
  <si>
    <t>because there are people who can help Let Sabin be sober Careers that I want to practice</t>
  </si>
  <si>
    <t>I have a lot of empathy, kind and responsible</t>
  </si>
  <si>
    <t>Responsibility And nice</t>
  </si>
  <si>
    <t>Not have mor</t>
  </si>
  <si>
    <t>cf6m89wmcxf3t8b8jcf6m8wlb961uvig</t>
  </si>
  <si>
    <t>Adriel</t>
  </si>
  <si>
    <t>+13476388746</t>
  </si>
  <si>
    <t>3050 perry avenue</t>
  </si>
  <si>
    <t>Yamilka arias</t>
  </si>
  <si>
    <t>adrielt@crotnaihs.org</t>
  </si>
  <si>
    <t>3050 perry aveniu</t>
  </si>
  <si>
    <t>Crotona</t>
  </si>
  <si>
    <t>2474 Crotona ave ,Bronx, NY 10458</t>
  </si>
  <si>
    <t>Technology</t>
  </si>
  <si>
    <t>Bronx cumunity collage,hostos comunity collage,lehman,</t>
  </si>
  <si>
    <t>Technology,science , Automotive, lenguaje, Robotics</t>
  </si>
  <si>
    <t>Ok</t>
  </si>
  <si>
    <t>Smart, responssible, curious</t>
  </si>
  <si>
    <t>Tecnología ,ayudante, y buena gente</t>
  </si>
  <si>
    <t>v08b6z8uzrbcta0vitxxv08b6z8g1b7t</t>
  </si>
  <si>
    <t>ntavarez@crotonaihs.org</t>
  </si>
  <si>
    <t>3050 Perry avenue</t>
  </si>
  <si>
    <t>Instagram and Tik Tok</t>
  </si>
  <si>
    <t>Yamilka Galva</t>
  </si>
  <si>
    <t>3050 Perry avenue Bronx ny 10467</t>
  </si>
  <si>
    <t>Teaching</t>
  </si>
  <si>
    <t>Education and lawyer</t>
  </si>
  <si>
    <t>My goal is smart because I know how to achieve it.</t>
  </si>
  <si>
    <t>Responsible, Dedicated and caring</t>
  </si>
  <si>
    <t>Problem solving, communication and Leadership</t>
  </si>
  <si>
    <t>My community makes me feel supported</t>
  </si>
  <si>
    <t>lm691y9ejlwemezilsylm691y95il1i2</t>
  </si>
  <si>
    <t>1792 Lafayette av Bronx New York</t>
  </si>
  <si>
    <t>Facebook,instagram</t>
  </si>
  <si>
    <t>danielagonzalez@crotonaihs.org</t>
  </si>
  <si>
    <t>Crotons International High School</t>
  </si>
  <si>
    <t>2474</t>
  </si>
  <si>
    <t>Race</t>
  </si>
  <si>
    <t>Physically</t>
  </si>
  <si>
    <t>Columbia University in New York. ... #2. New York University. ... #3. Yeshiva University. ... #4. The New School. ... #5. City College of New York, City University of New York. ... #6. Barnard College. ... #7. Bernard M Baruch College, CUNY. ... #8. Pace University.</t>
  </si>
  <si>
    <t>Physically,detective,police, chef and dancer</t>
  </si>
  <si>
    <t>Habilitation</t>
  </si>
  <si>
    <t>Kind,respectful and punctual</t>
  </si>
  <si>
    <t>Good memory,punctuality and adaptation</t>
  </si>
  <si>
    <t>Person who always fights</t>
  </si>
  <si>
    <t>Student high school</t>
  </si>
  <si>
    <t>3vty70ngo3n3zxsq3vtykn52kdojvzso</t>
  </si>
  <si>
    <t>Ordoñez</t>
  </si>
  <si>
    <t>+16048067992</t>
  </si>
  <si>
    <t>170-02 93 rd jamaica, 5f</t>
  </si>
  <si>
    <t>emili.0_0</t>
  </si>
  <si>
    <t>nunezemili45@gmail.com</t>
  </si>
  <si>
    <t>Crotona internacional high school</t>
  </si>
  <si>
    <t>Psicolgo</t>
  </si>
  <si>
    <t>Psicologo</t>
  </si>
  <si>
    <t>Cuny, YALE, Monroe college,fordham university</t>
  </si>
  <si>
    <t>Pediatría</t>
  </si>
  <si>
    <t>soy muy empatíca aveces puedo ser muy directa soy muy alegre y me gusta mucho ayudar a las personas cuando yo tengo la oportunidad</t>
  </si>
  <si>
    <t>Empatica -porqué siempre trato de ponerme en los zapatos de otras personas y entender por lo que están pasando 
Alegre- me gusta siempre sonreír y hacer las cosas con alegria porque la alegria también es una base fundamental de la salud
Sincera- siempre trato de ser lo más sincera posible</t>
  </si>
  <si>
    <t>Se entender a las personas cuando me explican una situación 
Escucho para después poder dar una respuesta
Entiendo que las opiniones deben ser respetadas</t>
  </si>
  <si>
    <t>kxydd0pxrn0ksvkg6kxyd9jfwohbodog</t>
  </si>
  <si>
    <t>Awa</t>
  </si>
  <si>
    <t>Ndiaye</t>
  </si>
  <si>
    <t>awa.ndiaye@ellisprep.com</t>
  </si>
  <si>
    <t>+19342104078</t>
  </si>
  <si>
    <t>940 Sheridan Avenues, Apt 6A, Bronc NEWS YOURK 10456</t>
  </si>
  <si>
    <t>evachou818</t>
  </si>
  <si>
    <t>Zeynabou Ndiaye</t>
  </si>
  <si>
    <t>zeynabu.tij96@gmail.com</t>
  </si>
  <si>
    <t>+19295269121</t>
  </si>
  <si>
    <t>99 terrace avenue</t>
  </si>
  <si>
    <t>My parent from Senegal</t>
  </si>
  <si>
    <t>In 2001</t>
  </si>
  <si>
    <t>There are a Mouslym</t>
  </si>
  <si>
    <t>Wolof et a little English</t>
  </si>
  <si>
    <t>I would like to work a place where people are helping</t>
  </si>
  <si>
    <t>NYU  Comonbia</t>
  </si>
  <si>
    <t>NYU Calombia</t>
  </si>
  <si>
    <t>Get an internship, Learn about colleges, Gain skills I can use at a future job</t>
  </si>
  <si>
    <t>Éducation respect correct because I’m always like that</t>
  </si>
  <si>
    <t>Tolérance respect and helping</t>
  </si>
  <si>
    <t>No just I want to participate to the interchip</t>
  </si>
  <si>
    <t>I think good because I have always respected everyone</t>
  </si>
  <si>
    <t>erfkw06dw81symerfk0aiugcffds8dml</t>
  </si>
  <si>
    <t>Mously</t>
  </si>
  <si>
    <t>thiammously5@gmail.com</t>
  </si>
  <si>
    <t>+13473792524</t>
  </si>
  <si>
    <t>141w 116 St apt 3A zip10026New York NY</t>
  </si>
  <si>
    <t>Wealt-hywoman(Instagram)</t>
  </si>
  <si>
    <t>Badara tahiam</t>
  </si>
  <si>
    <t>thiambada8@gmail.com</t>
  </si>
  <si>
    <t>141w 116St Apt 3A zip 10026New York ny</t>
  </si>
  <si>
    <t>+13478548040</t>
  </si>
  <si>
    <t>Ellis preparatory academic</t>
  </si>
  <si>
    <t>99 terace view avenu</t>
  </si>
  <si>
    <t>Senegalese</t>
  </si>
  <si>
    <t>I don’t have a job yet</t>
  </si>
  <si>
    <t>Yeah</t>
  </si>
  <si>
    <t>Medicin, audiovisual</t>
  </si>
  <si>
    <t>Respect 🫡</t>
  </si>
  <si>
    <t>Respect everyone</t>
  </si>
  <si>
    <t>Any way I’m a great person, I’m definitely like everyone who nice to me, and also I’m so glad to explain it to you all of these things thank you so much🫡.</t>
  </si>
  <si>
    <t>Very well</t>
  </si>
  <si>
    <t>92</t>
  </si>
  <si>
    <t>rzx6w7dos38ovp7uurzx6wjcbez3sags</t>
  </si>
  <si>
    <t>Ayele</t>
  </si>
  <si>
    <t>Dounou</t>
  </si>
  <si>
    <t>ayele.dounou@ichsbronx.org</t>
  </si>
  <si>
    <t>+13478498594</t>
  </si>
  <si>
    <t>789 east 166 st, Bronx, NY, 10456</t>
  </si>
  <si>
    <t>Bella  Camara</t>
  </si>
  <si>
    <t>rose.dounou@gmail.com</t>
  </si>
  <si>
    <t>789East 166st Bonx, NY 10456</t>
  </si>
  <si>
    <t>+16464207243</t>
  </si>
  <si>
    <t>International Community high School</t>
  </si>
  <si>
    <t>Guinea And Togo</t>
  </si>
  <si>
    <t>15 years</t>
  </si>
  <si>
    <t>African, Black,</t>
  </si>
  <si>
    <t>french, english, fulani, sosso</t>
  </si>
  <si>
    <t>judge</t>
  </si>
  <si>
    <t>I was a care taker for kids and also a cashier</t>
  </si>
  <si>
    <t>Harvard, Monroe</t>
  </si>
  <si>
    <t>Lawyer, Business,</t>
  </si>
  <si>
    <t>Work Hard to achieve my goal because I know that good thing take time.</t>
  </si>
  <si>
    <t>determination, optimistic and very interactive</t>
  </si>
  <si>
    <t>good listener, patient, vey confident</t>
  </si>
  <si>
    <t>I'm good</t>
  </si>
  <si>
    <t>very good</t>
  </si>
  <si>
    <t>This is my first year so i don't have a gpa yet</t>
  </si>
  <si>
    <t>zli20ssd2oqyezpljfimy6fr3q7okd7p</t>
  </si>
  <si>
    <t>Anny</t>
  </si>
  <si>
    <t>anny.garcia@ichsbronx.org</t>
  </si>
  <si>
    <t>+19294743761</t>
  </si>
  <si>
    <t>386 East 161 Street Apt. 4B 10451</t>
  </si>
  <si>
    <t>Karen Urbina</t>
  </si>
  <si>
    <t>oristelagu@gmail.com</t>
  </si>
  <si>
    <t>+19296028996</t>
  </si>
  <si>
    <t>Odontologist</t>
  </si>
  <si>
    <t>Hostos Community College and Monroe College</t>
  </si>
  <si>
    <t>Business, Psychologist, Engineer, Architect</t>
  </si>
  <si>
    <t>My goals for the next year is to learn more English to have good grades. To improve my English I will take a program at Hostos Community College.</t>
  </si>
  <si>
    <t>Responsible because if I commit I comply. Honest because I like to be sincere always and Friendly because I like to make people feel good even with a smile.</t>
  </si>
  <si>
    <t>Bilingual, organized and a dedicated person.</t>
  </si>
  <si>
    <t>This is my first year at school so I don't have a GPA yet.</t>
  </si>
  <si>
    <t>6hgva8v0ibgje9ni6hgaewgw2hfzg5ys</t>
  </si>
  <si>
    <t>jatziry</t>
  </si>
  <si>
    <t>guity</t>
  </si>
  <si>
    <t>jatziry.guity@ichsbronx.org</t>
  </si>
  <si>
    <t>+19295388119</t>
  </si>
  <si>
    <t>160-11 89 ave, queens, ny 11432</t>
  </si>
  <si>
    <t>jasier norales</t>
  </si>
  <si>
    <t>jasierlelyalvareznorales@gmail.com</t>
  </si>
  <si>
    <t>160-11 89th ave, Queens, ny 11432</t>
  </si>
  <si>
    <t>+13476382163</t>
  </si>
  <si>
    <t>9 months</t>
  </si>
  <si>
    <t>i dont have a job</t>
  </si>
  <si>
    <t>hostos, Monroe college, nyu, Princeton university</t>
  </si>
  <si>
    <t>singer, journalist, artist, technology, Flight Attendant</t>
  </si>
  <si>
    <t>ever since i came here i wanted to learn english, that's why i applied for the hostos program</t>
  </si>
  <si>
    <t>because I have always believed that opportunities come at the right time and I believe that this opportunity is important to climb to another level</t>
  </si>
  <si>
    <t>I'm good to listen, respectful, confident</t>
  </si>
  <si>
    <t>i want to  know about counselor</t>
  </si>
  <si>
    <t>This is my first year so I don't have GPA yet.</t>
  </si>
  <si>
    <t>ykb6vwuxfue0w1cr753wykb6vdez5ntq</t>
  </si>
  <si>
    <t>Almanzar</t>
  </si>
  <si>
    <t>ana.almanzar@ichsbronx.org</t>
  </si>
  <si>
    <t>+16467308832</t>
  </si>
  <si>
    <t>812 E 168st, zip code 10459</t>
  </si>
  <si>
    <t>Yessenia Almanzar</t>
  </si>
  <si>
    <t>+16467301700</t>
  </si>
  <si>
    <t>International Community high school</t>
  </si>
  <si>
    <t>345 brook av</t>
  </si>
  <si>
    <t>l don't know what college i want to go</t>
  </si>
  <si>
    <t>psychology, finance</t>
  </si>
  <si>
    <t>Learn english, l am going to achieve my goal by studying more english.</t>
  </si>
  <si>
    <t>I am a responsible, hard working and focused  person who does her work.</t>
  </si>
  <si>
    <t>Organized , bilingual, Creative.</t>
  </si>
  <si>
    <t>83.33%</t>
  </si>
  <si>
    <t>66elzobwc1zn8sod9r66elzo9xygp4k0</t>
  </si>
  <si>
    <t>Razina</t>
  </si>
  <si>
    <t>Issoufou</t>
  </si>
  <si>
    <t>razina.issoufou@ellisprep.com</t>
  </si>
  <si>
    <t>+13474316901</t>
  </si>
  <si>
    <t>1116 grant avenue Bronx NY 10456</t>
  </si>
  <si>
    <t>Fatima Issoufou</t>
  </si>
  <si>
    <t>+19175042724</t>
  </si>
  <si>
    <t>(99 Terrace View Avenue Bronx New York</t>
  </si>
  <si>
    <t>Niger</t>
  </si>
  <si>
    <t>Hausa &amp; French</t>
  </si>
  <si>
    <t>Doctor, Business, &amp; Lawyer</t>
  </si>
  <si>
    <t>Columbia University, Lehman College, BCC, Hunter, Suny Potsdam and Clarkson University</t>
  </si>
  <si>
    <t>Doctor, Nursing, Business, and Lawyer</t>
  </si>
  <si>
    <t>I will improve my overall GPA up 95 by the end the next academic first trimester</t>
  </si>
  <si>
    <t>Friendly, Nice, gentle</t>
  </si>
  <si>
    <t>Communication, Team oriented, leadership</t>
  </si>
  <si>
    <t>clyod966jechcd21t9fhclyod9bhhqrw</t>
  </si>
  <si>
    <t>Amy</t>
  </si>
  <si>
    <t>amy.perez@ichsbronx.org</t>
  </si>
  <si>
    <t>+19295233853</t>
  </si>
  <si>
    <t>2347 Prospect Avenue Bronx NY 10458</t>
  </si>
  <si>
    <t>Jose Miguel Cabrera</t>
  </si>
  <si>
    <t>Jmalexander0922@gmail.com</t>
  </si>
  <si>
    <t>+19296770639</t>
  </si>
  <si>
    <t>My parents are in Dominican Republic</t>
  </si>
  <si>
    <t>I work as a host in Applebee's. I got this job by going to the location and asking about the application/hiring process.</t>
  </si>
  <si>
    <t>SUNY New Paltz, Potsdam, Hostos Community College, Hunter College.</t>
  </si>
  <si>
    <t>Biology, Forensic science, Flight Attendance</t>
  </si>
  <si>
    <t>I want to get college credits in order to graduate from high school with a better academic standing. I will accomplish this by applying to different colleges with such programs and work hard to get good grades.</t>
  </si>
  <si>
    <t>Learn about careers, Get coaches and mentors who can help me with college and career, Gain skills I can use at a future job, Learn about colleges, Get an internship, Make new friends</t>
  </si>
  <si>
    <t>Hard working, extroverted, creative because that's the way that I like to be. I adapt myself easily to any environment and I like to make friends.</t>
  </si>
  <si>
    <t>Bilingual, Design, critical thinking skills</t>
  </si>
  <si>
    <t>Safe, Supported, Connected and Like I belong.</t>
  </si>
  <si>
    <t>This is my first year at my current school so I don't have a GPA yet.</t>
  </si>
  <si>
    <t>ib1fd4z2mpyvtgib1r5vqvsfkybwwp0p</t>
  </si>
  <si>
    <t>Gabriela</t>
  </si>
  <si>
    <t>Pena</t>
  </si>
  <si>
    <t>gabriela.pena@ichsbronx.org</t>
  </si>
  <si>
    <t>+13475747069</t>
  </si>
  <si>
    <t>786 East 152nd Street Bronx NY 10455</t>
  </si>
  <si>
    <t>Juan Pena</t>
  </si>
  <si>
    <t>gabrielapena0311@gmail.com</t>
  </si>
  <si>
    <t>+13474999693</t>
  </si>
  <si>
    <t>Administration, finance, accounting</t>
  </si>
  <si>
    <t>Administrator or Manager of a business</t>
  </si>
  <si>
    <t>Columbia University, Stanford University, Harvard University, Chicago Booth</t>
  </si>
  <si>
    <t>Psychology, Oenology, Architecture</t>
  </si>
  <si>
    <t>I want to pass to 12th grade with excellent academic standing, and participate in more extracurricular activities. I am planning to do that by working hard on my classes and getting involved in my community.</t>
  </si>
  <si>
    <t>Get coaches and mentors who can help me with college and career, Gain skills I can use at a future job, Learn about colleges, Get an internship, Learn about careers</t>
  </si>
  <si>
    <t>Persistent, Responsible, and Creative, because people remind me about those qualities and my actions demonstrate that.</t>
  </si>
  <si>
    <t>Bilingual, autodidact, leadership skills.</t>
  </si>
  <si>
    <t>Supported and Safe</t>
  </si>
  <si>
    <t>92.50%</t>
  </si>
  <si>
    <t>1msdkw4qjak21zkenpxv01msdkw4v3do</t>
  </si>
  <si>
    <t>Karla</t>
  </si>
  <si>
    <t>Arriola</t>
  </si>
  <si>
    <t>karla.arriola@ichsbronx.org</t>
  </si>
  <si>
    <t>+19085468238</t>
  </si>
  <si>
    <t>585 Wales Ave Bronx NY 10455</t>
  </si>
  <si>
    <t>Yesica Suazo</t>
  </si>
  <si>
    <t>arriolakarla133115@gmail.com</t>
  </si>
  <si>
    <t>+18327398096</t>
  </si>
  <si>
    <t>I was working at a factory packing lunches, and I got it because my aunt was working there.</t>
  </si>
  <si>
    <t>Hostos community college, Monroe College, Columbia University, NYU</t>
  </si>
  <si>
    <t>Surgeon and Neurosciencetist</t>
  </si>
  <si>
    <t>I want to improve my GPA by being more consistent with my class attendance and putting more effort in my classes. I want to do this to be able to graduate with honors.</t>
  </si>
  <si>
    <t>Determined, Sensible and Honest, because I like to work hard to achieve what I want, I like to be truthful and people tell me that all the time and sometimes I tend to feel too much when it comes to any event in my life.</t>
  </si>
  <si>
    <t>Communication, Empathy, bilingual skills</t>
  </si>
  <si>
    <t>Cathilicism</t>
  </si>
  <si>
    <t>84.56%</t>
  </si>
  <si>
    <t>hl6uyh2ef1j3qtvd0yyihl6up9l6zg68</t>
  </si>
  <si>
    <t>Katerin</t>
  </si>
  <si>
    <t>katerin.vasquez@ichsbronx.org</t>
  </si>
  <si>
    <t>+13478478198</t>
  </si>
  <si>
    <t>1114 Ward Avenue Bronx NY 10472</t>
  </si>
  <si>
    <t>Maria Vasquez</t>
  </si>
  <si>
    <t>vkaterin504@gmail.com</t>
  </si>
  <si>
    <t>+12107695925</t>
  </si>
  <si>
    <t>Graphic Design</t>
  </si>
  <si>
    <t>I used to work in a factory scanning products. I got it because my mom recommended me.</t>
  </si>
  <si>
    <t>Pratt Fashion Institute</t>
  </si>
  <si>
    <t>Communication and teaching</t>
  </si>
  <si>
    <t>I want to improve my english proficiency skills, I am planning to do it by getting out of my comfort zone and practicing. I want to reach this goal because it would help me feel more prepared for college.</t>
  </si>
  <si>
    <t>Kind, friendly, helpful person because I like to make friends and help people.</t>
  </si>
  <si>
    <t>Creative, tech, bilingual skills</t>
  </si>
  <si>
    <t>76.75%</t>
  </si>
  <si>
    <t>htq0gft3y0vxr35qsypxha9htq0gft3e</t>
  </si>
  <si>
    <t>Skirlie</t>
  </si>
  <si>
    <t>skirlie.delacruz@ichsbronx.org</t>
  </si>
  <si>
    <t>+18382078962</t>
  </si>
  <si>
    <t>955 Sheridan Ave</t>
  </si>
  <si>
    <t>Henry Lora</t>
  </si>
  <si>
    <t>Varonil189@gmail.com</t>
  </si>
  <si>
    <t>955 Sheridan Ave, Bronx, NY, 10456</t>
  </si>
  <si>
    <t>+19173481761</t>
  </si>
  <si>
    <t>Internacional Community High School</t>
  </si>
  <si>
    <t>I am a cashier</t>
  </si>
  <si>
    <t>* John Jay college of criminal justice  * University of Rochester  * BMCC * SUNY New Paltz  * Muhlenberg College</t>
  </si>
  <si>
    <t>Law, Criminology, agriculture</t>
  </si>
  <si>
    <t>I will make sure about which career and where I want to study</t>
  </si>
  <si>
    <t>Get coaches and mentors who can help me with college and career, Gain skills I can use at a future job, Make new friends</t>
  </si>
  <si>
    <t>Funny, intelligent and responsable</t>
  </si>
  <si>
    <t>Analytical, communication and critical skills</t>
  </si>
  <si>
    <t>09mmiet0r35q4ey09mm3tog9g74dr0g3</t>
  </si>
  <si>
    <t>Audrey</t>
  </si>
  <si>
    <t>Made Mewoli</t>
  </si>
  <si>
    <t>audrey.made@ellisprep.com</t>
  </si>
  <si>
    <t>+13476474349</t>
  </si>
  <si>
    <t>2333 Davidson avenue  Apt 4s Bronx New York  NY 10468</t>
  </si>
  <si>
    <t>TikTok , WhatsApp</t>
  </si>
  <si>
    <t>Suzi Mengue Sanders</t>
  </si>
  <si>
    <t>amougou_marie2006@yahoo.fr</t>
  </si>
  <si>
    <t>+13477400270</t>
  </si>
  <si>
    <t>99 Terrace View Avenue Bronx , NY 10463</t>
  </si>
  <si>
    <t>We are from Cameroon</t>
  </si>
  <si>
    <t>French and English</t>
  </si>
  <si>
    <t>Diplomat</t>
  </si>
  <si>
    <t>To be a Diplomat</t>
  </si>
  <si>
    <t>Columbia College , Freshman College ,    New York University (NYU)      Cornell University   ,  Fordham University  ,  Baruch College    CUNY Hunter College   , Pace University – New York  , Yeshiva University ,   CUNY , Queens College</t>
  </si>
  <si>
    <t>Diplomat , Pilot , Doctor</t>
  </si>
  <si>
    <t>I would like to improve my languages ​​and learn to know several things about my career to be able , and to be able to achieve my goals , by applying the skills and method I learn from my Champion in my academic work,m and by the end of the school to be able to see how I change .</t>
  </si>
  <si>
    <t>I like to help, I am very patient and I respect everyone  because this is my nature and I appreciate that .</t>
  </si>
  <si>
    <t>Always be concerted, listen to the good advice of my relatives and always work hard.</t>
  </si>
  <si>
    <t>I listen a lot and I speak little .</t>
  </si>
  <si>
    <t>Supported , Safe</t>
  </si>
  <si>
    <t>A And B+</t>
  </si>
  <si>
    <t>qnyxld6b2fembtqnyxl0pa5qv475poib</t>
  </si>
  <si>
    <t>Mario</t>
  </si>
  <si>
    <t>Brito</t>
  </si>
  <si>
    <t>misabritas@gmail.com</t>
  </si>
  <si>
    <t>+19296881575</t>
  </si>
  <si>
    <t>3530 Dekalb Av, Apt 5E</t>
  </si>
  <si>
    <t>https://www.facebook.com/misaelbritocollado/</t>
  </si>
  <si>
    <t>Nereida Collado</t>
  </si>
  <si>
    <t>nereidacolladomejia@gmail.com</t>
  </si>
  <si>
    <t>+19296881592</t>
  </si>
  <si>
    <t>ELLIS PREP HIGHSCHOOL</t>
  </si>
  <si>
    <t>No, i think that everything is clear.</t>
  </si>
  <si>
    <t>Be a Graphic Designer</t>
  </si>
  <si>
    <t>New York Institute of Technology, NY COLLEGE OF TECHNOLOGY  and Vaughn College</t>
  </si>
  <si>
    <t>Game Development, Computer Science, AudioVisual Editor,</t>
  </si>
  <si>
    <t>I will improve my GPA by 6 points, from a 90 to a 96, and I will learn and apply all the skills that the champions show me by the end of this school year.</t>
  </si>
  <si>
    <t>Empathetic - i always try to be in the place of the others so i can understand better the situation
Organized - I try to have everything that i need organized when i need it.
persistent - i always try my best for reaching my goal.</t>
  </si>
  <si>
    <t>I know a little bit of photoshop, i think that can be useful in graphic design.
I know how to use some video editors 
I have some knowledge about how the career works.</t>
  </si>
  <si>
    <t>No, everything is okay.</t>
  </si>
  <si>
    <t>Safe and very supported</t>
  </si>
  <si>
    <t>Im going to bring this information later.</t>
  </si>
  <si>
    <t>b3grbyhqyg6yjf4gb3gr6zm8met8nksd</t>
  </si>
  <si>
    <t>1116 grant avenue Bronx NY 10456 Apt 3A</t>
  </si>
  <si>
    <t>Ellis prepar Academy</t>
  </si>
  <si>
    <t>99 terrace view avenue Bronx NY</t>
  </si>
  <si>
    <t>french, hausa, english</t>
  </si>
  <si>
    <t>health personnel</t>
  </si>
  <si>
    <t>Columbia University, Lehman college, BCC,Hunter College, SUNY Potsdam, Clarkson University</t>
  </si>
  <si>
    <t>low, docter, business, accountant</t>
  </si>
  <si>
    <t>Specific, Measurable,Attainable , Timely</t>
  </si>
  <si>
    <t>strongly, intelligently,smartly</t>
  </si>
  <si>
    <t>communication, goal oriented, due deligent</t>
  </si>
  <si>
    <t>safe, supported,connected</t>
  </si>
  <si>
    <t>p26bws2879pmdghp26s8n2ihphflfcyp</t>
  </si>
  <si>
    <t>luis.grullon.24@wheels-student.org</t>
  </si>
  <si>
    <t>+19178531090</t>
  </si>
  <si>
    <t>619 west 175 st, New York, NY,10033</t>
  </si>
  <si>
    <t>Don’t have any</t>
  </si>
  <si>
    <t>Martha duran Grullon and Emmanuel Grullon</t>
  </si>
  <si>
    <t>dileniagrullon27@gmail.com</t>
  </si>
  <si>
    <t>619 west 175 st, NYC, NY, 10033</t>
  </si>
  <si>
    <t>+13479180061</t>
  </si>
  <si>
    <t>About 11 years</t>
  </si>
  <si>
    <t>Spainsh</t>
  </si>
  <si>
    <t>Enigeer</t>
  </si>
  <si>
    <t>MIT</t>
  </si>
  <si>
    <t>I will improve my knowledge on everything 
By at least 50%</t>
  </si>
  <si>
    <t>Hard worker and Respectful</t>
  </si>
  <si>
    <t>I’m a fast learner and hard worker</t>
  </si>
  <si>
    <t>65tz2hh74453si065tz50mro9qvwyacn</t>
  </si>
  <si>
    <t>helena</t>
  </si>
  <si>
    <t>bedward</t>
  </si>
  <si>
    <t>helenabedward4@gmail.com</t>
  </si>
  <si>
    <t>+16469404395</t>
  </si>
  <si>
    <t>144-18-167st Jamaica  11434 New York</t>
  </si>
  <si>
    <t>Kesha brown and Earl Bedward</t>
  </si>
  <si>
    <t>kesfortu@aol.com</t>
  </si>
  <si>
    <t>144-18-167st Jamaica New York 11434</t>
  </si>
  <si>
    <t>+13473393843</t>
  </si>
  <si>
    <t>trinidad and Jamaica</t>
  </si>
  <si>
    <t>my parents arrive here 30 years ago</t>
  </si>
  <si>
    <t>Black, African American American</t>
  </si>
  <si>
    <t>software engineer and Data scientist</t>
  </si>
  <si>
    <t>I got a job through summer Youth. I worked at a police station as a desk assistant. I would make copies and file things. Also make sure to notify officers of the job they had to do</t>
  </si>
  <si>
    <t>SUNY Stony Brook, CUNY City College,CUNY College of Tech,CUNY Lehman,CUNY Queens College</t>
  </si>
  <si>
    <t>front end engineer, full stack engineer, Backend engineer ,cyber security and SQA engineer</t>
  </si>
  <si>
    <t>I will improve my GPA by trying to move from 82 to 87 at least by January try to get extra credit whenever I can and complete work on time</t>
  </si>
  <si>
    <t>polite, honest and calm</t>
  </si>
  <si>
    <t>my communication skill, the ability to analyze well, and pay attention to small detail</t>
  </si>
  <si>
    <t>i have nothing else i want you to know</t>
  </si>
  <si>
    <t>82%</t>
  </si>
  <si>
    <t>wgncfx0w6kavwgncf6zbap6bu6m4r6pr</t>
  </si>
  <si>
    <t>testing</t>
  </si>
  <si>
    <t>dan@gmail.com</t>
  </si>
  <si>
    <t>hello</t>
  </si>
  <si>
    <t>daniel</t>
  </si>
  <si>
    <t>daniel@gmail.com</t>
  </si>
  <si>
    <t>ehello</t>
  </si>
  <si>
    <t>+12312312312</t>
  </si>
  <si>
    <t>afds</t>
  </si>
  <si>
    <t>ssadf</t>
  </si>
  <si>
    <t>g</t>
  </si>
  <si>
    <t>312</t>
  </si>
  <si>
    <t>asdf</t>
  </si>
  <si>
    <t>sadf</t>
  </si>
  <si>
    <t>sdav</t>
  </si>
  <si>
    <t>sdfa</t>
  </si>
  <si>
    <t>123</t>
  </si>
  <si>
    <t>7q8vqniq16fxkcqbn4y7q8v4rhi3yo6z</t>
  </si>
  <si>
    <t>Tryana</t>
  </si>
  <si>
    <t>tryana.hernandez.24@wheels-student.org</t>
  </si>
  <si>
    <t>+19174425092</t>
  </si>
  <si>
    <t>530 w 174th st apt 44</t>
  </si>
  <si>
    <t>tryana.112</t>
  </si>
  <si>
    <t>yuderka rodriguez</t>
  </si>
  <si>
    <t>yuderka69@icloud.com</t>
  </si>
  <si>
    <t>+13474425092</t>
  </si>
  <si>
    <t>511 w 182nd st</t>
  </si>
  <si>
    <t>9 years ago my mom and i came and my dad has lived here for 40+ years</t>
  </si>
  <si>
    <t>im afro latina</t>
  </si>
  <si>
    <t>doctor or lawyer</t>
  </si>
  <si>
    <t>brooklyn collage</t>
  </si>
  <si>
    <t>law,med</t>
  </si>
  <si>
    <t>i will improve my overall grade</t>
  </si>
  <si>
    <t>Get an internship, Get coaches and mentors who can help me with college and career, Gain skills I can use at a future job, Learn about colleges</t>
  </si>
  <si>
    <t>fun,caring,determine</t>
  </si>
  <si>
    <t>always trying,</t>
  </si>
  <si>
    <t>i would want you guys to now that i dont now what i want to do in collage</t>
  </si>
  <si>
    <t>82</t>
  </si>
  <si>
    <t>q8amwf3nmgfnply7m0odk0q8amwf33fe</t>
  </si>
  <si>
    <t>619 west 175 street, New York, NY, 10033</t>
  </si>
  <si>
    <t>Martha Duran Grullon</t>
  </si>
  <si>
    <t>511 w 182 street</t>
  </si>
  <si>
    <t>i wasn´t born here</t>
  </si>
  <si>
    <t>spansih</t>
  </si>
  <si>
    <t>game creator</t>
  </si>
  <si>
    <t>stanford, MIT</t>
  </si>
  <si>
    <t>writer</t>
  </si>
  <si>
    <t>S:Improve overall knowledge</t>
  </si>
  <si>
    <t>out going</t>
  </si>
  <si>
    <t>I learn fast</t>
  </si>
  <si>
    <t>i don´t know</t>
  </si>
  <si>
    <t>qpdikxq80kvj217qpdikje2hnnj5c6c8</t>
  </si>
  <si>
    <t>Brandon</t>
  </si>
  <si>
    <t>brandon.nunez.24@wheels-student.org</t>
  </si>
  <si>
    <t>+16467525142</t>
  </si>
  <si>
    <t>370 Wadsworth West 192nd Street,Manhattan,New York 10040</t>
  </si>
  <si>
    <t>Maria Sandra Nunez</t>
  </si>
  <si>
    <t>sandranunez1024@gmail.com</t>
  </si>
  <si>
    <t>370 Wadsworth West 192nd Street 10040 Manhattan,New York City</t>
  </si>
  <si>
    <t>+19177495786</t>
  </si>
  <si>
    <t>West 182nd Street</t>
  </si>
  <si>
    <t>20-30 Years Ago</t>
  </si>
  <si>
    <t>English And Spanish</t>
  </si>
  <si>
    <t>Bartender,Architect,Business Man,Etc</t>
  </si>
  <si>
    <t>Owning A Business</t>
  </si>
  <si>
    <t>I'm Currently Not Interested in any college\</t>
  </si>
  <si>
    <t>Scientist,Real Estate,Musician,Director In Film,Marketer</t>
  </si>
  <si>
    <t>I would like to improve my grades and gpa even if
I can't see them at the moment.</t>
  </si>
  <si>
    <t>Humor,Active,Intelligence</t>
  </si>
  <si>
    <t>Intelligence,Hard Work,Never Slack on Anything</t>
  </si>
  <si>
    <t>Like I Belong</t>
  </si>
  <si>
    <t>I'm Not Sure</t>
  </si>
  <si>
    <t>491os3bc2zmncbjxkfp491lobd7yespc</t>
  </si>
  <si>
    <t>Lhianna</t>
  </si>
  <si>
    <t>Capell</t>
  </si>
  <si>
    <t>lhianna.capell.24@wheels-student.org</t>
  </si>
  <si>
    <t>+16469611659</t>
  </si>
  <si>
    <t>711 W 180th St apt. 34, New York, NY 10033</t>
  </si>
  <si>
    <t>Luisa Pina</t>
  </si>
  <si>
    <t>ginnypina@hotmail.com</t>
  </si>
  <si>
    <t>+16463556805</t>
  </si>
  <si>
    <t>Washington Heights Expeditionary Learning School (WHEELS)</t>
  </si>
  <si>
    <t>Around 30 years ago.</t>
  </si>
  <si>
    <t>I am Dominican American, Afro Latina</t>
  </si>
  <si>
    <t>Currently getting ready for a Work Based Learning Internship in my school.</t>
  </si>
  <si>
    <t>Skidmore, Richmond, Barnard, Fordham, SJU, Baruch, CUNY, Hunter, Brooklyn, Wagner, etc.</t>
  </si>
  <si>
    <t>Psychology, Arts, Drama, Medical Field,  etc.</t>
  </si>
  <si>
    <t>11th grade I will have an above 90 GPA</t>
  </si>
  <si>
    <t>Quiet, observant, artistic</t>
  </si>
  <si>
    <t>Presentations, Communication, Writing</t>
  </si>
  <si>
    <t>I'd like to study psychology</t>
  </si>
  <si>
    <t>I don't know I will submit my transcript later</t>
  </si>
  <si>
    <t>03sclvlpvthf5pmn25m03sgvc3ofmbga</t>
  </si>
  <si>
    <t>Yorlan</t>
  </si>
  <si>
    <t>Espinal</t>
  </si>
  <si>
    <t>Yorlan.Espinal.24@wheels-student.org</t>
  </si>
  <si>
    <t>+19292718631</t>
  </si>
  <si>
    <t>506W 178th ST apt 2D New York,NY 10033</t>
  </si>
  <si>
    <t>Carmen Fernandez</t>
  </si>
  <si>
    <t>Fernandez.cf571@gmail.com</t>
  </si>
  <si>
    <t>+13478660684</t>
  </si>
  <si>
    <t>511W 182nd ST</t>
  </si>
  <si>
    <t>computer Engineer</t>
  </si>
  <si>
    <t>Columbia, NYU, Mercy college</t>
  </si>
  <si>
    <t>Civil Engennier or Computer Engennier</t>
  </si>
  <si>
    <t>I will start my computer science course well, by getting it to 85% by keeping up with work using the time management skills I will learn from my Champion.</t>
  </si>
  <si>
    <t>helpful, high achieving,  determined</t>
  </si>
  <si>
    <t>commitment, perseverance, staying positive</t>
  </si>
  <si>
    <t>89.28%</t>
  </si>
  <si>
    <t>461csgxx3nzu1kcuy28461cs3ucc5o77</t>
  </si>
  <si>
    <t>Rashel</t>
  </si>
  <si>
    <t>Cabreja</t>
  </si>
  <si>
    <t>rashel.cabreja.24@wheels-student.org</t>
  </si>
  <si>
    <t>+13476667025</t>
  </si>
  <si>
    <t>562 West 186th street</t>
  </si>
  <si>
    <t>Alexa Cabreja</t>
  </si>
  <si>
    <t>cabrejaalexa77@gmail.com</t>
  </si>
  <si>
    <t>562 West 186th Street</t>
  </si>
  <si>
    <t>+12129287398</t>
  </si>
  <si>
    <t>511 West 182nd Street</t>
  </si>
  <si>
    <t>Dominican American</t>
  </si>
  <si>
    <t>Forensic science</t>
  </si>
  <si>
    <t>forensic science</t>
  </si>
  <si>
    <t>john jay</t>
  </si>
  <si>
    <t>health criminology</t>
  </si>
  <si>
    <t>i will improve my grades and focus more on my education and personal benefits</t>
  </si>
  <si>
    <t>quiet, observant, and hustler</t>
  </si>
  <si>
    <t>good listener, i take lots of notes, and i pay close attention</t>
  </si>
  <si>
    <t>b659khlp9owf8hvynab659khqfuahli3</t>
  </si>
  <si>
    <t>Rana</t>
  </si>
  <si>
    <t>Musleh</t>
  </si>
  <si>
    <t>rana.musleh.24@wheels-student.org</t>
  </si>
  <si>
    <t>667 W 177th St, Ap 55, New York, NY 10033</t>
  </si>
  <si>
    <t>Hisham Musleh</t>
  </si>
  <si>
    <t>federalyemen2@yahoo.com</t>
  </si>
  <si>
    <t>+19293726918</t>
  </si>
  <si>
    <t>Muslim and I will speak if there is something I should't do.</t>
  </si>
  <si>
    <t>I am not interested in any colleges yet.</t>
  </si>
  <si>
    <t>Lawyer or teacher. I don't have any other careers that I am interested in other then these.</t>
  </si>
  <si>
    <t>Specific: I will continue to work harder, Measurable: by a lot, Attainable: 90 and above, Relevant: by listening and focusing on what I need to do, Timely: until I graduate.</t>
  </si>
  <si>
    <t>Hard working, talkative, and creative.</t>
  </si>
  <si>
    <t>communication, passion, organizational skills, and attention to detail.</t>
  </si>
  <si>
    <t>I can't think of anything right now, I say it if I need to.</t>
  </si>
  <si>
    <t>I don't know because I don't know how/where to find it, but I have ME or MA in all my classes in Jumprope.</t>
  </si>
  <si>
    <t>be2a70itwf49tacqn1yaqbe2a5l7rt5j</t>
  </si>
  <si>
    <t>Leandro</t>
  </si>
  <si>
    <t>Chavez</t>
  </si>
  <si>
    <t>lapicito3505@gmail.com</t>
  </si>
  <si>
    <t>+16466239816</t>
  </si>
  <si>
    <t>18 st Nicholas place, New York, United States, 10031</t>
  </si>
  <si>
    <t>https://instagram.com/leandro_281_?igshid=YmMyMTA2M2Y=</t>
  </si>
  <si>
    <t>Leticia Chavez</t>
  </si>
  <si>
    <t>+16466374305</t>
  </si>
  <si>
    <t>I was born here in New York while my parents were born in Mexico in Hidalgo.</t>
  </si>
  <si>
    <t>Real Estate</t>
  </si>
  <si>
    <t>I work as a busboy at a restaurant and the way I got it was an offer from a person.</t>
  </si>
  <si>
    <t>Gain skills I can use at a future job, Learn about colleges, Learn about careers, Make new friends, Get an internship</t>
  </si>
  <si>
    <t>lodpqq1szlziaitu1q7alodpqdak1uep</t>
  </si>
  <si>
    <t>Hayes</t>
  </si>
  <si>
    <t>Mendez</t>
  </si>
  <si>
    <t>hayesmendez06@gmail.com</t>
  </si>
  <si>
    <t>+16467750508</t>
  </si>
  <si>
    <t>629W 170St apt 4F New York, New York 10032</t>
  </si>
  <si>
    <t>@WeezyHRaid (Twitter) @weezy_h_raider (IG)</t>
  </si>
  <si>
    <t>Nayroby German</t>
  </si>
  <si>
    <t>ngerman83@gmail.com</t>
  </si>
  <si>
    <t>+13476723673</t>
  </si>
  <si>
    <t>Dominican Republic and Ecuador</t>
  </si>
  <si>
    <t>Over 20 years ago</t>
  </si>
  <si>
    <t>I am Afro-latino</t>
  </si>
  <si>
    <t>A visual designer</t>
  </si>
  <si>
    <t>I worked in a bike shop fixing and building bikes</t>
  </si>
  <si>
    <t>I don't know which ones</t>
  </si>
  <si>
    <t>Visual Designer, Designer, Voice Actor, Artist, and a cartoonist</t>
  </si>
  <si>
    <t>Wake up earlier for school</t>
  </si>
  <si>
    <t>Get an internship, Make new friends, Gain skills I can use at a future job</t>
  </si>
  <si>
    <t>Courageous, idealistic, wise</t>
  </si>
  <si>
    <t>Drawing, ideas, knowledge</t>
  </si>
  <si>
    <t>I am very creative</t>
  </si>
  <si>
    <t>Powerful</t>
  </si>
  <si>
    <t>8vaa1ayaqy5i4qpxf58vaa1dhzprhri0</t>
  </si>
  <si>
    <t>Adalbelys</t>
  </si>
  <si>
    <t>adalbelys1530@gmail.com</t>
  </si>
  <si>
    <t>+13477222650</t>
  </si>
  <si>
    <t>295 wadsworth ave apt 4E ny ny 10040</t>
  </si>
  <si>
    <t>Adalgiza Gil</t>
  </si>
  <si>
    <t>adalgizagil@hotmai.com</t>
  </si>
  <si>
    <t>295 wadsworth ave apt 4E ny ny10040</t>
  </si>
  <si>
    <t>+13475028355</t>
  </si>
  <si>
    <t>511 w 182st</t>
  </si>
  <si>
    <t>Heart surgeon</t>
  </si>
  <si>
    <t>heart surgeon</t>
  </si>
  <si>
    <t>hunter,columbia,fordham university,new york institute of technology,nyu, hostos</t>
  </si>
  <si>
    <t>heart surgeon,family doctor , radiology</t>
  </si>
  <si>
    <t>I will improve my grades in all classes by keeping them all in the 90s by working on maintaining good work habits</t>
  </si>
  <si>
    <t>hardworking,kind,shy</t>
  </si>
  <si>
    <t>determination strive and motivation</t>
  </si>
  <si>
    <t>catholiciism</t>
  </si>
  <si>
    <t>zedfk6e2zlte77cu7ur4c4fzedfk6e27</t>
  </si>
  <si>
    <t>Kimberly</t>
  </si>
  <si>
    <t>kimberly.paulino.24@wheels-student.org</t>
  </si>
  <si>
    <t>+19295308314</t>
  </si>
  <si>
    <t>550 west 180th st apt 2E</t>
  </si>
  <si>
    <t>Mildred Castellanos</t>
  </si>
  <si>
    <t>mildredcastellanos1628@gmail.com</t>
  </si>
  <si>
    <t>550 West 180th st apt 2E New York, NY,10033</t>
  </si>
  <si>
    <t>+16463630248</t>
  </si>
  <si>
    <t>Washington Heights Expeditionary Learning school</t>
  </si>
  <si>
    <t>511 west 182st</t>
  </si>
  <si>
    <t>I am interested in the medical field but i'm not quite sure yet which department I want to work in. However I am hoping to learn more about this career and gain more knowledge that will help me decide which medical department I want to pursue.</t>
  </si>
  <si>
    <t>My ideal future career job is to work in a hospital or clinic.</t>
  </si>
  <si>
    <t>Hunter, Mercy,</t>
  </si>
  <si>
    <t>Medicine, Homicide detective, forensic science however I want to pursue medicine.</t>
  </si>
  <si>
    <t>To get to have good grades in each class, by 5 points from 85-90. I will do this by working hard and completing all my work by the end of 11th year.</t>
  </si>
  <si>
    <t>I would describe myself as nice, respectful, and calm because I behave good and keep to myself.</t>
  </si>
  <si>
    <t>Social, pick things up fast, and im respectful.</t>
  </si>
  <si>
    <t>My community makes me feel unsafe due to the violence occurring in the streets.</t>
  </si>
  <si>
    <t>vk46kk59pkojrzrpqmiv8vk46km5ymeg</t>
  </si>
  <si>
    <t>Yisneiri</t>
  </si>
  <si>
    <t>yisneiri.rojas.24@wheels-student.org</t>
  </si>
  <si>
    <t>+16463417412</t>
  </si>
  <si>
    <t>592 west 178 st apt 56 new york 10033</t>
  </si>
  <si>
    <t>Gcurlzz</t>
  </si>
  <si>
    <t>Grismairy Montan</t>
  </si>
  <si>
    <t>grismairy@gmail.com</t>
  </si>
  <si>
    <t>+19144370276</t>
  </si>
  <si>
    <t>511 west 182st new york new york 10033</t>
  </si>
  <si>
    <t>Half of my family comes from Italy</t>
  </si>
  <si>
    <t>English and spanish</t>
  </si>
  <si>
    <t>Social work</t>
  </si>
  <si>
    <t>I mostly babysit. I started babysitting my siblinfgs at an early age. Then i got people to ask if i can wtach their children due to how i take care of kids.</t>
  </si>
  <si>
    <t>Lawyer, social work, doctor/nurse</t>
  </si>
  <si>
    <t>My smart goal is to study better to try and remember things better. I tend to not remember anything even if i do really try.</t>
  </si>
  <si>
    <t>I would say i am gagarious. I love to talk and add on to groups so it wont be so boring. I like to make people laugh or enjoy the moment. I can say i am like a leader because i make people get their shyness away and let them open up more. And last, i am very determined when i want to get something or accomplish something.</t>
  </si>
  <si>
    <t>I have communication skills, sociable, determined</t>
  </si>
  <si>
    <t>nots2fli638p7s1not1bw6n76ppecqs7</t>
  </si>
  <si>
    <t>Shanick</t>
  </si>
  <si>
    <t>De Leon</t>
  </si>
  <si>
    <t>shanick.deleon.24@wheels-student.org</t>
  </si>
  <si>
    <t>+19177367689</t>
  </si>
  <si>
    <t>599 w 187st 10033</t>
  </si>
  <si>
    <t>shanick.k</t>
  </si>
  <si>
    <t>Elvia</t>
  </si>
  <si>
    <t>elvianunez0622@gmail.com</t>
  </si>
  <si>
    <t>+16469380131</t>
  </si>
  <si>
    <t>johnjays</t>
  </si>
  <si>
    <t>fbi, doctor</t>
  </si>
  <si>
    <t>to get a higher gpa at the end of the year</t>
  </si>
  <si>
    <t>kind, nice, caring cus i am all those words to my friends</t>
  </si>
  <si>
    <t>68.14</t>
  </si>
  <si>
    <t>66lw4i1muxemyf1jb40j366lw4i1nq48</t>
  </si>
  <si>
    <t>Yoana</t>
  </si>
  <si>
    <t>yoana.reyes.24@wheels-student.org</t>
  </si>
  <si>
    <t>+16463532298</t>
  </si>
  <si>
    <t>572 west 173st, New York, NY, 10032</t>
  </si>
  <si>
    <t>Maria Moran</t>
  </si>
  <si>
    <t>Lourdesmorangalvez@gmail.com</t>
  </si>
  <si>
    <t>572w 173st, New York, NY,10032</t>
  </si>
  <si>
    <t>+16465001423</t>
  </si>
  <si>
    <t>511w 182nd st, New York, NY, 10033</t>
  </si>
  <si>
    <t>i would like to work in medical</t>
  </si>
  <si>
    <t>doctor or a teacher</t>
  </si>
  <si>
    <t>I'm still not sure because I'm thinking rather i should stay in the state or go out state</t>
  </si>
  <si>
    <t>medical, education, criminal justice, idk what else</t>
  </si>
  <si>
    <t>Get coaches and mentors who can help me with college and career, Learn about colleges, Gain skills I can use at a future job</t>
  </si>
  <si>
    <t>good listener, good at paying attention, good on staying on track</t>
  </si>
  <si>
    <t>don't know</t>
  </si>
  <si>
    <t>xbhhfhg0c5xo3wqxbhhfb8cw4j4smao5</t>
  </si>
  <si>
    <t>jeremy.rodriguez.24@wheels-student.org</t>
  </si>
  <si>
    <t>+19176038878</t>
  </si>
  <si>
    <t>559 w 188 street, Nyc, NY 10040</t>
  </si>
  <si>
    <t>Elizabeth Rosado</t>
  </si>
  <si>
    <t>agramonte54@gmail.com</t>
  </si>
  <si>
    <t>10040</t>
  </si>
  <si>
    <t>+16469235351</t>
  </si>
  <si>
    <t>511 w 182nd</t>
  </si>
  <si>
    <t>dr</t>
  </si>
  <si>
    <t>england</t>
  </si>
  <si>
    <t>japanese english spanish</t>
  </si>
  <si>
    <t>nnnnn</t>
  </si>
  <si>
    <t>intelligence</t>
  </si>
  <si>
    <t>im not really interested</t>
  </si>
  <si>
    <t>76</t>
  </si>
  <si>
    <t>2q1xnivbmljbv8dvb2q1xniwrj3j49vf</t>
  </si>
  <si>
    <t>Hanan</t>
  </si>
  <si>
    <t>Awad</t>
  </si>
  <si>
    <t>hanan.awad.24@wheels-student.org</t>
  </si>
  <si>
    <t>667 West 177th Street New York, NY, 10033</t>
  </si>
  <si>
    <t>Enam Awadeh</t>
  </si>
  <si>
    <t>enamawawdeh8@gmail.com</t>
  </si>
  <si>
    <t>+16468336785</t>
  </si>
  <si>
    <t>Palestine</t>
  </si>
  <si>
    <t>Management Analyst</t>
  </si>
  <si>
    <t>CUNY Graduate School of Public Health, Policy Baruch College, The City College of New York, Columbia Greene Binghamton University, Alfred University, Suny Empire, Suny Broome, Hudson Valley Community College, Maritime College</t>
  </si>
  <si>
    <t>Economist, Historian, Actuaries, Biostatistician and Management Anaylsts</t>
  </si>
  <si>
    <t>Specific: Improve my overall average, Measurable: by gaining 90's on most tests, Attainable: to keep overall grades to 90 to 95 Relevant: by increasing focus in academic studies, Timely: During the middle of the semester.</t>
  </si>
  <si>
    <t>Quiet, Logical and determined</t>
  </si>
  <si>
    <t>Writing, eager to improve and organization</t>
  </si>
  <si>
    <t>There is nothing else that needs to be added.</t>
  </si>
  <si>
    <t>116xarad83akj7suweij116xar0o4c26</t>
  </si>
  <si>
    <t>Emanuel</t>
  </si>
  <si>
    <t>emanueljair4@gmail.com</t>
  </si>
  <si>
    <t>+19294181872</t>
  </si>
  <si>
    <t>510 west 184th street apt 52, New York, New York, 10033</t>
  </si>
  <si>
    <t>Navy Marte</t>
  </si>
  <si>
    <t>navymarte.matos@gmail.com</t>
  </si>
  <si>
    <t>+12129510213</t>
  </si>
  <si>
    <t>511 west 182nd Street New York, New York 10033</t>
  </si>
  <si>
    <t>Dont know</t>
  </si>
  <si>
    <t>Im Hispanic</t>
  </si>
  <si>
    <t>Computer Hardware Engineering</t>
  </si>
  <si>
    <t>My future job is some type of work were I make hardware for computer</t>
  </si>
  <si>
    <t>Stevens Intitute of Technology, Fashion Intitute of Technology, Oxford, JohnJay College of Criminal Justice</t>
  </si>
  <si>
    <t>Electrical Engineering, Mechanical Engineering, Robotics, Software Development, Computer Programing</t>
  </si>
  <si>
    <t>My goal is to have at least MA (85-94%) on my strong classes which are science, math, and spanish by the end of the semester and keep them to the high 80s and maybe even get them to 90s all of them by the end of the year. For my weak classes, ELA and History I want to have at least an MT (75-85%). What I would do to get to this goal is focus a lot and not be distracted by dumb things. Another thing is try to make my notes easier to read and find in a sense so when I'm studying it can be easier.</t>
  </si>
  <si>
    <t>Hardworking, Chill, Determined</t>
  </si>
  <si>
    <t>Responsibility, Time Management, Communication Skills</t>
  </si>
  <si>
    <t>Is there any day I'm absent or leave early, 99% of the time is an appointment because I have epilepsy so I sometimes may have an appointment.</t>
  </si>
  <si>
    <t>They add security guards and add things to make sure that the people around don't hurt me someway</t>
  </si>
  <si>
    <t>e1x62gijruud3jlfalre1x62giy0h8zu</t>
  </si>
  <si>
    <t>lora</t>
  </si>
  <si>
    <t>justin.lora.24@wheels-student.org</t>
  </si>
  <si>
    <t>+13477244052</t>
  </si>
  <si>
    <t>1393 plimpton ave bronx, new york</t>
  </si>
  <si>
    <t>rafaela ovalle</t>
  </si>
  <si>
    <t>justinandrew607@wheels-student.org</t>
  </si>
  <si>
    <t>+16467304545</t>
  </si>
  <si>
    <t>washington heights expedtionary learning school</t>
  </si>
  <si>
    <t>511 west amsterdam manhattan, new york</t>
  </si>
  <si>
    <t>actor</t>
  </si>
  <si>
    <t>work based learning</t>
  </si>
  <si>
    <t>10riute3gbpjov8710789t3veb87r0jm</t>
  </si>
  <si>
    <t>Aboubacar</t>
  </si>
  <si>
    <t>aboubacarb741@gmail.com</t>
  </si>
  <si>
    <t>+13463222281</t>
  </si>
  <si>
    <t>1985 webster ave</t>
  </si>
  <si>
    <t>boubabarry37</t>
  </si>
  <si>
    <t>Mamadou barry</t>
  </si>
  <si>
    <t>aboubacar.barry@ellisprep.com</t>
  </si>
  <si>
    <t>+19175478489</t>
  </si>
  <si>
    <t>Ellis Prepatory Academy</t>
  </si>
  <si>
    <t>99 terrace Ave</t>
  </si>
  <si>
    <t>28</t>
  </si>
  <si>
    <t>fulani and english</t>
  </si>
  <si>
    <t>coder</t>
  </si>
  <si>
    <t>NYU, Buffalo states , Fordham ,</t>
  </si>
  <si>
    <t>Buisness ,computer science, accountant, engineer</t>
  </si>
  <si>
    <t>my goal is smart because u know it is a good goal measurable because i know how long it will take
attainable because i know i can do it</t>
  </si>
  <si>
    <t>smart . intelligent fast learner</t>
  </si>
  <si>
    <t>'</t>
  </si>
  <si>
    <t>fie0231frot8amq4p6fie023xgeo5z5g</t>
  </si>
  <si>
    <t>toure.drame@ellisprep.com</t>
  </si>
  <si>
    <t>+19296774332</t>
  </si>
  <si>
    <t>780 concourse village west apt.5A new york , bronx</t>
  </si>
  <si>
    <t>Fatou Drammeh</t>
  </si>
  <si>
    <t>ftdrammeh@yahoo.com</t>
  </si>
  <si>
    <t>780 concourse village west apt.5A bronx, new york</t>
  </si>
  <si>
    <t>+19175572914</t>
  </si>
  <si>
    <t>99 terrace view ave.</t>
  </si>
  <si>
    <t>dont know yet</t>
  </si>
  <si>
    <t>Suny Oswego, St.Lawrence, Syracuse, LeMoyne,RIT, SUNY Potsdam,</t>
  </si>
  <si>
    <t>Lab Tech, Doctor , Radiology</t>
  </si>
  <si>
    <t>I will try my best at everything that i do</t>
  </si>
  <si>
    <t>quiet, calm and nice</t>
  </si>
  <si>
    <t>time management, organized</t>
  </si>
  <si>
    <t>i am a girl</t>
  </si>
  <si>
    <t>85zhy2gr0txoz8re7385zhyiij7e4tko</t>
  </si>
  <si>
    <t>fatima.traore@ellisprep.com</t>
  </si>
  <si>
    <t>+19173612395</t>
  </si>
  <si>
    <t>265 Macclellan street bronx New York 10456 apt 4f</t>
  </si>
  <si>
    <t>i have instragram '</t>
  </si>
  <si>
    <t>Mussa traore</t>
  </si>
  <si>
    <t>Traore68@email.com</t>
  </si>
  <si>
    <t>+12463663140</t>
  </si>
  <si>
    <t>99terrace view avenue10463</t>
  </si>
  <si>
    <t>black;manlinke;guinee</t>
  </si>
  <si>
    <t>mandin,french,foulani sousou,</t>
  </si>
  <si>
    <t>i want to be a doctor.</t>
  </si>
  <si>
    <t>colombia univrtcity,</t>
  </si>
  <si>
    <t>busines. lawer, profesionnalism</t>
  </si>
  <si>
    <t>specific,timely</t>
  </si>
  <si>
    <t>Get an internship, Learn about colleges, Make new friends, Gain skills I can use at a future job</t>
  </si>
  <si>
    <t>i am a passionnate personne because my passion help  my to analyse the good or bad thing.</t>
  </si>
  <si>
    <t>courages, brave and competante</t>
  </si>
  <si>
    <t>no one</t>
  </si>
  <si>
    <t>jhfvnvvh1d9q7aq75xjhfvnvlofwyn9m</t>
  </si>
  <si>
    <t>Yumeiry</t>
  </si>
  <si>
    <t>Mauricio</t>
  </si>
  <si>
    <t>yumeiry.mauricio@ellisprep.com</t>
  </si>
  <si>
    <t>+19297866188</t>
  </si>
  <si>
    <t>135 ELLIOT PL APT 2A BRONX, NY 10452</t>
  </si>
  <si>
    <t>Carla Aleman Ramón Mauricio</t>
  </si>
  <si>
    <t>jeremycarla@icloud.com</t>
  </si>
  <si>
    <t>+13472098266</t>
  </si>
  <si>
    <t>99 Terrace View Ave Bronx, NY 10463 Estados Unidos</t>
  </si>
  <si>
    <t>Ellos vinieron de mi país hace 17</t>
  </si>
  <si>
    <t>El Salvador es una pequeña nación de América Central. Es conocida por sus playas en el océano Pacífico, los sitios de surf y el paisaje montañoso. Además es conocido por El Pulgarcito de América” porque es el país más pequeño del continente.</t>
  </si>
  <si>
    <t>Español pocas palabras en inglés</t>
  </si>
  <si>
    <t>Pediatrics or nursing</t>
  </si>
  <si>
    <t>study, school work and keep looking for a job,</t>
  </si>
  <si>
    <t>Columbia university yeshiva university barnard college</t>
  </si>
  <si>
    <t>Doctor , Nursing , pediatrics, physical therapist, physician assistant</t>
  </si>
  <si>
    <t>be specific about what you want to achieve the objective to be achieved , measurable about how much the increase of each achievement can achieve , achievable that this objective that goal as difficult as it may seem has to be achieved fulfill it even if it costs , relevant ensure that it is worth the effort effort and all...</t>
  </si>
  <si>
    <t>I am a cheerful, kind, empathetic person, I am like that because I have gone through certain stages before I would have wanted to be or they were with me, and because it is my way of being I give the best of me in those areas</t>
  </si>
  <si>
    <t>patience, leadership, empathy, communication</t>
  </si>
  <si>
    <t>Me interesa estudiar medicina</t>
  </si>
  <si>
    <t>Not religiosa</t>
  </si>
  <si>
    <t>d3hag0e4p6ybtzt4d3hag177mhdpv5iz</t>
  </si>
  <si>
    <t>Sebastian</t>
  </si>
  <si>
    <t>sebastian.cruz.24@wheels-student.org</t>
  </si>
  <si>
    <t>+13477611398</t>
  </si>
  <si>
    <t>260 Audubon avenue, new york, new york city, 10033</t>
  </si>
  <si>
    <t>Candida Figuereo</t>
  </si>
  <si>
    <t>cfiguereo78@gmail.com</t>
  </si>
  <si>
    <t>+19178557934</t>
  </si>
  <si>
    <t>511 W 182nd st, new york, ny, 10033</t>
  </si>
  <si>
    <t>havent thought of any</t>
  </si>
  <si>
    <t>its not really an actual job but i got it because it was an opportunity that was in the school for me to join from what i did over the summer. right now im on a training period with other students to learn more about what i will be teaching other students about when there is time to do so</t>
  </si>
  <si>
    <t>not interested in any at the moment</t>
  </si>
  <si>
    <t>computer scientist, software engineer, accountant, biotechnology, environmental science</t>
  </si>
  <si>
    <t>i will improve my overall average from MT to MA by working harder by the end of the school year</t>
  </si>
  <si>
    <t>like i belong</t>
  </si>
  <si>
    <t>2v7fpxfchvzus7a2rsst2v7fpxous46t</t>
  </si>
  <si>
    <t>Leonzo</t>
  </si>
  <si>
    <t>stephanie.leonzo.24@wheels-student.org</t>
  </si>
  <si>
    <t>+19172138143</t>
  </si>
  <si>
    <t>82 wadsworth ave apt 24 New york, NY 10033</t>
  </si>
  <si>
    <t>stephanieleonzo</t>
  </si>
  <si>
    <t>Rigo Leonzo</t>
  </si>
  <si>
    <t>+13473735321</t>
  </si>
  <si>
    <t>511w 182nd street</t>
  </si>
  <si>
    <t>about 30 something years</t>
  </si>
  <si>
    <t>working in a daycare or being a psychologist</t>
  </si>
  <si>
    <t>psychology,childcare</t>
  </si>
  <si>
    <t>I will become more prepared for the future</t>
  </si>
  <si>
    <t>shy, quiet, and very introverted</t>
  </si>
  <si>
    <t>I can clean, I have babysat before, and I also have worked in organizing paperwork</t>
  </si>
  <si>
    <t>im very awkard when meeting new people</t>
  </si>
  <si>
    <t>tc65gi54qgl7ypvokhtc65gxrs2bwzg1</t>
  </si>
  <si>
    <t>Daylan</t>
  </si>
  <si>
    <t>Peralta</t>
  </si>
  <si>
    <t>daylan.peralta.23@wheels-student.org</t>
  </si>
  <si>
    <t>+13322206769</t>
  </si>
  <si>
    <t>1074 walton ave</t>
  </si>
  <si>
    <t>Minerva</t>
  </si>
  <si>
    <t>daylan.peralta.24@wheels-student.org</t>
  </si>
  <si>
    <t>She lives with me</t>
  </si>
  <si>
    <t>+16466450902</t>
  </si>
  <si>
    <t>Adubon 181</t>
  </si>
  <si>
    <t>Bronx Community college</t>
  </si>
  <si>
    <t>Nurse radiology</t>
  </si>
  <si>
    <t>I want an 86 in my grades</t>
  </si>
  <si>
    <t>Quiet,tired, hard working</t>
  </si>
  <si>
    <t>I Can remember pretty good</t>
  </si>
  <si>
    <t>Jehovah witness</t>
  </si>
  <si>
    <t>mcf4gw0yxyqafvi6amcf4gl3scor9fcz</t>
  </si>
  <si>
    <t>Karina</t>
  </si>
  <si>
    <t>Tejada</t>
  </si>
  <si>
    <t>karina.tejada.24@wheels-student.org</t>
  </si>
  <si>
    <t>+19143876117</t>
  </si>
  <si>
    <t>1365 saint nicholas avenue 22R 10033, new york , new york city</t>
  </si>
  <si>
    <t>gregoria tejada</t>
  </si>
  <si>
    <t>gregoriatejada201@gmail.com</t>
  </si>
  <si>
    <t>1365 saint nicholas avenue 22R 10033 new york , new york city</t>
  </si>
  <si>
    <t>+19178615308</t>
  </si>
  <si>
    <t>511 W 181 st 10033</t>
  </si>
  <si>
    <t>Medical scientist or pharmacist</t>
  </si>
  <si>
    <t>medical scientist or become a pharmacist</t>
  </si>
  <si>
    <t>city college</t>
  </si>
  <si>
    <t>health science , medicine , pharmacy</t>
  </si>
  <si>
    <t>my goal is to learn some knowledge about medical science or how to get in that field by the end of the year</t>
  </si>
  <si>
    <t>shy , quiet , nonchalant</t>
  </si>
  <si>
    <t>socialable , easy to talk to</t>
  </si>
  <si>
    <t>nothing else i’d like to add</t>
  </si>
  <si>
    <t>i don’t know</t>
  </si>
  <si>
    <t>r3718avacn0b4qql53r3718fqu0eckeh</t>
  </si>
  <si>
    <t>ashley.diaz.24@gmail.com</t>
  </si>
  <si>
    <t>+16464797285</t>
  </si>
  <si>
    <t>2304 amsterdam ave, new york, ny</t>
  </si>
  <si>
    <t>Lucia franco</t>
  </si>
  <si>
    <t>luciafranco269@gmail.com</t>
  </si>
  <si>
    <t>2304 amsterdam ave, new york, ny, 10033</t>
  </si>
  <si>
    <t>+13472455273</t>
  </si>
  <si>
    <t>Washington Heights Expeditionary Learning</t>
  </si>
  <si>
    <t>20-18</t>
  </si>
  <si>
    <t>care giver</t>
  </si>
  <si>
    <t>being rrich</t>
  </si>
  <si>
    <t>hunter college, lehman college</t>
  </si>
  <si>
    <t>buisness, producer, teacher, care taker</t>
  </si>
  <si>
    <t>By the end of the school year i will be more prepared to chose a college</t>
  </si>
  <si>
    <t>quiet, nice, quiet</t>
  </si>
  <si>
    <t>organized, social, patient</t>
  </si>
  <si>
    <t>7yyspcw4se4ed42es7yyspx1tlgxjgal</t>
  </si>
  <si>
    <t>Jeyrent</t>
  </si>
  <si>
    <t>Cid Martinez</t>
  </si>
  <si>
    <t>jeyrent.cidmartinez.24@wheels-student.org</t>
  </si>
  <si>
    <t>+15512288605</t>
  </si>
  <si>
    <t>5160 Post Road New York Bronx 10471</t>
  </si>
  <si>
    <t>jaydotrd</t>
  </si>
  <si>
    <t>Yessenia Martinez</t>
  </si>
  <si>
    <t>jexel.18@hotmail.com</t>
  </si>
  <si>
    <t>5160 Post Rd New York Bronx 10471</t>
  </si>
  <si>
    <t>Im Dominican</t>
  </si>
  <si>
    <t>Boston College</t>
  </si>
  <si>
    <t>Enginnering</t>
  </si>
  <si>
    <t>My SMART Goal is just to succeed in life</t>
  </si>
  <si>
    <t>Nice</t>
  </si>
  <si>
    <t>Like i belonx</t>
  </si>
  <si>
    <t>vlp58i2seo0b6i0hvlp58au3lj2ug4y5</t>
  </si>
  <si>
    <t>Gary</t>
  </si>
  <si>
    <t>gary.hernandez.24@wheels-students.org</t>
  </si>
  <si>
    <t>+19147706326</t>
  </si>
  <si>
    <t>228 Audubon Ave apt 45?</t>
  </si>
  <si>
    <t>Ingrid hernandez</t>
  </si>
  <si>
    <t>ashtonh626@gmail.com</t>
  </si>
  <si>
    <t>228 Audubon Ave apt 45</t>
  </si>
  <si>
    <t>+16463141380</t>
  </si>
  <si>
    <t>511 west 182 New York Ny 10033</t>
  </si>
  <si>
    <t>Quite a while more than 20 years</t>
  </si>
  <si>
    <t>Real estate agent</t>
  </si>
  <si>
    <t>By applying</t>
  </si>
  <si>
    <t>Nyu</t>
  </si>
  <si>
    <t>John j</t>
  </si>
  <si>
    <t>I will lm prove my average to a 90</t>
  </si>
  <si>
    <t>Fun, athletic, smart</t>
  </si>
  <si>
    <t>Responsibility compassion</t>
  </si>
  <si>
    <t>Like a person</t>
  </si>
  <si>
    <t>ly5tx42xkdn4fblgowxly57u6elpdkup</t>
  </si>
  <si>
    <t>Aristid</t>
  </si>
  <si>
    <t>aristid.reynoso.24@wheels-student.org</t>
  </si>
  <si>
    <t>+16469654040</t>
  </si>
  <si>
    <t>4305 broadway apt 22 NY, NYC, 10033</t>
  </si>
  <si>
    <t>Jauna de la cruz</t>
  </si>
  <si>
    <t>lalidelacruz9@gmail.com</t>
  </si>
  <si>
    <t>4305 broadway 184 street 10033</t>
  </si>
  <si>
    <t>+19175649048</t>
  </si>
  <si>
    <t>511 west 182 New York NY 10033</t>
  </si>
  <si>
    <t>Me America, family Dominican Republic</t>
  </si>
  <si>
    <t>Quite awhile</t>
  </si>
  <si>
    <t>English/spanish</t>
  </si>
  <si>
    <t>Real estate, law, architecture, medical, soldier</t>
  </si>
  <si>
    <t>I will improve my average to a overall 85</t>
  </si>
  <si>
    <t>Deferential, prestigious, imminent</t>
  </si>
  <si>
    <t>Knowing how to debate, how to work during in court and how to cook</t>
  </si>
  <si>
    <t>tjp6epc4k37naxtx3tjp6eogfe99j00b</t>
  </si>
  <si>
    <t>Wilenie</t>
  </si>
  <si>
    <t>De Jesus Lancer</t>
  </si>
  <si>
    <t>Wilenied5001@gmail.com</t>
  </si>
  <si>
    <t>+19174858597</t>
  </si>
  <si>
    <t>75 Wasworth Terrace New York NY 10040</t>
  </si>
  <si>
    <t>wilenie5001</t>
  </si>
  <si>
    <t>Marianela Lancer</t>
  </si>
  <si>
    <t>mnela190@hotmail.com</t>
  </si>
  <si>
    <t>+13473552459</t>
  </si>
  <si>
    <t>Law, art, business</t>
  </si>
  <si>
    <t>Mercy College, City College of New York, Colombia College, Hunter College, Baruch College</t>
  </si>
  <si>
    <t>Law, Business, Art</t>
  </si>
  <si>
    <t>I will learn how to manage my time by working on my schedule by the end of the semester.</t>
  </si>
  <si>
    <t>Responsible, Respectful, and kind</t>
  </si>
  <si>
    <t>Artistic</t>
  </si>
  <si>
    <t>d66f7ywt33p3l3rkb8d66f7yk4t88kdn</t>
  </si>
  <si>
    <t>ansel</t>
  </si>
  <si>
    <t>castro</t>
  </si>
  <si>
    <t>anselcastro13@gmail.com</t>
  </si>
  <si>
    <t>+19295195530</t>
  </si>
  <si>
    <t>2087 amsterdam avenue, new york city, NY 10032</t>
  </si>
  <si>
    <t>virgen castro</t>
  </si>
  <si>
    <t>virgenmonegro@gmail.com</t>
  </si>
  <si>
    <t>+16467375396</t>
  </si>
  <si>
    <t>182nd</t>
  </si>
  <si>
    <t>wasn’t born here.</t>
  </si>
  <si>
    <t>real estate agent or doctor</t>
  </si>
  <si>
    <t>helping with little kids</t>
  </si>
  <si>
    <t>lehman, bcc, john jay, guttman. can’t name more at the moment</t>
  </si>
  <si>
    <t>professional sports player</t>
  </si>
  <si>
    <t>i will higher my grades</t>
  </si>
  <si>
    <t>Gain skills I can use at a future job, Make new friends, Learn about colleges, Learn about careers, Get coaches and mentors who can help me with college and career, Get an internship</t>
  </si>
  <si>
    <t>personality</t>
  </si>
  <si>
    <t>somewhat creative, active, not lazy</t>
  </si>
  <si>
    <t>welcome</t>
  </si>
  <si>
    <t>d08yn1mpdv1ln5q83hpjkd08yn1mpvfj</t>
  </si>
  <si>
    <t>Daniel</t>
  </si>
  <si>
    <t>daniel.ramirez.24@wheels-student.org</t>
  </si>
  <si>
    <t>+13472172718</t>
  </si>
  <si>
    <t>Bronx</t>
  </si>
  <si>
    <t>Maria Cabral</t>
  </si>
  <si>
    <t>danielx930@gmail.com</t>
  </si>
  <si>
    <t>+16462458218</t>
  </si>
  <si>
    <t>511 West 182nd street New York, New York</t>
  </si>
  <si>
    <t>SYEP (Buisness)</t>
  </si>
  <si>
    <t>BCC, Fordham, Hunter, BCC, Massachusetts Institute of Technology, Stanford, Columbia</t>
  </si>
  <si>
    <t>Computer Science, Business, Networking</t>
  </si>
  <si>
    <t>By the end of the school year I want to be passing all my classes with high grades.</t>
  </si>
  <si>
    <t>Get an internship, Gain skills I can use at a future job, Learn about careers, Get coaches and mentors who can help me with college and career, Learn about colleges, Make new friends</t>
  </si>
  <si>
    <t>Respectful, Caring, Hard-working</t>
  </si>
  <si>
    <t>Working with computers, building a buisness through syep</t>
  </si>
  <si>
    <t>3n9q11jjmm615rz33n9q1icqfislutja</t>
  </si>
  <si>
    <t>Jhoana</t>
  </si>
  <si>
    <t>jhoana.guevara.24@wheels-student.org</t>
  </si>
  <si>
    <t>+13322011914</t>
  </si>
  <si>
    <t>534 west 178 street Apt#2</t>
  </si>
  <si>
    <t>Jhoana Guevara</t>
  </si>
  <si>
    <t>Paulina Morales</t>
  </si>
  <si>
    <t>paulinamorales88815@gmail.com</t>
  </si>
  <si>
    <t>534 west 178st Apt#2 New york 10033</t>
  </si>
  <si>
    <t>+16462382873</t>
  </si>
  <si>
    <t>I come from United states and my parents come from Mexico.</t>
  </si>
  <si>
    <t>20 years ago</t>
  </si>
  <si>
    <t>no.</t>
  </si>
  <si>
    <t>Lawyer that specifies in criminality</t>
  </si>
  <si>
    <t>Project based on Bronx fires, SYEP and i got an email from school</t>
  </si>
  <si>
    <t>School of law,</t>
  </si>
  <si>
    <t>Law, Business,Marketing, Real Estate, Movie editors</t>
  </si>
  <si>
    <t>I will improve my average and pay more attention in math</t>
  </si>
  <si>
    <t>Generous, Kind, understandable</t>
  </si>
  <si>
    <t>y11g9iflf71czbby11g9is0vv5n77g8q</t>
  </si>
  <si>
    <t>Victoriano</t>
  </si>
  <si>
    <t>victoriano.sosa.24@wheels-student.org</t>
  </si>
  <si>
    <t>+13477801775</t>
  </si>
  <si>
    <t>590w 187st New York, New York city,10033</t>
  </si>
  <si>
    <t>secundina.perez1974@gmail.com</t>
  </si>
  <si>
    <t>590w 187st Ny,New York city, 10033</t>
  </si>
  <si>
    <t>+16464646876</t>
  </si>
  <si>
    <t>511w 182 st</t>
  </si>
  <si>
    <t>22</t>
  </si>
  <si>
    <t>Game making</t>
  </si>
  <si>
    <t>My goal is to make money</t>
  </si>
  <si>
    <t>Gaming computer and phone and ps4 because I like to game alot</t>
  </si>
  <si>
    <t>Learning quick, studying,</t>
  </si>
  <si>
    <t>8k4qyrhvf4mm3lqjuq0btx8k4qyrhvev</t>
  </si>
  <si>
    <t>ASHLEY</t>
  </si>
  <si>
    <t>DIAZ</t>
  </si>
  <si>
    <t>ashley.diaz.24@wheels-student.org</t>
  </si>
  <si>
    <t>2304Amsterdam ave, New york, Ny, 10033</t>
  </si>
  <si>
    <t>ashley14119@gmail.com</t>
  </si>
  <si>
    <t>2304 amsterdam ave, new york,ny,10033</t>
  </si>
  <si>
    <t>MEXICO</t>
  </si>
  <si>
    <t>plastic surgeon, dentist, optometrist,</t>
  </si>
  <si>
    <t>i don’t know i have to many</t>
  </si>
  <si>
    <t>CITY UNIVERSITY OF NEW YORK, YALE, HUNTER COLLEGE, CITY COLLEGE, MERCY COLLEGE</t>
  </si>
  <si>
    <t>beat maker, dj, prosecuter, obgyn</t>
  </si>
  <si>
    <t>By the end of the school year i will improve my average by 2 points</t>
  </si>
  <si>
    <t>Kind, optimistic, responsible</t>
  </si>
  <si>
    <t>Responsible, optimistic, kind</t>
  </si>
  <si>
    <t>6190f280ftan34mdvc6190e1hd1a9pll</t>
  </si>
  <si>
    <t>schayna</t>
  </si>
  <si>
    <t>ceballos</t>
  </si>
  <si>
    <t>schayna.ceballos.24@wheels-student.org</t>
  </si>
  <si>
    <t>+19174980947</t>
  </si>
  <si>
    <t>510 west 190 street 10040</t>
  </si>
  <si>
    <t>Altagracia</t>
  </si>
  <si>
    <t>schayna26@gmail.com</t>
  </si>
  <si>
    <t>+19174980366</t>
  </si>
  <si>
    <t>182 audubon and amsterdam 10033</t>
  </si>
  <si>
    <t>american dominican</t>
  </si>
  <si>
    <t>hunter college</t>
  </si>
  <si>
    <t>nune</t>
  </si>
  <si>
    <t>qoikhpcb83iy8qbnuk9qoikhy5hbaqor</t>
  </si>
  <si>
    <t>Crisbelly</t>
  </si>
  <si>
    <t>crisbelly.lopez.24@wheels-student.org</t>
  </si>
  <si>
    <t>+16462287876</t>
  </si>
  <si>
    <t>511w 181st New York City, NY 10033</t>
  </si>
  <si>
    <t>@chrisxy._</t>
  </si>
  <si>
    <t>Magalis Lopez</t>
  </si>
  <si>
    <t>magalizlopez@gmail.com</t>
  </si>
  <si>
    <t>+13479988108</t>
  </si>
  <si>
    <t>Film Director, Screenwriter, Environmental Engineering</t>
  </si>
  <si>
    <t>I work for the Pinkerton Foundation and I got that internship by a program in my school that offers internship.</t>
  </si>
  <si>
    <t>Environmental Science/ Engineering, creative writing, statistics, and anything to do with the arts</t>
  </si>
  <si>
    <t>I will extend my free time to work on personal projects by 1-2 hours, from being free at 8pm to being free at 6pm by finishing my assignments first before doing anything else, by the end of the year.</t>
  </si>
  <si>
    <t>Get an internship, Gain skills I can use at a future job, Learn about careers, Learn about colleges, Get coaches and mentors who can help me with college and career</t>
  </si>
  <si>
    <t>I consider my self to be funny, kind, and independent because I like time to myself but I'm also able to carry a conversation and I'm very empathetic towards others.</t>
  </si>
  <si>
    <t>I'm creative and I have different outlets to show it like drawing, writing, filming, and creating music.</t>
  </si>
  <si>
    <t>Cinematography/Preforming Arts is my top top choice.</t>
  </si>
  <si>
    <t>zq73w1v0duc11k8fzq7t1p1isjqhae4c</t>
  </si>
  <si>
    <t>Yasmin</t>
  </si>
  <si>
    <t>Abdulla</t>
  </si>
  <si>
    <t>yasmin.abdulla@ellisprep.com</t>
  </si>
  <si>
    <t>215west 242nd street apt 26 Bronx, NY 10471</t>
  </si>
  <si>
    <t>I did not have any social media handles</t>
  </si>
  <si>
    <t>Ali Abdulla</t>
  </si>
  <si>
    <t>alisalehabdulla74@gmail.com</t>
  </si>
  <si>
    <t>+19292487092</t>
  </si>
  <si>
    <t>99 terrace view ave bronx,ny 10463</t>
  </si>
  <si>
    <t>From Yemen</t>
  </si>
  <si>
    <t>I born in Yemen</t>
  </si>
  <si>
    <t>No Thanks</t>
  </si>
  <si>
    <t>Arabic, English</t>
  </si>
  <si>
    <t>Graphite Designer, Video Editor</t>
  </si>
  <si>
    <t>I did not have any Idea yet.</t>
  </si>
  <si>
    <t>I will improve my overall average when I will study and make sure I know everything I learn it in the school or in this internshipe.</t>
  </si>
  <si>
    <t>Good listening because I try to listen to the other people, Hard working because I try to finish all my work on time, smart because I can learning a lot of new things.</t>
  </si>
  <si>
    <t>Patience, workmanship and foresight.</t>
  </si>
  <si>
    <t>I would be grateful if you put me in a group that includes Rasheed Abdulla</t>
  </si>
  <si>
    <t>ubaoumkb18czpqpxa7bubaoumztnd3tv</t>
  </si>
  <si>
    <t>Josue</t>
  </si>
  <si>
    <t>josue.lantigua.24@wheels-student.org</t>
  </si>
  <si>
    <t>+16467995783</t>
  </si>
  <si>
    <t>206 Audubon Ave, NY, New York City, 10033</t>
  </si>
  <si>
    <t>Elizabeth Herrera</t>
  </si>
  <si>
    <t>josue.lantigua.5@gmail.com</t>
  </si>
  <si>
    <t>206 Audubon Avenue, NY, New York City, 10033</t>
  </si>
  <si>
    <t>511 West 182st Ny, NY 10033</t>
  </si>
  <si>
    <t>Domincan and African American</t>
  </si>
  <si>
    <t>English nad spanish</t>
  </si>
  <si>
    <t>Computer Engineering and real estate</t>
  </si>
  <si>
    <t>SYEP/ Future Ignites</t>
  </si>
  <si>
    <t>computer Engineering and real estate</t>
  </si>
  <si>
    <t>I will raise my GPA to a 93 by managing my time. I will reach my goal by the end of the year.</t>
  </si>
  <si>
    <t>Smart because I know how to manage my time and know what to do. Social because I like to talk to new people and get to know them.</t>
  </si>
  <si>
    <t>learning Python and managing my time</t>
  </si>
  <si>
    <t>Christainity</t>
  </si>
  <si>
    <t>91.2</t>
  </si>
  <si>
    <t>ivxr2inkgz3kho0pffyl8fek5ivxr2in</t>
  </si>
  <si>
    <t>Jason</t>
  </si>
  <si>
    <t>jasonjjw2006@gmail.com</t>
  </si>
  <si>
    <t>+16469328457</t>
  </si>
  <si>
    <t>86 Fort Washington ave apt 3k New York 10032</t>
  </si>
  <si>
    <t>511 West 182 Street</t>
  </si>
  <si>
    <t>Law enforcement</t>
  </si>
  <si>
    <t>Working law enforcement</t>
  </si>
  <si>
    <t>John Jay,Oswego and Albany</t>
  </si>
  <si>
    <t>Law enforcement, Real Estate</t>
  </si>
  <si>
    <t>Loyal, Responsible and respectful</t>
  </si>
  <si>
    <t>Fast quick learning and understand everything you tell me</t>
  </si>
  <si>
    <t>y8q285651ctvgtrgy8q28lrpq685yneh</t>
  </si>
  <si>
    <t>Jayson</t>
  </si>
  <si>
    <t>jayson.munoz.24@wheels-student.org</t>
  </si>
  <si>
    <t>+13478329005</t>
  </si>
  <si>
    <t>511 West 182nd St</t>
  </si>
  <si>
    <t>Belkis Paulino</t>
  </si>
  <si>
    <t>belkisp13@icloud.com</t>
  </si>
  <si>
    <t>New York, New York 530 West 186st, 10033</t>
  </si>
  <si>
    <t>+19175533643</t>
  </si>
  <si>
    <t>511 W 182st</t>
  </si>
  <si>
    <t>Afro-Latino</t>
  </si>
  <si>
    <t>Worked with taking care of elementary kids</t>
  </si>
  <si>
    <t>CUNYs and SUNYs</t>
  </si>
  <si>
    <t>directing tv shows</t>
  </si>
  <si>
    <t>I want my average to be as high as I possibly can so I can get the most  good choices and outcomes</t>
  </si>
  <si>
    <t>Quiet,observant,accepting</t>
  </si>
  <si>
    <t>communication,projecting thoughts clearly, and deciding when to be focused</t>
  </si>
  <si>
    <t>htha198jqgourigbfujhtha198oylbpm</t>
  </si>
  <si>
    <t>Rohan</t>
  </si>
  <si>
    <t>Basavaraj</t>
  </si>
  <si>
    <t>rohan.basavaraj.24@wheels-student.org</t>
  </si>
  <si>
    <t>+19294187647</t>
  </si>
  <si>
    <t>511 west 182nd street, New York, NY 10033</t>
  </si>
  <si>
    <t>Awilda Rodriguez</t>
  </si>
  <si>
    <t>bhaskarbasavaraj68@gmail.com</t>
  </si>
  <si>
    <t>562 west 190th street, New York, NY 10040</t>
  </si>
  <si>
    <t>+13473260065</t>
  </si>
  <si>
    <t>Dominican Republic and India</t>
  </si>
  <si>
    <t>I got no job</t>
  </si>
  <si>
    <t>University of Albany, Baruch college,</t>
  </si>
  <si>
    <t>Real Estate agent, Financial advisor, Marketing</t>
  </si>
  <si>
    <t>i  want to increase my gpa from a 2.7 to a 3.0 by the end of the school year by studying and actually completing the work</t>
  </si>
  <si>
    <t>funny, im nice, sleepy</t>
  </si>
  <si>
    <t>responsible, funny, good with numbers</t>
  </si>
  <si>
    <t>vo0c6b9r6qaluvdfaylvvo0rg2q4kpzn</t>
  </si>
  <si>
    <t>Cristobal</t>
  </si>
  <si>
    <t>Cespedes</t>
  </si>
  <si>
    <t>cristobalc14@nycstudents.net</t>
  </si>
  <si>
    <t>14547 Tuskegee airman way, Jamaica, NY, 11435</t>
  </si>
  <si>
    <t>noeliar876@gmail.com</t>
  </si>
  <si>
    <t>145-47 Tuskagee airman way jamicia NY 11435</t>
  </si>
  <si>
    <t>+13476668581</t>
  </si>
  <si>
    <t>Aviation</t>
  </si>
  <si>
    <t>Commercial Pilot</t>
  </si>
  <si>
    <t>Aviation Cybersecurity</t>
  </si>
  <si>
    <t>I'm a very passionate, respectful and cautious person</t>
  </si>
  <si>
    <t>Coding, communicational skills, software development simulator flight expeirence</t>
  </si>
  <si>
    <t>I would really like to get connected with a mantor in the aviation field</t>
  </si>
  <si>
    <t>Okey</t>
  </si>
  <si>
    <t>9zmoy0ai1zurm454ah9zmoyrtwu7kthh</t>
  </si>
  <si>
    <t>Jayde</t>
  </si>
  <si>
    <t>Smoak</t>
  </si>
  <si>
    <t>jasmoak706@gmail.com</t>
  </si>
  <si>
    <t>+13475438340</t>
  </si>
  <si>
    <t>218-06 137th ave Springfield Gardens, NY 11413</t>
  </si>
  <si>
    <t>Naquana Stone</t>
  </si>
  <si>
    <t>naquanaholman@gmail.com</t>
  </si>
  <si>
    <t>218-06 137th ave Springfield Gardens, Ny 11413</t>
  </si>
  <si>
    <t>143-10 Springfield blvd Springfield Gardens NY 11413</t>
  </si>
  <si>
    <t>Cosmetology</t>
  </si>
  <si>
    <t>I had a job doing summer youth doing projects.</t>
  </si>
  <si>
    <t>Howard University</t>
  </si>
  <si>
    <t>Peadiatric Nurse and Culinary Arts</t>
  </si>
  <si>
    <t>I will save my money by not spending it on unessesary things by puting money away before the end of 2022</t>
  </si>
  <si>
    <t>Gain skills I can use at a future job, Make new friends, Learn about careers, Get coaches and mentors who can help me with college and career, Get an internship</t>
  </si>
  <si>
    <t>Focused, Smart, thoughtful</t>
  </si>
  <si>
    <t>Reading, Writing, and thinking</t>
  </si>
  <si>
    <t>Im interested in doing hair. I do my friedns hair all the time.</t>
  </si>
  <si>
    <t>bwphlcf9q47r9us0bwphloc4gm19mrc8</t>
  </si>
  <si>
    <t>Jaymarcus</t>
  </si>
  <si>
    <t>Desir</t>
  </si>
  <si>
    <t>desirjaymarcus8@gmail.com</t>
  </si>
  <si>
    <t>spring fields gardens, New york 11413</t>
  </si>
  <si>
    <t>Sabrina Millet</t>
  </si>
  <si>
    <t>smillet10@gmail.com</t>
  </si>
  <si>
    <t>rockaway Bluv, Jamacia new york</t>
  </si>
  <si>
    <t>+19178089390</t>
  </si>
  <si>
    <t>Spring field gardens campus- Queens prepotroy academy</t>
  </si>
  <si>
    <t>spring field bluv 143 street</t>
  </si>
  <si>
    <t>reporter</t>
  </si>
  <si>
    <t>ohio state cininnati grady U combia U LSU Arizona Alabama bufflo sta</t>
  </si>
  <si>
    <t>reporter, football(american) Electrisan, Lawyer</t>
  </si>
  <si>
    <t>By friday the day of the oriantation i want to have knowlage on 2 of the slected carrers</t>
  </si>
  <si>
    <t>Track minded disapline out of box thinker</t>
  </si>
  <si>
    <t>speaking firmley will to see objective done smarts</t>
  </si>
  <si>
    <t>I partake in 3 sports being football wrestling and track</t>
  </si>
  <si>
    <t>no religious</t>
  </si>
  <si>
    <t>pjdbkp4ugzpx10u5tpjdbkpes2rkwqud</t>
  </si>
  <si>
    <t>Cianna</t>
  </si>
  <si>
    <t>Holloway</t>
  </si>
  <si>
    <t>cianna0518@gmail.com</t>
  </si>
  <si>
    <t>+17186968281</t>
  </si>
  <si>
    <t>108-13 220th street 11429 Queen village</t>
  </si>
  <si>
    <t>Cecil Holloway</t>
  </si>
  <si>
    <t>KRAMPASTURE@YAHOO.COM</t>
  </si>
  <si>
    <t>108-13 220th st Queen village, NY 11429</t>
  </si>
  <si>
    <t>+17189082173</t>
  </si>
  <si>
    <t>143-10 Springfield Blvd. Springfield gardens, NY 11413</t>
  </si>
  <si>
    <t>cosmetologist</t>
  </si>
  <si>
    <t>my future job is working in a hair salon</t>
  </si>
  <si>
    <t>NONE RIGHT NOW</t>
  </si>
  <si>
    <t>COSMETOLOGIST</t>
  </si>
  <si>
    <t>A SMART GOAL I HAVE IS MAKING I FINSH SCHOOL AND COLLAGE</t>
  </si>
  <si>
    <t>CARING THOUHTFUL BEAUTIFUL</t>
  </si>
  <si>
    <t>COMMUNICATION PROBLEM SLOVING  TEAMWORK</t>
  </si>
  <si>
    <t>NO THAT WAS IT</t>
  </si>
  <si>
    <t>my community make me feel safe and loved</t>
  </si>
  <si>
    <t>o34sozamkmqdrt09mzo34sc15osuelbm</t>
  </si>
  <si>
    <t>bombinyomom@gmail.com</t>
  </si>
  <si>
    <t>+13473100757</t>
  </si>
  <si>
    <t>162-23 N conduit ave 11434  Jamaica,NY</t>
  </si>
  <si>
    <t>madeline tavarez</t>
  </si>
  <si>
    <t>madelinetavarez@gmail.com</t>
  </si>
  <si>
    <t>162-23 N conduit Ave Jamaica,NY 11434</t>
  </si>
  <si>
    <t>+13478693854</t>
  </si>
  <si>
    <t>QPA</t>
  </si>
  <si>
    <t>143-10 springfield blvd springfield gardens,NY 11413</t>
  </si>
  <si>
    <t>a head cook</t>
  </si>
  <si>
    <t>A Head chef</t>
  </si>
  <si>
    <t>Fordham university</t>
  </si>
  <si>
    <t>I will improve my cooking</t>
  </si>
  <si>
    <t>confidant skilled fun-loving</t>
  </si>
  <si>
    <t>knife-handling cutting prosses</t>
  </si>
  <si>
    <t>q5qmpigx9w398swsw3uujclq5qmpigd4</t>
  </si>
  <si>
    <t>Ephraim</t>
  </si>
  <si>
    <t>Orisakiya</t>
  </si>
  <si>
    <t>ephraimanuorisakiya@gmail.com</t>
  </si>
  <si>
    <t>+16463557910</t>
  </si>
  <si>
    <t>136-13, farmers boulevard, New York, Queens, Jaimica, 11434</t>
  </si>
  <si>
    <t>Esther Orisakiya</t>
  </si>
  <si>
    <t>kemiorisakiya@yahoo.com</t>
  </si>
  <si>
    <t>11413 Queens New york, Jaimaica, 136-13 farmers boulevard</t>
  </si>
  <si>
    <t>+19177809989</t>
  </si>
  <si>
    <t>143-10 Springfield Blvd, Springfield gardrens NY, 11413</t>
  </si>
  <si>
    <t>About 8 years or so for my mother but longer for my father</t>
  </si>
  <si>
    <t>Nigerian-American</t>
  </si>
  <si>
    <t>Both Yoruba and English</t>
  </si>
  <si>
    <t>Technology, Entrepreneurship, Entertainment,</t>
  </si>
  <si>
    <t>Possibly a ceo for a technlogy coorperation and someone who invests in other buisnesses and channels</t>
  </si>
  <si>
    <t>Yale college and Adelphi</t>
  </si>
  <si>
    <t>Real estate and Fashion</t>
  </si>
  <si>
    <t>I will gain enough weight to reach 125 pounds by june 2023</t>
  </si>
  <si>
    <t>Learn about careers, Gain skills I can use at a future job, Make new friends, Learn about colleges, Get coaches and mentors who can help me with college and career, Get an internship</t>
  </si>
  <si>
    <t>Observant, Good listener, Quick witted</t>
  </si>
  <si>
    <t>knowing how to research, teamwork, leadership</t>
  </si>
  <si>
    <t>I like to read and play games</t>
  </si>
  <si>
    <t>jxewfvzl43k8ri3nb2xi0ijxewfvzlk2</t>
  </si>
  <si>
    <t>Amonique</t>
  </si>
  <si>
    <t>Wynter</t>
  </si>
  <si>
    <t>amoniquewynter1@gmail.com</t>
  </si>
  <si>
    <t>+13478079563</t>
  </si>
  <si>
    <t>11412</t>
  </si>
  <si>
    <t>Www.instagram.com/Amonique wynter</t>
  </si>
  <si>
    <t>Robert wynter</t>
  </si>
  <si>
    <t>robertwynter.1966@gmail.com</t>
  </si>
  <si>
    <t>+17189260731</t>
  </si>
  <si>
    <t>143-10 Springfield blvd,queens,ny 11413</t>
  </si>
  <si>
    <t>Artist and a business woman</t>
  </si>
  <si>
    <t>Flight attendant,artist,business manager business owner</t>
  </si>
  <si>
    <t>Hard working smart outspoken because of the way my parents grew me to be and Because I strive for the best in me</t>
  </si>
  <si>
    <t>Paint,read,write</t>
  </si>
  <si>
    <t>I like the colour purple</t>
  </si>
  <si>
    <t>a9q39y55jem185p6ya9q31i2tv4fy0xj</t>
  </si>
  <si>
    <t>Anais</t>
  </si>
  <si>
    <t>Anais.Martinez.24@wheels-student.org</t>
  </si>
  <si>
    <t>+16467304078</t>
  </si>
  <si>
    <t>614 w 177th, New York CIty, NY, 10033</t>
  </si>
  <si>
    <t>Efrain Martinez</t>
  </si>
  <si>
    <t>anaismartinez206@gmail.com</t>
  </si>
  <si>
    <t>614 w 177th, New York City, Ny, 10033</t>
  </si>
  <si>
    <t>+13472908341</t>
  </si>
  <si>
    <t>indigenous</t>
  </si>
  <si>
    <t>spanish, english, native language</t>
  </si>
  <si>
    <t>Work somewhere that can provide me</t>
  </si>
  <si>
    <t>cuny schools</t>
  </si>
  <si>
    <t>medicine and science</t>
  </si>
  <si>
    <t>Get better grades a range of 80-90 by the end of the year and improve my grade for ela and makerspace</t>
  </si>
  <si>
    <t>curious, adventure, chill</t>
  </si>
  <si>
    <t>social, communicating, organizing</t>
  </si>
  <si>
    <t>w5by93cmp1q3usjavlw5by93cmr0nkvl</t>
  </si>
  <si>
    <t>jason</t>
  </si>
  <si>
    <t>jason.martinez.24@wheels-student.org</t>
  </si>
  <si>
    <t>+19293859000</t>
  </si>
  <si>
    <t>NYC, NY, 10033</t>
  </si>
  <si>
    <t>Esther Martinez</t>
  </si>
  <si>
    <t>estherm642@gmail.com</t>
  </si>
  <si>
    <t>661 west 179st 10033</t>
  </si>
  <si>
    <t>+19173469151</t>
  </si>
  <si>
    <t>511 west 182nd street New York, NY 10033</t>
  </si>
  <si>
    <t>system archeitect</t>
  </si>
  <si>
    <t>I was a stock associate for Hollister and I organized merchandize in the storage room</t>
  </si>
  <si>
    <t>mercy college, connecticut college, community college, yale university</t>
  </si>
  <si>
    <t>system architect, engineer, electrician</t>
  </si>
  <si>
    <t>my goal is to become somebody who can invent and create things to help others and mostly my family. I have the support and motivation to keep working for this dream. I am working up internship experience to build my resume.</t>
  </si>
  <si>
    <t>unrelenting, careful, and persuing</t>
  </si>
  <si>
    <t>math skills, science skills, crafting skills</t>
  </si>
  <si>
    <t>i just want to be put in an internship that has to do something with engineering or else i won't be as motivated</t>
  </si>
  <si>
    <t>d0fnpv0ivdzlcby93ra57d0fnpv0sdgx</t>
  </si>
  <si>
    <t>Wilson</t>
  </si>
  <si>
    <t>wilson.infante.24@wheels-student.org</t>
  </si>
  <si>
    <t>+12036177361</t>
  </si>
  <si>
    <t>New york</t>
  </si>
  <si>
    <t>@wilson.inf</t>
  </si>
  <si>
    <t>Diahanna</t>
  </si>
  <si>
    <t>diahannareyes@gmail.com</t>
  </si>
  <si>
    <t>Connecticut</t>
  </si>
  <si>
    <t>+14752797325</t>
  </si>
  <si>
    <t>511 w 182 st</t>
  </si>
  <si>
    <t>TCC BCC BMCC</t>
  </si>
  <si>
    <t>Civil engineering, business management, criminal justice</t>
  </si>
  <si>
    <t>Have a 85 average for the end of the year</t>
  </si>
  <si>
    <t>Smart,outgoing,caring</t>
  </si>
  <si>
    <t>Christianism</t>
  </si>
  <si>
    <t>5xu86t6p9id56ahaz6k5xpxat8iigrei</t>
  </si>
  <si>
    <t>Leudis</t>
  </si>
  <si>
    <t>leudis.rosario.24@wheels-student.org</t>
  </si>
  <si>
    <t>+13476919819</t>
  </si>
  <si>
    <t>819 W 180th, New York, NY, 10033</t>
  </si>
  <si>
    <t>www.twitter.com/UVersusApe</t>
  </si>
  <si>
    <t>Yahaira Estrella</t>
  </si>
  <si>
    <t>yahairaestrella0979@gmail.com</t>
  </si>
  <si>
    <t>+16469441063</t>
  </si>
  <si>
    <t>Cashier or stocker</t>
  </si>
  <si>
    <t>Tufts university, University at Albany, SAGE and Tufts University</t>
  </si>
  <si>
    <t>Computer science and Engineer</t>
  </si>
  <si>
    <t>I will improve my overall average by 10 points from an 80 to 90 by applying the skills i learn from my champions in academic work by the end of the semester</t>
  </si>
  <si>
    <t>Gain skills I can use at a future job, Get an internship, Get coaches and mentors who can help me with college and career, Learn about careers, Learn about colleges, Make new friends</t>
  </si>
  <si>
    <t>Caring, thoughtful and trustworthy</t>
  </si>
  <si>
    <t>Baseball player, Beta Tester and i'm currently learning how to code</t>
  </si>
  <si>
    <t>I'm a shy person</t>
  </si>
  <si>
    <t>Safe, supported and connected</t>
  </si>
  <si>
    <t>ufopqtzvhajom9cot86rufopq9jd0g9i</t>
  </si>
  <si>
    <t>Angel</t>
  </si>
  <si>
    <t>angel.tavarez.24@wheels-student.org</t>
  </si>
  <si>
    <t>+19147519741</t>
  </si>
  <si>
    <t>326 Audubon Avenue, Apt. 25 New York, NY 10033</t>
  </si>
  <si>
    <t>Itati Espinal</t>
  </si>
  <si>
    <t>326 audubon avenue, Apt. 25 New York, NY 10033</t>
  </si>
  <si>
    <t>+16467327350</t>
  </si>
  <si>
    <t>Not at all.</t>
  </si>
  <si>
    <t>Video Game Programmer</t>
  </si>
  <si>
    <t>Video Game Developer</t>
  </si>
  <si>
    <t>I'm Unsure</t>
  </si>
  <si>
    <t>My goal is to improve my entire grade (Specific), by 10% (Measurable), from an MT (75) to an MA (85) (Attainable) By putting the same dedication (for this program) into my classes (Relevant), By the end of the 1st semester (Timely).</t>
  </si>
  <si>
    <t>Curious (Because I want to learn more about video game development), Respectful (Because I always like to treat people with respect), and Patient (Because I don't really like making a big deal out of small like waiting for something or someone)</t>
  </si>
  <si>
    <t>I don't have any as of now.</t>
  </si>
  <si>
    <t>Depending on the time that I've have to join the meeting by (e.g something like 3:25 on monday), It might be a bit difficult for me to join meetings because I'll doing things that require my full attention (like schoolwork for example).</t>
  </si>
  <si>
    <t>i8pnr91h0yfyue85bj9fyezi8pnr9wvt</t>
  </si>
  <si>
    <t>Ytaliashe</t>
  </si>
  <si>
    <t>Ytaliashejoseph05@gmail.com</t>
  </si>
  <si>
    <t>+13478561274</t>
  </si>
  <si>
    <t>11422</t>
  </si>
  <si>
    <t>Martine Innocent</t>
  </si>
  <si>
    <t>martineinnocent20@gmail.com</t>
  </si>
  <si>
    <t>23305 Mentone Ave, Rosedale, NY 11422</t>
  </si>
  <si>
    <t>+13478550523</t>
  </si>
  <si>
    <t>No that's all</t>
  </si>
  <si>
    <t>Investment banking</t>
  </si>
  <si>
    <t>Real estate and investment banking</t>
  </si>
  <si>
    <t>Upenn, Yale, NYU, Baruch college,</t>
  </si>
  <si>
    <t>Entrepreneurship, Real estate, cosmetology, international business, philanthropist</t>
  </si>
  <si>
    <t>S: I want to have a career where I'm comfortable with my environment and interacting with others, rather working alone. 
M: I want to earn 4.0 GPA this year no grades below a 90
A: I want to graduate higschool with a varity amount of achievement and scholarships. After I want to get accepted by one of the best colleges in New York 
R:I will spend time foing research on my careers and colleges I have  interest in so that i can prepare for my senior year. 
T:I will pass my junior year with achievements and with a higher GPA than my last one.</t>
  </si>
  <si>
    <t>Kind, caring , and smart because the people that's around me everyday always tells me that I'm all three and I know I am caring, kind , and smart</t>
  </si>
  <si>
    <t>Writing skill, organization, coding, I speak two languages and somewhat  understand French , reading, communication</t>
  </si>
  <si>
    <t>This is all new to me</t>
  </si>
  <si>
    <t>Agnosticism</t>
  </si>
  <si>
    <t>muugx33pao8j3kofdlnskmuugx3w01ji</t>
  </si>
  <si>
    <t>Escalante</t>
  </si>
  <si>
    <t>aaliyah.escalante.24@wheels-student.org</t>
  </si>
  <si>
    <t>+13479046251</t>
  </si>
  <si>
    <t>573w 192st apt 4D new york ny 10040</t>
  </si>
  <si>
    <t>Jasmine Perez</t>
  </si>
  <si>
    <t>Jasmineperez1381@gmail.com</t>
  </si>
  <si>
    <t>+16469532497</t>
  </si>
  <si>
    <t>511 182st 10033</t>
  </si>
  <si>
    <t>I identify as Dominican and Hispanic Caribbean</t>
  </si>
  <si>
    <t>Lawyer or medical</t>
  </si>
  <si>
    <t>lawyer or nurse</t>
  </si>
  <si>
    <t>John Jay college of criminal justice, Columbia,Mount st Vincent,Albany</t>
  </si>
  <si>
    <t>Cosmetology, photography, Fashion</t>
  </si>
  <si>
    <t>I want to learn ways to reach and better understand the carrier i want to do and i hope to know more of what i want to study and how to reach my goal</t>
  </si>
  <si>
    <t>Get an internship, Gain skills I can use at a future job, Learn about careers, Get coaches and mentors who can help me with college and career, Make new friends</t>
  </si>
  <si>
    <t>Caring, Independent, Organized</t>
  </si>
  <si>
    <t>Learn fast, Researching, using google sweets,</t>
  </si>
  <si>
    <t>83.51</t>
  </si>
  <si>
    <t>dpgebkxxqqd5bam8xzvwh59dpgebkx32</t>
  </si>
  <si>
    <t>Michaell</t>
  </si>
  <si>
    <t>Morban</t>
  </si>
  <si>
    <t>michaell.morban.24@wheels-student.org</t>
  </si>
  <si>
    <t>+19143359732</t>
  </si>
  <si>
    <t>503 west 174 st</t>
  </si>
  <si>
    <t>Elaine Vasquez</t>
  </si>
  <si>
    <t>michael22228@icloud.com</t>
  </si>
  <si>
    <t>182</t>
  </si>
  <si>
    <t>music producer</t>
  </si>
  <si>
    <t>SUNY albany , Guttman college</t>
  </si>
  <si>
    <t>sound engineer, sound mixing, music management</t>
  </si>
  <si>
    <t>I want to learn about 3 careers and the colleges that I would need to go to pursue them.</t>
  </si>
  <si>
    <t>ambitious, outgoing, generous</t>
  </si>
  <si>
    <t>i know how to use some technology, using google suites</t>
  </si>
  <si>
    <t>79</t>
  </si>
  <si>
    <t>dc2wyt4otvuxwazg8kidc2whmtr5lxw2</t>
  </si>
  <si>
    <t>Chrisnelly</t>
  </si>
  <si>
    <t>chrisnellygarcia@gmail.com</t>
  </si>
  <si>
    <t>+16469868740</t>
  </si>
  <si>
    <t>10453</t>
  </si>
  <si>
    <t>Don’t use social media</t>
  </si>
  <si>
    <t>Rosa nunez</t>
  </si>
  <si>
    <t>+13474448768</t>
  </si>
  <si>
    <t>182nd st Amsterdam ave</t>
  </si>
  <si>
    <t>DOminican republic</t>
  </si>
  <si>
    <t>Occupational therapist</t>
  </si>
  <si>
    <t>I don’t have one now</t>
  </si>
  <si>
    <t>Hunter</t>
  </si>
  <si>
    <t>I will attend many schools orientation or just pop ups by looking up when I’m able To go for tours by the end of this school year</t>
  </si>
  <si>
    <t>Loving , Funny &amp; smart</t>
  </si>
  <si>
    <t>Communication, Bilingualism &amp; patience</t>
  </si>
  <si>
    <t>I’m comfortable with anyone</t>
  </si>
  <si>
    <t>ikuq5dmi7q8vnpd4gktcikuqy1smujur</t>
  </si>
  <si>
    <t>Robert</t>
  </si>
  <si>
    <t>Morillo</t>
  </si>
  <si>
    <t>robert.morillo.24@wheels-student.org</t>
  </si>
  <si>
    <t>+19174036517</t>
  </si>
  <si>
    <t>611 West 176th street, New York, NY 10033 Apt 1C</t>
  </si>
  <si>
    <t>Robert Morillo</t>
  </si>
  <si>
    <t>kingmorillo@gmail.com</t>
  </si>
  <si>
    <t>+19293301883</t>
  </si>
  <si>
    <t>I'm half Dominican half Puerto Rican</t>
  </si>
  <si>
    <t>Actor/Comedian</t>
  </si>
  <si>
    <t>I'd do Uber Eats sometimes</t>
  </si>
  <si>
    <t>Juliard</t>
  </si>
  <si>
    <t>Comedian, script writing, Acting</t>
  </si>
  <si>
    <t>Have all my grades up to MA by January 23rd</t>
  </si>
  <si>
    <t>Kind, Prideful, Stubborn</t>
  </si>
  <si>
    <t>Good grammar, social skills, good acting</t>
  </si>
  <si>
    <t>Nothing I can think of at the moment</t>
  </si>
  <si>
    <t>78.27</t>
  </si>
  <si>
    <t>h2uxt6oeowcfwabm1h2v66bw64h73yf6</t>
  </si>
  <si>
    <t>Richard</t>
  </si>
  <si>
    <t>Murillo</t>
  </si>
  <si>
    <t>richard.murillo.24@wheels-student.org</t>
  </si>
  <si>
    <t>+13479490530</t>
  </si>
  <si>
    <t>703 W 180th Street</t>
  </si>
  <si>
    <t>Manuela Albarracin</t>
  </si>
  <si>
    <t>ABIGAIL0915@Hotmail.org</t>
  </si>
  <si>
    <t>703 W 180th St 10033</t>
  </si>
  <si>
    <t>+16462286440</t>
  </si>
  <si>
    <t>Washington Heights Expiditionary learning School</t>
  </si>
  <si>
    <t>W 182nd ST</t>
  </si>
  <si>
    <t>Mestizo</t>
  </si>
  <si>
    <t>U.S Marine Corps</t>
  </si>
  <si>
    <t>SUNY Maritime College and Merchant Marine Academy</t>
  </si>
  <si>
    <t>Construction Technician or Police Officer</t>
  </si>
  <si>
    <t>I will try to enlist in the SUNY Maritime College and after that, I will enlist as a Marine Officer which is better.</t>
  </si>
  <si>
    <t>Handsome, Skinny, confident</t>
  </si>
  <si>
    <t>Physical, health, and bravery</t>
  </si>
  <si>
    <t>I am a bit shy</t>
  </si>
  <si>
    <t>39.30</t>
  </si>
  <si>
    <t>yxfjvajl9s83hfhxuw4ipyxfjvbb1dxh</t>
  </si>
  <si>
    <t>Matthew</t>
  </si>
  <si>
    <t>Wright</t>
  </si>
  <si>
    <t>wright.matthew007@gmail.com</t>
  </si>
  <si>
    <t>+13476239853</t>
  </si>
  <si>
    <t>139-40 253rd Street, Queens, NY 11422</t>
  </si>
  <si>
    <t>Verona Wright</t>
  </si>
  <si>
    <t>veronfay53@gmail.com</t>
  </si>
  <si>
    <t>+13474091749</t>
  </si>
  <si>
    <t>Springfield Boulevard, Queens, NY</t>
  </si>
  <si>
    <t>Computer Science and Cybersecurity</t>
  </si>
  <si>
    <t>Queens college, Cornell University</t>
  </si>
  <si>
    <t>Business, Data analyst, Cybersecurity, Computer science, Computer Programming</t>
  </si>
  <si>
    <t>Specific: I will pursue the career of being a Computer programmer :Measurable: For a period of time. Relevant : By using my knowledge and skills i know from studying it. Timely: After i graduate</t>
  </si>
  <si>
    <t>Curious, Respectful, Serious. I describe myself with these words because i want to find find answers to questions in everyday life. I am kind to my peers, teachers parents and people around me. But i have the tendency to act serious when i am doing any form of work. which could be a trait in leadership..</t>
  </si>
  <si>
    <t>Leadership skills, Communication and Computer skills</t>
  </si>
  <si>
    <t>No more responses at this time.</t>
  </si>
  <si>
    <t>Safe, reliable and comfortable</t>
  </si>
  <si>
    <t>2.6</t>
  </si>
  <si>
    <t>rilha54ezw41kg0d4rilhax8bl6chtgb</t>
  </si>
  <si>
    <t>jefferson</t>
  </si>
  <si>
    <t>colon</t>
  </si>
  <si>
    <t>jefferson.colon.24@wheels-student.org</t>
  </si>
  <si>
    <t>+19176606746</t>
  </si>
  <si>
    <t>152 frederick douglass 8th ave, new york, ny 10040</t>
  </si>
  <si>
    <t>i dont use social media</t>
  </si>
  <si>
    <t>jeffrey colon</t>
  </si>
  <si>
    <t>colonp_28@hotmail.com</t>
  </si>
  <si>
    <t>152 frederick douglass 8th ave, ny ny 10040</t>
  </si>
  <si>
    <t>+13474757538</t>
  </si>
  <si>
    <t>511 w 182 st ny ny 10033</t>
  </si>
  <si>
    <t>america, dominican republic</t>
  </si>
  <si>
    <t>nurse or doctor</t>
  </si>
  <si>
    <t>northeastern collage</t>
  </si>
  <si>
    <t>bussiness, nursing, lawyer marine bio</t>
  </si>
  <si>
    <t>i will improve the current state by increasing  grade that i have while having a stable balence</t>
  </si>
  <si>
    <t>self confidence enthusiasm optimism</t>
  </si>
  <si>
    <t>my grades, my personality</t>
  </si>
  <si>
    <t>2.90</t>
  </si>
  <si>
    <t>rgcxtimzrf46kge18rgcxti9bi3vortc</t>
  </si>
  <si>
    <t>Yancen</t>
  </si>
  <si>
    <t>yancinrd@gmail.com</t>
  </si>
  <si>
    <t>+13475302766</t>
  </si>
  <si>
    <t>2411 Prospect Ave, Apt 4B, Bronx, NY 10458</t>
  </si>
  <si>
    <t>Wisto Rodriguez</t>
  </si>
  <si>
    <t>2411 Prospect Ave Apt 4B, Bronx, NY 10458</t>
  </si>
  <si>
    <t>+13478497006</t>
  </si>
  <si>
    <t>Robotics/Technology</t>
  </si>
  <si>
    <t>Repair robotic stuff or create them as well</t>
  </si>
  <si>
    <t>Robotics, computers, cell phone apps</t>
  </si>
  <si>
    <t>4 years in college, give my all, always be present and try to understand</t>
  </si>
  <si>
    <t>Get an internship, Learn about careers, Learn about colleges, Gain skills I can use at a future job</t>
  </si>
  <si>
    <t>calm, attentive, happy</t>
  </si>
  <si>
    <t>I learn fast, I don't give up until I achieve what I want, keep calm at any time</t>
  </si>
  <si>
    <t>i am resposible</t>
  </si>
  <si>
    <t>7zo775m8ljpbley7zo77oii1j2em4nrp</t>
  </si>
  <si>
    <t>kenry</t>
  </si>
  <si>
    <t>aldana</t>
  </si>
  <si>
    <t>ka259030286@crotonaihs.org</t>
  </si>
  <si>
    <t>+19299309348</t>
  </si>
  <si>
    <t>65 east 193 street ,1b ,bronx NY 10468</t>
  </si>
  <si>
    <t>jankey vallejo</t>
  </si>
  <si>
    <t>kenryaldana@gmail.com</t>
  </si>
  <si>
    <t>venezuela</t>
  </si>
  <si>
    <t>4 months</t>
  </si>
  <si>
    <t>Director de hospital</t>
  </si>
  <si>
    <t>a relative told me</t>
  </si>
  <si>
    <t>medicine ,electronic engineer, scientist, soldier, hospital director</t>
  </si>
  <si>
    <t>with perseverance and effort you will achieve your goals</t>
  </si>
  <si>
    <t>responsible, love, persevering</t>
  </si>
  <si>
    <t>communication, technology, reasoning</t>
  </si>
  <si>
    <t>I don't snack so easy</t>
  </si>
  <si>
    <t>wv7y34athxyu4teixqvilwv7y34uaawy</t>
  </si>
  <si>
    <t>Julian</t>
  </si>
  <si>
    <t>Duarte</t>
  </si>
  <si>
    <t>jd258632975@crotonaihs.org</t>
  </si>
  <si>
    <t>+19143175146</t>
  </si>
  <si>
    <t>240 East 178 St Apt 6E, Bronx, NY 10457</t>
  </si>
  <si>
    <t>JULIANDUARTE</t>
  </si>
  <si>
    <t>BICKI ORJUELA</t>
  </si>
  <si>
    <t>VICKIORJUELA7@GMAIL.COM</t>
  </si>
  <si>
    <t>240 East 178 St, Apt 6E, Bronx NY 10457</t>
  </si>
  <si>
    <t>Architech</t>
  </si>
  <si>
    <t>My ideal job is where I feel secure of myself</t>
  </si>
  <si>
    <t>Architecture, marine, paramedic</t>
  </si>
  <si>
    <t>time: 10 years of experience and a lot of hard work</t>
  </si>
  <si>
    <t>Responsible, perseverant and serious</t>
  </si>
  <si>
    <t>Communication, technology, and a fast learner</t>
  </si>
  <si>
    <t>I am very serious and I don't give up easily</t>
  </si>
  <si>
    <t>g42b5zi8b6auu6wsrg42b5zi8iydr68f</t>
  </si>
  <si>
    <t>Diarra</t>
  </si>
  <si>
    <t>Fall</t>
  </si>
  <si>
    <t>2024_diarrafall@ihs-us.org</t>
  </si>
  <si>
    <t>+16469373908</t>
  </si>
  <si>
    <t>New York</t>
  </si>
  <si>
    <t>Soukeye Fall</t>
  </si>
  <si>
    <t>Soukeyefall940@gmail.com</t>
  </si>
  <si>
    <t>+16466001242</t>
  </si>
  <si>
    <t>Irving plaza</t>
  </si>
  <si>
    <t>I’m black/ Senegalese</t>
  </si>
  <si>
    <t>Sales associate</t>
  </si>
  <si>
    <t>NS</t>
  </si>
  <si>
    <t>Yea</t>
  </si>
  <si>
    <t>Real, Fun, Boring</t>
  </si>
  <si>
    <t>Leadership,  communication, Listening</t>
  </si>
  <si>
    <t>znou6q6pj1umvhd7g8znou6qstcwu3e0</t>
  </si>
  <si>
    <t>Almeida</t>
  </si>
  <si>
    <t>2024_anaalmeida@ihs-us.org</t>
  </si>
  <si>
    <t>+19176152021</t>
  </si>
  <si>
    <t>131 Wyckoff ave Brooklyn NY 11237</t>
  </si>
  <si>
    <t>Jarama</t>
  </si>
  <si>
    <t>131 Wyckoof Ave Brooklyn NY 11237</t>
  </si>
  <si>
    <t>+13479833023</t>
  </si>
  <si>
    <t>International High School Union Square</t>
  </si>
  <si>
    <t>I have 2 nationality</t>
  </si>
  <si>
    <t>police, nurse, business</t>
  </si>
  <si>
    <t>finish college</t>
  </si>
  <si>
    <t>Get an internship, Get coaches and mentors who can help me with college and career, Learn about colleges, Learn about careers, Make new friends</t>
  </si>
  <si>
    <t>honest, responsable , smart , I think so</t>
  </si>
  <si>
    <t>conformable, responsable, honest</t>
  </si>
  <si>
    <t>87</t>
  </si>
  <si>
    <t>cbalb8kps80tbbi8bcbalb8wfyotqvbx</t>
  </si>
  <si>
    <t>Auquilla</t>
  </si>
  <si>
    <t>2024_christophermaxi@ihs-us.org</t>
  </si>
  <si>
    <t>+19292161258</t>
  </si>
  <si>
    <t>6006 60th Dr 11378 New York queens</t>
  </si>
  <si>
    <t>Daniela Maxi</t>
  </si>
  <si>
    <t>danielalexandra2009@hotmail.com</t>
  </si>
  <si>
    <t>6006 60th Dr 11378 New York Queens</t>
  </si>
  <si>
    <t>+19292161256</t>
  </si>
  <si>
    <t>International High-school at union square</t>
  </si>
  <si>
    <t>On of my members of the family got me the job it was carpentry making furniture</t>
  </si>
  <si>
    <t>Ihavent see any yet</t>
  </si>
  <si>
    <t>Architecture, real state, health, and business</t>
  </si>
  <si>
    <t>I would like to get a 90</t>
  </si>
  <si>
    <t>Focused, skilled and hard worker</t>
  </si>
  <si>
    <t>discipline, responsible, and fouced</t>
  </si>
  <si>
    <t>I said everything I could</t>
  </si>
  <si>
    <t>qp0ozjyi30h5v1xwzqp0ozlgqhsrori9</t>
  </si>
  <si>
    <t>2024_melanyalcalalopez@ihs-us.org</t>
  </si>
  <si>
    <t>+19298671163</t>
  </si>
  <si>
    <t>6904 New Utrecht Ave Brooklyn 11228</t>
  </si>
  <si>
    <t>Maridena Lopez</t>
  </si>
  <si>
    <t>Maridenalopez10@gmail.com</t>
  </si>
  <si>
    <t>+19298671164</t>
  </si>
  <si>
    <t>Marine Biologist.</t>
  </si>
  <si>
    <t>Harvard, University of Miami (Coral Gables, FL)</t>
  </si>
  <si>
    <t>Business, Law</t>
  </si>
  <si>
    <t>I will achieve my goal of finishing my Intership in the spring season.</t>
  </si>
  <si>
    <t>Gain skills I can use at a future job, Get coaches and mentors who can help me with college and career, Learn about colleges</t>
  </si>
  <si>
    <t>Serious, friendly and responsible.</t>
  </si>
  <si>
    <t>I'm friendly, I talk with no problems and I'm responsible.</t>
  </si>
  <si>
    <t>Sometimes I'm a little shy.</t>
  </si>
  <si>
    <t>Safe.</t>
  </si>
  <si>
    <t>ydubavof498i99jydubavaikjdqewh36</t>
  </si>
  <si>
    <t>Taliana</t>
  </si>
  <si>
    <t>Valencia</t>
  </si>
  <si>
    <t>tv259227228@crotonaihs.org</t>
  </si>
  <si>
    <t>+13476766699</t>
  </si>
  <si>
    <t>510 E 185th st, 602, Bronx, NY 10458</t>
  </si>
  <si>
    <t>Maribel valencia</t>
  </si>
  <si>
    <t>maribelvalencia385@gmail.com</t>
  </si>
  <si>
    <t>510 E 185th st, 602, Bronx, NY 10485</t>
  </si>
  <si>
    <t>2 months</t>
  </si>
  <si>
    <t>I will like to become an actor, I will like to participate in teather</t>
  </si>
  <si>
    <t>actor, business administrator, veterinarian, dermatology</t>
  </si>
  <si>
    <t>My goal will take about 8 years and my goal is to act in famous theaters. I will do better by focusing more on my career</t>
  </si>
  <si>
    <t>Centered, serious and calm</t>
  </si>
  <si>
    <t>Facial expressions for when I am acting, science and I am good at listening to others</t>
  </si>
  <si>
    <t>Learn and teach new things to others</t>
  </si>
  <si>
    <t>h4zz2z940w3vz9h4zzpxwqnqb5prean7</t>
  </si>
  <si>
    <t>Emily</t>
  </si>
  <si>
    <t>et259603546@crotonaihs.org</t>
  </si>
  <si>
    <t>+16465457919</t>
  </si>
  <si>
    <t>2969 Decatur Avenue, Apt 2A, Bronx, NY 10458</t>
  </si>
  <si>
    <t>Lissette Cespedes</t>
  </si>
  <si>
    <t>tavemi29@gmail.com</t>
  </si>
  <si>
    <t>2969 Decatur Ave, Apt 2A, Bronx, NY 10458</t>
  </si>
  <si>
    <t>18 Years</t>
  </si>
  <si>
    <t>Fashion Store Owner</t>
  </si>
  <si>
    <t>It was in a mall. I found that job by applying to the position</t>
  </si>
  <si>
    <t>Fashion, Psychology, veterinarian</t>
  </si>
  <si>
    <t>My goal is to have my own business, it will take a few years which I think it will take about 10 years</t>
  </si>
  <si>
    <t>self-determined, happy, and honest</t>
  </si>
  <si>
    <t>Drawing, sewing and I like math</t>
  </si>
  <si>
    <t>I like to learn new things and I will like experience more volunteer work</t>
  </si>
  <si>
    <t>3.1</t>
  </si>
  <si>
    <t>y1yq2peisfdiujdgy1yeb2s66tf05mbw</t>
  </si>
  <si>
    <t>Kerly</t>
  </si>
  <si>
    <t>kerlyrs0711@gmail.com</t>
  </si>
  <si>
    <t>+19295415466</t>
  </si>
  <si>
    <t>50 Pennsylvania av</t>
  </si>
  <si>
    <t>Omar Rodriguez</t>
  </si>
  <si>
    <t>omarar1028@gmail.com</t>
  </si>
  <si>
    <t>11207</t>
  </si>
  <si>
    <t>+19295106651</t>
  </si>
  <si>
    <t>International high school at Union square</t>
  </si>
  <si>
    <t>At Union square</t>
  </si>
  <si>
    <t>Marcy college, NYACK College, Hostos college</t>
  </si>
  <si>
    <t>Finish the high school and college</t>
  </si>
  <si>
    <t>I like to read</t>
  </si>
  <si>
    <t>Nop</t>
  </si>
  <si>
    <t>6z1269y8rf1frulfz6z18j57zoouwlic</t>
  </si>
  <si>
    <t>Jorge</t>
  </si>
  <si>
    <t>2024_jorgelopez@ihs-us.org</t>
  </si>
  <si>
    <t>+19296161470</t>
  </si>
  <si>
    <t>1236 Virginia Ave Apt. 1R , Bronx, New York,10472</t>
  </si>
  <si>
    <t>Lorena Velasquez</t>
  </si>
  <si>
    <t>veloreisa_65@hotmail.com</t>
  </si>
  <si>
    <t>+19293375614</t>
  </si>
  <si>
    <t>40 Irving Pl New York, NY 10003</t>
  </si>
  <si>
    <t>being an architect</t>
  </si>
  <si>
    <t>intelligent because i consider my self like that</t>
  </si>
  <si>
    <t>use strategies that i learned in the past</t>
  </si>
  <si>
    <t>2j8wg7chbzq4f8fnudfy2j8wg7xnjmkq</t>
  </si>
  <si>
    <t>Daniela nunez</t>
  </si>
  <si>
    <t>Daniela ysamar nunez sanches</t>
  </si>
  <si>
    <t>Dnunez070517@gmail.com</t>
  </si>
  <si>
    <t>+13478727379</t>
  </si>
  <si>
    <t>1926 Crotona Parkway, Apt 5H, Bronx, NY 10460</t>
  </si>
  <si>
    <t>Daniel nunez</t>
  </si>
  <si>
    <t>social psychologists</t>
  </si>
  <si>
    <t>in a plase where i feel good and that i feel that they are paying me what i deserve</t>
  </si>
  <si>
    <t>social psychology,strewardess,police,teacher,</t>
  </si>
  <si>
    <t>6 in social psychology</t>
  </si>
  <si>
    <t>kind, a little bipolar and funny</t>
  </si>
  <si>
    <t>be good at listening, give solucions and prescribe activities</t>
  </si>
  <si>
    <t>q5nuanan0556xzwlkq5nuawgnlmea0m1</t>
  </si>
  <si>
    <t>Marina</t>
  </si>
  <si>
    <t>rosamarinalizbethdiazcar@gmail.com</t>
  </si>
  <si>
    <t>+13474789569</t>
  </si>
  <si>
    <t>2784 Morris Ave, Apt 5E, Bronx, NY 10468</t>
  </si>
  <si>
    <t>Roberto</t>
  </si>
  <si>
    <t>+13473139672</t>
  </si>
  <si>
    <t>Crotona Internation high school</t>
  </si>
  <si>
    <t>audiovisual communicator; audiovisual director, editor, screenwriter,</t>
  </si>
  <si>
    <t>something creative in which I can express myself</t>
  </si>
  <si>
    <t>audiovisual communication, psychology, acting, graphic design</t>
  </si>
  <si>
    <t>audio visual communication will take me 2 years</t>
  </si>
  <si>
    <t>creative, intelligent, high reasoning.</t>
  </si>
  <si>
    <t>I learn quickly, I have good retention, I am creative</t>
  </si>
  <si>
    <t>non of these</t>
  </si>
  <si>
    <t>sirgb80ba23u28cbag5jwuzxsirgb8r4</t>
  </si>
  <si>
    <t>miguel angel</t>
  </si>
  <si>
    <t>duarte guiterrez</t>
  </si>
  <si>
    <t>raquelspa@hotmail.es</t>
  </si>
  <si>
    <t>+19292722100</t>
  </si>
  <si>
    <t>2464 belmont avenue bronx, NY 10458</t>
  </si>
  <si>
    <t>maria raquel guiterrez villalobos</t>
  </si>
  <si>
    <t>author engineer  teacher  architect</t>
  </si>
  <si>
    <t>responsible , patience and sweet</t>
  </si>
  <si>
    <t>comunicate , be constant , responsability</t>
  </si>
  <si>
    <t>not Religious</t>
  </si>
  <si>
    <t>77lb1nzycdrxab9177lb1712c71hk8q6</t>
  </si>
  <si>
    <t>Claudia</t>
  </si>
  <si>
    <t>Herazo</t>
  </si>
  <si>
    <t>ch258780287@crotonaihs.org</t>
  </si>
  <si>
    <t>4410 baychester</t>
  </si>
  <si>
    <t>Claudia Herazo</t>
  </si>
  <si>
    <t>Carmen Romero</t>
  </si>
  <si>
    <t>claudiaherazo90@gmail.com</t>
  </si>
  <si>
    <t>4410 baychester avenue, Bronx, New York, 10458</t>
  </si>
  <si>
    <t>+13479046770</t>
  </si>
  <si>
    <t>2474 Crotona Ave, 3rd Floor, Bronx, New York, 10458</t>
  </si>
  <si>
    <t>5 months</t>
  </si>
  <si>
    <t>criminology, psychology, sociology, criminal lawyer, police.</t>
  </si>
  <si>
    <t>By the end of the school year I will feel more ready</t>
  </si>
  <si>
    <t>responsable punctual and helpful.</t>
  </si>
  <si>
    <t>patience, visualization and communication.</t>
  </si>
  <si>
    <t>Conneted</t>
  </si>
  <si>
    <t>tx5jeyeevum5ald0gmtx5jeul0whdp2a</t>
  </si>
  <si>
    <t>SANAN</t>
  </si>
  <si>
    <t>JS258822279@crotonaihs.org</t>
  </si>
  <si>
    <t>+19202549273</t>
  </si>
  <si>
    <t>300 East 184 street, 1st fl, Bronx, NY 10458</t>
  </si>
  <si>
    <t>JOSE YXCOY</t>
  </si>
  <si>
    <t>IVELIZE</t>
  </si>
  <si>
    <t>yxcoyjose207@gmail.com</t>
  </si>
  <si>
    <t>300 EAST 184 STREET 1FL, BRONX, NY 10458</t>
  </si>
  <si>
    <t>+19292938816</t>
  </si>
  <si>
    <t>A place where i feel secure</t>
  </si>
  <si>
    <t>police, architecture, trailer driver, doctor</t>
  </si>
  <si>
    <t>By the end of the school year I will know how to accomplish my goals</t>
  </si>
  <si>
    <t>responsible, punctual and polite.</t>
  </si>
  <si>
    <t>obligation, punctuality</t>
  </si>
  <si>
    <t>6hr7jmf61jgkqydjfm6hr7jk8rvb9nrh</t>
  </si>
  <si>
    <t>Elvianny</t>
  </si>
  <si>
    <t>De Jesús</t>
  </si>
  <si>
    <t>edejesus@crotonaihs.org</t>
  </si>
  <si>
    <t>+13472099531</t>
  </si>
  <si>
    <t>1335 COLLEGE AVENUE 4C, BRONX, NY 10456</t>
  </si>
  <si>
    <t>IG/ pamela_jego_.__</t>
  </si>
  <si>
    <t>Altagracia Fernandez</t>
  </si>
  <si>
    <t>altagracia22345@outlook.com</t>
  </si>
  <si>
    <t>+13478811397</t>
  </si>
  <si>
    <t>Actress</t>
  </si>
  <si>
    <t>UPR, and University at Albany.</t>
  </si>
  <si>
    <t>Fashion designer</t>
  </si>
  <si>
    <t>I want to raise my GPA, and develop my acting skills.</t>
  </si>
  <si>
    <t>Visionary, pretty, and kind.</t>
  </si>
  <si>
    <t>persistence, communication, and collaboration.</t>
  </si>
  <si>
    <t>I belong</t>
  </si>
  <si>
    <t>0ewp07gi952wwfpjou30ewp0va8o1bmx</t>
  </si>
  <si>
    <t>Bintou</t>
  </si>
  <si>
    <t>Diop</t>
  </si>
  <si>
    <t>bintouchacha2004@gmail.com</t>
  </si>
  <si>
    <t>+19172153396</t>
  </si>
  <si>
    <t>101w 147street #14i, New York City, New York City, 10039</t>
  </si>
  <si>
    <t>Astou Diop</t>
  </si>
  <si>
    <t>antastou2003@gmail.com</t>
  </si>
  <si>
    <t>101w 147street #14i, New York City, New York , 10039</t>
  </si>
  <si>
    <t>+19172912829</t>
  </si>
  <si>
    <t>International high school</t>
  </si>
  <si>
    <t>French and wolof</t>
  </si>
  <si>
    <t>Being a nurse</t>
  </si>
  <si>
    <t>Stony Brook university, University of Rochester, St John Fisher College, New York University, Columbia University, Hunter college, SUNY Buffalo, SUNY Binghamton, Millot College, Adelphi University</t>
  </si>
  <si>
    <t>Accountant, midwife, economist, banker, pediatrician</t>
  </si>
  <si>
    <t>Specific : I will have improve my average in each class Measurable: by 10 points attainable: from 96 to 100 relevant: by challenging myself timely: by the end of the school year</t>
  </si>
  <si>
    <t>Respectful, worker, smart</t>
  </si>
  <si>
    <t>Hard worker, patience, good understanding</t>
  </si>
  <si>
    <t>I just want to add that I’m excited to see how this internship will help in my career</t>
  </si>
  <si>
    <t>They make me feel better</t>
  </si>
  <si>
    <t>They were not give me my transcript yet so I don’t know my Gpa</t>
  </si>
  <si>
    <t>kymo96248n5tqbpp8fkymo9boo0tqku7</t>
  </si>
  <si>
    <t>doussouba</t>
  </si>
  <si>
    <t>diakite</t>
  </si>
  <si>
    <t>2025_doussoubadiakite@ihs-us.org</t>
  </si>
  <si>
    <t>+19293584844</t>
  </si>
  <si>
    <t>1504 sheridan Avenue ,10457 bronx</t>
  </si>
  <si>
    <t>south_13_taty</t>
  </si>
  <si>
    <t>abdoulaye sidibe</t>
  </si>
  <si>
    <t>abdoulayesidibe@gmail.com</t>
  </si>
  <si>
    <t>1504 sheridan Avenue 10457,bronx</t>
  </si>
  <si>
    <t>+13478599165</t>
  </si>
  <si>
    <t>international high schooL at union square</t>
  </si>
  <si>
    <t>16 th</t>
  </si>
  <si>
    <t>mali,ivory coast</t>
  </si>
  <si>
    <t>french</t>
  </si>
  <si>
    <t>artificiel intelligence</t>
  </si>
  <si>
    <t>it to work at a restaurant as cashier and server</t>
  </si>
  <si>
    <t>stanford,hunter,colombia,barnard</t>
  </si>
  <si>
    <t>ingenieury, programing,coding</t>
  </si>
  <si>
    <t>i want to have A VERY HIGH GPA BY INCREASING IT BY 6 POINT</t>
  </si>
  <si>
    <t>nice,cool, patiant</t>
  </si>
  <si>
    <t>hability to talk in public,social, freindly</t>
  </si>
  <si>
    <t>safe support connected</t>
  </si>
  <si>
    <t>88</t>
  </si>
  <si>
    <t>yrfkzqwc2otmbpyrfr7i8hnh1lfiqveo</t>
  </si>
  <si>
    <t>Castro</t>
  </si>
  <si>
    <t>mamercedescz@gmail.com</t>
  </si>
  <si>
    <t>+13475320881</t>
  </si>
  <si>
    <t>59 ralph ave Brookyn NY 11221</t>
  </si>
  <si>
    <t>Ana Zambrano</t>
  </si>
  <si>
    <t>anayamile04@hotmail.com</t>
  </si>
  <si>
    <t>59 Ralph Ave Brooklyn 11221</t>
  </si>
  <si>
    <t>+13475069704</t>
  </si>
  <si>
    <t>Hostess in a restaurant</t>
  </si>
  <si>
    <t>pediatric doctor, fashion designer, film director, dance, photographer</t>
  </si>
  <si>
    <t>raise my GPA 3 points</t>
  </si>
  <si>
    <t>Learn about careers, Get an internship, Get coaches and mentors who can help me with college and career, Gain skills I can use at a future job, Learn about colleges</t>
  </si>
  <si>
    <t>positive person because every time I try to find the positive side of any occasion, creative person because I like to create new ideas and I have a good imagination, Self-confidence because i'm a person who is aware of their skills and knowledge</t>
  </si>
  <si>
    <t>body expression, Intelligent, Analytical mind</t>
  </si>
  <si>
    <t>Asylun seeker, TPS approved</t>
  </si>
  <si>
    <t>0nntds7s1rzon0zb90nntdhawn7xmv7t</t>
  </si>
  <si>
    <t>Jaime</t>
  </si>
  <si>
    <t>Lara</t>
  </si>
  <si>
    <t>2024_jaimelara@ihs-us.org</t>
  </si>
  <si>
    <t>+13323323547</t>
  </si>
  <si>
    <t>61 26 213th st, Queens, NY 11364</t>
  </si>
  <si>
    <t>Grecia Mendoza</t>
  </si>
  <si>
    <t>grecia14mendoza@hotmail.com</t>
  </si>
  <si>
    <t>61 26 213th st Queens, NY 11364</t>
  </si>
  <si>
    <t>+13473378658</t>
  </si>
  <si>
    <t>40 Irving pl, new york, NY 10003</t>
  </si>
  <si>
    <t>acting</t>
  </si>
  <si>
    <t>dance, film director, fashion designer, photographer, voice dubbing</t>
  </si>
  <si>
    <t>I want to improve my GPA 3 points in the next marking period</t>
  </si>
  <si>
    <t>I'm confidence because I know my capacities and I'm not scare to try or do new things. I'm also persistent because I always work hard to get my goals. And finally I consider myself I positive person because I like to see the good side of things and enjoy the life.</t>
  </si>
  <si>
    <t>Good memory, creativity and disciplined</t>
  </si>
  <si>
    <t>I would like you to know that I am a person who has very big goals and I will work very hard to achieve them.</t>
  </si>
  <si>
    <t>jmmzcouina673qktjmmzhsea5tc5o31i</t>
  </si>
  <si>
    <t>Jhan</t>
  </si>
  <si>
    <t>Motta</t>
  </si>
  <si>
    <t>jhanmottap@gmail.com</t>
  </si>
  <si>
    <t>+16467256084</t>
  </si>
  <si>
    <t>35-40 83rd St, Queens, Ny, 11372</t>
  </si>
  <si>
    <t>Luz Londono</t>
  </si>
  <si>
    <t>luzderlylondonolozano27@gmail.com</t>
  </si>
  <si>
    <t>+16467447667</t>
  </si>
  <si>
    <t>film director,voiceover,dance,Fashion designer,photographer</t>
  </si>
  <si>
    <t>Increase my GPA by 4 more points</t>
  </si>
  <si>
    <t>confident because I am a person who trusts in himself and I know my abilities, also Expontaneous, since I consider that I am a person who thinks of different things and expresses it without any tie, besides being a creative person because I have an imagination, which generates different things and always seeks to go out, for being unique.</t>
  </si>
  <si>
    <t>Self-discipline
Creativity
Good memory.</t>
  </si>
  <si>
    <t>jajgf4m0td1imtxrkjajgfrhwxexnqha</t>
  </si>
  <si>
    <t>Ashwini</t>
  </si>
  <si>
    <t>Borela</t>
  </si>
  <si>
    <t>amatashwini032@gmail.com</t>
  </si>
  <si>
    <t>+13475441130</t>
  </si>
  <si>
    <t>330 1st Ave APT 10-H, New York,NY,10009</t>
  </si>
  <si>
    <t>Josephine Borela</t>
  </si>
  <si>
    <t>jojoborela@icloud.com</t>
  </si>
  <si>
    <t>330 1st Ave Apt 10-H, New York, NY, 10009</t>
  </si>
  <si>
    <t>+16463788136</t>
  </si>
  <si>
    <t>7 years ago</t>
  </si>
  <si>
    <t>Filipino</t>
  </si>
  <si>
    <t>English and Tagalog</t>
  </si>
  <si>
    <t>Community Initiative, It was provided by my school</t>
  </si>
  <si>
    <t>NYU, Baruch, Hunter</t>
  </si>
  <si>
    <t>Law, Psychologist, and Flight Attendant</t>
  </si>
  <si>
    <t>Specific: I need to improve my overall average. Measurable: by 8 point. Attainable: from 90 to 98. Relevant: by managing my time and fixing my schedules. Timely: by the end of the school year.</t>
  </si>
  <si>
    <t>Get an internship, Learn about colleges, Get coaches and mentors who can help me with college and career, Gain skills I can use at a future job</t>
  </si>
  <si>
    <t>Considerate, Trustworthy, Thoughtful</t>
  </si>
  <si>
    <t>Problem solving, Listening skills, Organization</t>
  </si>
  <si>
    <t>I'm still confused what to pursue Law or Psychology</t>
  </si>
  <si>
    <t>ljlhsjpcy1a3m3mjr9ljlhsp3wuy9hzz</t>
  </si>
  <si>
    <t>Rinchen</t>
  </si>
  <si>
    <t>Wangmo</t>
  </si>
  <si>
    <t>2024_rinchenwangmo@ihs-us.org</t>
  </si>
  <si>
    <t>+13479512025</t>
  </si>
  <si>
    <t>50-21 48st Sunny side, New York, 11377</t>
  </si>
  <si>
    <t>Tashi Penjor</t>
  </si>
  <si>
    <t>tashipenjor20@gmail.com</t>
  </si>
  <si>
    <t>+13478066034</t>
  </si>
  <si>
    <t>Father arrived 7 years ago.</t>
  </si>
  <si>
    <t>I am Bhutanese, South Asian.</t>
  </si>
  <si>
    <t>dzongkha and English</t>
  </si>
  <si>
    <t>neurosurgeon</t>
  </si>
  <si>
    <t>I work at a bakery named Baked cravings and i got that through WLG.</t>
  </si>
  <si>
    <t>Harvard University, New York Medical College, Hunter College,</t>
  </si>
  <si>
    <t>I want to improve my overall grade, since I have 95% right now. I want to aim for 97% or above by going to library more often to keep up with all the work I get and further study and I hope to achieve it by the end of the school year.</t>
  </si>
  <si>
    <t>Friendly, Kind, Smart</t>
  </si>
  <si>
    <t>Leadership, Communication, responsible.</t>
  </si>
  <si>
    <t>As I am still in the process of learning English, I face many day to day challenges such as communication. And honestly speaking, this is going to be an obstacle for me however I am looking forward to it.</t>
  </si>
  <si>
    <t>Like I belong.</t>
  </si>
  <si>
    <t>95%</t>
  </si>
  <si>
    <t>kc1trkyuo1unn22kc1t6q38jekqoppva</t>
  </si>
  <si>
    <t>Aliessa</t>
  </si>
  <si>
    <t>2024_juliaaliessa@ihs-us.org</t>
  </si>
  <si>
    <t>+13322487697</t>
  </si>
  <si>
    <t>344 E11th street #4, New york City,NY 10003</t>
  </si>
  <si>
    <t>IG: julia.iessa29</t>
  </si>
  <si>
    <t>Omran Aliessa</t>
  </si>
  <si>
    <t>Omranaliessa3@gmail.com</t>
  </si>
  <si>
    <t>344 E11th street, New York City, Ny, 10003</t>
  </si>
  <si>
    <t>+19175363170</t>
  </si>
  <si>
    <t>International High School At Union Square.</t>
  </si>
  <si>
    <t>Syria</t>
  </si>
  <si>
    <t>40 years ago</t>
  </si>
  <si>
    <t>Arabic.</t>
  </si>
  <si>
    <t>Doctor, Human Science.</t>
  </si>
  <si>
    <t>NYU, Colombia, Hunter college, City college, Baruch college, Brooklyn college,</t>
  </si>
  <si>
    <t>Business, Lawyer</t>
  </si>
  <si>
    <t>Relevant and Attainable</t>
  </si>
  <si>
    <t>Calm, Organized and Sociable.</t>
  </si>
  <si>
    <t>Patient, Loyal and Responsible.</t>
  </si>
  <si>
    <t>Supported.</t>
  </si>
  <si>
    <t>Islam.</t>
  </si>
  <si>
    <t>rjvi9pjrf02l384bcrjvix1u8l7s007q</t>
  </si>
  <si>
    <t>Hendry</t>
  </si>
  <si>
    <t>Bello</t>
  </si>
  <si>
    <t>2024_hendrybello@ihs-us.org</t>
  </si>
  <si>
    <t>+13478562181</t>
  </si>
  <si>
    <t>134 Caryl AV, Yonkers, NY, 10705</t>
  </si>
  <si>
    <t>Henry bello</t>
  </si>
  <si>
    <t>Henryabelloca@gmail.con</t>
  </si>
  <si>
    <t>+16465972771</t>
  </si>
  <si>
    <t>Not really.</t>
  </si>
  <si>
    <t>Massage Therapist</t>
  </si>
  <si>
    <t>Massage therapist or be a programer</t>
  </si>
  <si>
    <t>IDk</t>
  </si>
  <si>
    <t>Massage Therapist, A programer ,Video game developer &amp; a technician.</t>
  </si>
  <si>
    <t>I need to as much information as posible of the human body to become a massage therapist and learning the specific technique as well as the other requirements to become one. I'll do this by looking videos at night and practice with my friends or family to improve my skills and take note base on their opinions.</t>
  </si>
  <si>
    <t>Gain skills I can use at a future job, Make new friends, Get an internship</t>
  </si>
  <si>
    <t>Funny: I like to make jokes to every now and then to get along with people. Curious: I like to ask as many questions necessary to understand something. Creative:If is drawing or getting a reference with something I just have a lot to say and create.</t>
  </si>
  <si>
    <t>communication skills, massage skills and drawing skills</t>
  </si>
  <si>
    <t>No that should be all.</t>
  </si>
  <si>
    <t>I guess I feel relaxed</t>
  </si>
  <si>
    <t>to95pczvja84ni2914y0n6to95pcfs6x</t>
  </si>
  <si>
    <t>Yannick diaby - Yannick</t>
  </si>
  <si>
    <t>Yannick</t>
  </si>
  <si>
    <t>2024_yannicdiaby@ihs-us.org</t>
  </si>
  <si>
    <t>+16463849613</t>
  </si>
  <si>
    <t>881E 162 St apt 6L , 10459 bronx</t>
  </si>
  <si>
    <t>Bintou Ainagnon</t>
  </si>
  <si>
    <t>bintouainagon@yahoo.com</t>
  </si>
  <si>
    <t>881E 162 St Apt 6L, 10459 bronx new york</t>
  </si>
  <si>
    <t>+16467139012</t>
  </si>
  <si>
    <t>40 ivring place</t>
  </si>
  <si>
    <t>ivory coast</t>
  </si>
  <si>
    <t>be a sportive coach</t>
  </si>
  <si>
    <t>soccer coach</t>
  </si>
  <si>
    <t>City University of New York Athletic Conference</t>
  </si>
  <si>
    <t>business, sports, physical education</t>
  </si>
  <si>
    <t>I feel more interested in this career because I am a sportsman</t>
  </si>
  <si>
    <t>positive , focus , work</t>
  </si>
  <si>
    <t>help people to be better</t>
  </si>
  <si>
    <t>5op8ycf3ih5y10m75op8ycqb5vw5i7tq</t>
  </si>
  <si>
    <t>Elhadji</t>
  </si>
  <si>
    <t>Ndong</t>
  </si>
  <si>
    <t>2024_ELHADJINDONG@IHS-US.ORG</t>
  </si>
  <si>
    <t>+16463713690</t>
  </si>
  <si>
    <t>1350 5th avenue apt 2F, 10026</t>
  </si>
  <si>
    <t>2024_elhadjindong@ihs-us.org</t>
  </si>
  <si>
    <t>1350 5th avenue apt 2F 10026</t>
  </si>
  <si>
    <t>40 irving Place</t>
  </si>
  <si>
    <t>37 years</t>
  </si>
  <si>
    <t>im black and proud of that</t>
  </si>
  <si>
    <t>Pilote and cyber security</t>
  </si>
  <si>
    <t>Security guard</t>
  </si>
  <si>
    <t>Indiana College</t>
  </si>
  <si>
    <t>my goal is specific I want to be Pilote and Cyber Security</t>
  </si>
  <si>
    <t>Get an internship, Gain skills I can use at a future job, Make new friends, Learn about careers, Learn about colleges, Get coaches and mentors who can help me with college and career</t>
  </si>
  <si>
    <t>Kind, Smart, Friendly</t>
  </si>
  <si>
    <t>Smart, Confident, Leadership</t>
  </si>
  <si>
    <t>I like working</t>
  </si>
  <si>
    <t>n0f2ppm2hzpovy46gn0f23v386vai41n</t>
  </si>
  <si>
    <t>Alexander</t>
  </si>
  <si>
    <t>nyc.alexxxx@ihs-us.org</t>
  </si>
  <si>
    <t>+19295039435</t>
  </si>
  <si>
    <t>5206 6th ave, brooklyn, 11220</t>
  </si>
  <si>
    <t>instagram - trs.alexm</t>
  </si>
  <si>
    <t>martha ever marin duran</t>
  </si>
  <si>
    <t>marthamarin0116@gmail.com</t>
  </si>
  <si>
    <t>5206 6th avenue, brooklyn, 11220</t>
  </si>
  <si>
    <t>+16465778484</t>
  </si>
  <si>
    <t>im not sure yet</t>
  </si>
  <si>
    <t>nurse, chef</t>
  </si>
  <si>
    <t>my smart goal is to be an architect</t>
  </si>
  <si>
    <t>honest, perseverant, hard worker</t>
  </si>
  <si>
    <t>organized, persevering, intelligent</t>
  </si>
  <si>
    <t>Payment of 95.00 from martha ever marin duran with card ending in 9421 was successful</t>
  </si>
  <si>
    <t>makes me feel comfortable</t>
  </si>
  <si>
    <t>hivmw8ldcz9lfez2aun2hivmw8lnj699</t>
  </si>
  <si>
    <t>Test</t>
  </si>
  <si>
    <t>Test@gmail.com</t>
  </si>
  <si>
    <t>NY</t>
  </si>
  <si>
    <t>11220</t>
  </si>
  <si>
    <t>+12345667890</t>
  </si>
  <si>
    <t>Sample</t>
  </si>
  <si>
    <t>samoke</t>
  </si>
  <si>
    <t>3nea854a4dyv1b3t13neaa4znefnn1sw</t>
  </si>
  <si>
    <t>Olivia Richmyr</t>
  </si>
  <si>
    <t>Paul Joseph</t>
  </si>
  <si>
    <t>pauljosepholivia@gmail.com</t>
  </si>
  <si>
    <t>+19296058466</t>
  </si>
  <si>
    <t>228-27 114 th drive Cambria Heights 11411 NY</t>
  </si>
  <si>
    <t>Patricia Reeves</t>
  </si>
  <si>
    <t>+16466454395</t>
  </si>
  <si>
    <t>143- 10 Springfield Blvd, Springfield Gardens, NY 11413 US</t>
  </si>
  <si>
    <t>They do not stay in the US</t>
  </si>
  <si>
    <t>French, Creole</t>
  </si>
  <si>
    <t>physician</t>
  </si>
  <si>
    <t>A CEO of a  coffee company</t>
  </si>
  <si>
    <t>Adelphi university, Hofstra University, St. Johns University, Clarckson University, hartford university</t>
  </si>
  <si>
    <t>Business Management, interior designer,</t>
  </si>
  <si>
    <t>I WANT TO GRADUATE WITH THE highest grade (90 and above) in my year by June 27 of 2023</t>
  </si>
  <si>
    <t>Get an internship, Gain skills I can use at a future job, Learn about colleges, Get coaches and mentors who can help me with college and career</t>
  </si>
  <si>
    <t>FLEXIBLE: I CAN ANALYSE THER PERSPECTIVES THAN MINE. STRONG WILLED: WHEN I WANT SOMETHING I'LL DO EVERITHING TO GET IT PERSEVERENT: I PUCH THROUGH PROBLEM AND I DON'T BEND NEITHER BREAK MYSSLF WHILE DOING SO</t>
  </si>
  <si>
    <t>COMMUNICATION, PUBLIC SPEAKING, KNOW HOW TO TAKE A BREAK</t>
  </si>
  <si>
    <t>vlmya5k7h9nynsp6t7c7zvlmya5kpp9o</t>
  </si>
  <si>
    <t>Ronald</t>
  </si>
  <si>
    <t>Pujols</t>
  </si>
  <si>
    <t>ronaldpujols@crotonaihs.org</t>
  </si>
  <si>
    <t>+13474306386</t>
  </si>
  <si>
    <t>Tiebout ave 10458</t>
  </si>
  <si>
    <t>Frania Pujols</t>
  </si>
  <si>
    <t>pujolsfrania@gmail.com</t>
  </si>
  <si>
    <t>Bronx 10458</t>
  </si>
  <si>
    <t>+19299000629</t>
  </si>
  <si>
    <t>Crotonaihs</t>
  </si>
  <si>
    <t>no tengo titulo de trabajo</t>
  </si>
  <si>
    <t>no tengo ninguno trabajo</t>
  </si>
  <si>
    <t>no have</t>
  </si>
  <si>
    <t>seguro</t>
  </si>
  <si>
    <t>32</t>
  </si>
  <si>
    <t>hurg2gozkps4isgjcjchyhurg2go1alq</t>
  </si>
  <si>
    <t>Wilman</t>
  </si>
  <si>
    <t>Wilmanreyes@crotonaihs.org</t>
  </si>
  <si>
    <t>+13476927351</t>
  </si>
  <si>
    <t>Manhattan, 718 W 178th St, 10033 NY</t>
  </si>
  <si>
    <t>William Reyes</t>
  </si>
  <si>
    <t>reyeswilman77@gmail.com</t>
  </si>
  <si>
    <t>Manhattan,NY, 718 178th street</t>
  </si>
  <si>
    <t>+13478912353</t>
  </si>
  <si>
    <t>Crotona Internacional High school</t>
  </si>
  <si>
    <t>digital animation and illustration</t>
  </si>
  <si>
    <t>Start finishing high school to pay for my university</t>
  </si>
  <si>
    <t>Escuela de Artes Visuales de Nueva York,Columbia University School of the Arts,UMBC College of Arts, Humanities and Social Sciences</t>
  </si>
  <si>
    <t>Illustration, digital animation and stop motion</t>
  </si>
  <si>
    <t>I think that for what I want to do you need to be constant with my drawings and my 3D models in order to improve and for people to be interested in my work.</t>
  </si>
  <si>
    <t>Cheerful, determined and applied</t>
  </si>
  <si>
    <t>applied, persistent and focused</t>
  </si>
  <si>
    <t>I like to learn a lot about what I want to do</t>
  </si>
  <si>
    <t>It's comfortable</t>
  </si>
  <si>
    <t>I have no religion</t>
  </si>
  <si>
    <t>1576gqc1dd2xcu1s8b0r981576gqfevo</t>
  </si>
  <si>
    <t>Lesly</t>
  </si>
  <si>
    <t>Chucino</t>
  </si>
  <si>
    <t>chucinolesly@gmail.com</t>
  </si>
  <si>
    <t>+16466413391</t>
  </si>
  <si>
    <t>Bronx, New York 1987 Davidson Ave. Apt 3H 10453</t>
  </si>
  <si>
    <t>Sonia Marcela</t>
  </si>
  <si>
    <t>marcezhmatute@gmail.com</t>
  </si>
  <si>
    <t>Bronx New York 1987 Davidson Ave. Apt 3H 10435</t>
  </si>
  <si>
    <t>+19294345194</t>
  </si>
  <si>
    <t>2474 Crotona Ave, New York</t>
  </si>
  <si>
    <t>Neonatal Nurse</t>
  </si>
  <si>
    <t>have a job that I love</t>
  </si>
  <si>
    <t>Queens Collegue</t>
  </si>
  <si>
    <t>Veterinary and Psychologist</t>
  </si>
  <si>
    <t>Alcanzable</t>
  </si>
  <si>
    <t>Inteligente, Responsable y Aplicada</t>
  </si>
  <si>
    <t>Estudio, capacidad y dominio</t>
  </si>
  <si>
    <t>Conectada</t>
  </si>
  <si>
    <t>Catolica Cristiana</t>
  </si>
  <si>
    <t>2xmgrx02xy2jyuiwt2xmgrdrbox0tud2</t>
  </si>
  <si>
    <t>Karilyne</t>
  </si>
  <si>
    <t>Suazo</t>
  </si>
  <si>
    <t>karilynherrera@icloud.com</t>
  </si>
  <si>
    <t>+13479510817</t>
  </si>
  <si>
    <t>1575 174 street 10472</t>
  </si>
  <si>
    <t>Karina Herrera Carlos Suazo</t>
  </si>
  <si>
    <t>Karilynherrera@icloud.com</t>
  </si>
  <si>
    <t>1575-174 street 10472</t>
  </si>
  <si>
    <t>+19293136649</t>
  </si>
  <si>
    <t>crotona internacional school</t>
  </si>
  <si>
    <t>4 años</t>
  </si>
  <si>
    <t>español</t>
  </si>
  <si>
    <t>Enfermera</t>
  </si>
  <si>
    <t>trabajadora social</t>
  </si>
  <si>
    <t>Bronx community college</t>
  </si>
  <si>
    <t>Social worked,nurse</t>
  </si>
  <si>
    <t>I am very cheerful, charismatic and responsible</t>
  </si>
  <si>
    <t>skill, patience and character</t>
  </si>
  <si>
    <t>z0xicud1n9y1z0xfftwdfqzq1e8diyff</t>
  </si>
  <si>
    <t>yamilette</t>
  </si>
  <si>
    <t>rodriguez franjul</t>
  </si>
  <si>
    <t>yrodriguez@crotonaihs.org</t>
  </si>
  <si>
    <t>+16469532594</t>
  </si>
  <si>
    <t>2017valentine avenue 2F Bronx NY 10458</t>
  </si>
  <si>
    <t>whatsapp,facebook,messeger, and snapchat</t>
  </si>
  <si>
    <t>Nathalie de los Santo</t>
  </si>
  <si>
    <t>Nathaliesantos567@gmail.com</t>
  </si>
  <si>
    <t>2017Valentine Avenue 2F bronx NY 10458</t>
  </si>
  <si>
    <t>+17188019348</t>
  </si>
  <si>
    <t>Crotona international</t>
  </si>
  <si>
    <t>2474 CROTONA AVENUE BRONX NY</t>
  </si>
  <si>
    <t>SOY DE REPUBLICA DOMINICANA</t>
  </si>
  <si>
    <t>doctora</t>
  </si>
  <si>
    <t>ser pedriatra</t>
  </si>
  <si>
    <t>Yale</t>
  </si>
  <si>
    <t>Pediatric. writer, detective and lawyer</t>
  </si>
  <si>
    <t>8 years or more</t>
  </si>
  <si>
    <t>Charismatic, friendly and funny</t>
  </si>
  <si>
    <t>I know how to detect people's feelings, responsable and respectful</t>
  </si>
  <si>
    <t>CAtolicismo</t>
  </si>
  <si>
    <t>2o3v4cf281xso5r972n1glq882o3v4cf</t>
  </si>
  <si>
    <t>2630 Marion ave, Bronx NY 10458</t>
  </si>
  <si>
    <t>2474 Crotona Ave, The Bronx NY 10458</t>
  </si>
  <si>
    <t>I don’t know because none of my parents born here</t>
  </si>
  <si>
    <t>My ideal future career job is a place where I can feel comfortable helping other</t>
  </si>
  <si>
    <t>1- John Jay College, 2- City College, 3- Columbia University, 4- Fordham University, 5- Manhattan College, 6- Hunter College, 7- Lehman College,</t>
  </si>
  <si>
    <t>1- Criminology, 2- Forensic Psychology, 3- Forensic Medicine, 4- private investigator, 5- criminal psychiatry</t>
  </si>
  <si>
    <t>Specific: I will improve my attendance , Measurable: by coming early to school , Attainable: 6:00 to 7:40 Relevant I can use the skills that I earned from home, Timely: by the end of the school year</t>
  </si>
  <si>
    <t>attentive, demanding and stubborn</t>
  </si>
  <si>
    <t>1- reading comprehension, 2- empathy, 3- Precision and attention to detail.</t>
  </si>
  <si>
    <t>r4sstvqqw032tupghmaq2sr4sstvpy0v</t>
  </si>
  <si>
    <t>Nerely</t>
  </si>
  <si>
    <t>Roa</t>
  </si>
  <si>
    <t>nroa@crotonaihs.org</t>
  </si>
  <si>
    <t>+18623062884</t>
  </si>
  <si>
    <t>985 E 163rd ST Bronx NY 10459</t>
  </si>
  <si>
    <t>Leydi Medina</t>
  </si>
  <si>
    <t>leydimedinaderoa@gmail.com</t>
  </si>
  <si>
    <t>Real states</t>
  </si>
  <si>
    <t>Work in an office as a real state assitance</t>
  </si>
  <si>
    <t>Hostos CC, BMCC, Manhattan College, Mercy College, CCNY, Manhattanville</t>
  </si>
  <si>
    <t>Real states, Business Administation</t>
  </si>
  <si>
    <t>My goal is to graduate high school, a way that i am going to get to my goal is that i am going to be the top of the class, i am going to do my work ahead of the time to submit it, and also i am going to tutor students so i help others while i acchive my goal.</t>
  </si>
  <si>
    <t>hopeful, creative, humble.</t>
  </si>
  <si>
    <t>prepare, problem Solver, team worker</t>
  </si>
  <si>
    <t>2.1</t>
  </si>
  <si>
    <t>rt6bqabkbxkc8g1ophyuxk0trt6bqabp</t>
  </si>
  <si>
    <t>Niyati</t>
  </si>
  <si>
    <t>Trivedi</t>
  </si>
  <si>
    <t>niyati1296rd@gmail.com</t>
  </si>
  <si>
    <t>+15512602675</t>
  </si>
  <si>
    <t>28 Zabriskie street Jersey City 07307</t>
  </si>
  <si>
    <t>www.linkedin.com/in/ niyati-trivedi-20a56814b</t>
  </si>
  <si>
    <t>Nilesh Trivedi</t>
  </si>
  <si>
    <t>niyatitrivedi926@gmail.com</t>
  </si>
  <si>
    <t>10,102,Poojan Appartment, Gujarat India 380007</t>
  </si>
  <si>
    <t>+919537478576</t>
  </si>
  <si>
    <t>Seidenberg School Of Computer Science and Information Systems, New York City, New York</t>
  </si>
  <si>
    <t>One Pace Plaza, New York, NY 10038</t>
  </si>
  <si>
    <t>India</t>
  </si>
  <si>
    <t>Gujarati, Hindi, English</t>
  </si>
  <si>
    <t>Software Devloper</t>
  </si>
  <si>
    <t>Software Developer</t>
  </si>
  <si>
    <t>programmer testing, Python Programmer,</t>
  </si>
  <si>
    <t>Specific, Measurable, Attainable, Relevant, Timely : by end of the may 2024</t>
  </si>
  <si>
    <t>Knowledgeable</t>
  </si>
  <si>
    <t>Python programming , Microsoft excel, c ,c++, java, github</t>
  </si>
  <si>
    <t>Student F-1</t>
  </si>
  <si>
    <t>3.69</t>
  </si>
  <si>
    <t>96z783hnwj25vs2oqf96z7xh85o2582n</t>
  </si>
  <si>
    <t>+12345678902</t>
  </si>
  <si>
    <t>a</t>
  </si>
  <si>
    <t>+12345678906</t>
  </si>
  <si>
    <t>Get an internship, Make new friends</t>
  </si>
  <si>
    <t>apmtqbipxnttppllc2816apmtahw1byb</t>
  </si>
  <si>
    <t>Kesang</t>
  </si>
  <si>
    <t>Penjor</t>
  </si>
  <si>
    <t>2025_kesangpenjor@ihs-us.org</t>
  </si>
  <si>
    <t>+19294186259</t>
  </si>
  <si>
    <t>4165 53rd Street Apt#1F Woodside NY 11377</t>
  </si>
  <si>
    <t>@_kesangdechen</t>
  </si>
  <si>
    <t>Sonam Dechen</t>
  </si>
  <si>
    <t>sdchophel@gmail.com</t>
  </si>
  <si>
    <t>+16464203062</t>
  </si>
  <si>
    <t>more than 10 years ago</t>
  </si>
  <si>
    <t>English and Dzongkha</t>
  </si>
  <si>
    <t>I previously worked at a nut free bakery and was introduced to me by a friend of mine and from a program called Summer Youth Employment Program. I worked as the cashier and also assisted the head baker.</t>
  </si>
  <si>
    <t>I am currently interested in 2 colleges. Hunter and NYU</t>
  </si>
  <si>
    <t>Nurse, veterinarian, climatolgist, Dentist, Chef</t>
  </si>
  <si>
    <t>Specific - I will accomplish having a growth mindset this semester. Meadurable - I will know when I have reached this goal because I will be thinking positively and will be wanting to learn new things.
Attainable - Yes this goal is realistic and achievable with effort and commitment. Relevant - This goal is significant in my life because it will help me grow and have a better mindset. Timely - I will accomplish this goal before the end of the semester.</t>
  </si>
  <si>
    <t>Organized, hardworker and good listener</t>
  </si>
  <si>
    <t>Communication, Organization, team player</t>
  </si>
  <si>
    <t>96.41</t>
  </si>
  <si>
    <t>5248f40thrj2kov2jf5248f4cqd2eg8k</t>
  </si>
  <si>
    <t>Timestamp</t>
  </si>
  <si>
    <t>Email Address</t>
  </si>
  <si>
    <t xml:space="preserve">Name </t>
  </si>
  <si>
    <t xml:space="preserve">Please select which you are </t>
  </si>
  <si>
    <t>For mentors: Who was your mentee? Mentees, wrote N/A</t>
  </si>
  <si>
    <t>For mentees: Who was your mentor? Mentors, wrote N/A</t>
  </si>
  <si>
    <t xml:space="preserve">How many mentoring sessions did you complete in the round? </t>
  </si>
  <si>
    <t>On a scale of 1 - 5, how much did you value the mentorship experience</t>
  </si>
  <si>
    <t xml:space="preserve">Were your mentoring expectations met? </t>
  </si>
  <si>
    <t xml:space="preserve">Write down one reason why you chose the answer above. </t>
  </si>
  <si>
    <t xml:space="preserve">What part of mentoring did you enjoy the most? </t>
  </si>
  <si>
    <t xml:space="preserve">What part of mentoring did you enjoy the least? </t>
  </si>
  <si>
    <t>How have you grown or changed because of the mentoring relationship (learned new skills, learned about new jobs or colleges, added people to your network, learned more about certain topics with your mentor)?</t>
  </si>
  <si>
    <t xml:space="preserve">What did you learn about yourself through this mentoring relatonship? </t>
  </si>
  <si>
    <t>Did you learn about your own career options through the mentoring round?</t>
  </si>
  <si>
    <t xml:space="preserve">Mentees:  Do you feel more engaged in school while going through the Mentoring Round? </t>
  </si>
  <si>
    <t xml:space="preserve">Mentees:  Did your feel your confidence to present and speak to others go up since you started the Mentoring Program? </t>
  </si>
  <si>
    <t xml:space="preserve">Mentees:  I have added the following people to my network (please select all that apply) </t>
  </si>
  <si>
    <t>Share one success story or memorable moment that you would like to share with the SPEAK network?</t>
  </si>
  <si>
    <t>Do you have another success story that you would like to share with the SPEAK network?</t>
  </si>
  <si>
    <t xml:space="preserve">Please write one valuable takeaway from your mentoring experience. </t>
  </si>
  <si>
    <t>Mentees Only: Since beginning the Mentoring Round, I have (Mentors Only: select N/A): [Engaged in volunteering/civic engagement]</t>
  </si>
  <si>
    <t>Mentees Only: Since beginning the Mentoring Round, I have (Mentors Only: select N/A): [Increased my average]</t>
  </si>
  <si>
    <t>Mentees Only: Since beginning the Mentoring Round, I have (Mentors Only: select N/A): [Learned about a new job within a career field ]</t>
  </si>
  <si>
    <t>Mentees Only: Since beginning the Mentoring Round, I have (Mentors Only: select N/A): [Learned new skills]</t>
  </si>
  <si>
    <t>Mentees Only: Since beginning the Mentoring Round, I have (Mentors Only: select N/A): [Have more leadership skills]</t>
  </si>
  <si>
    <t>Mentees Only: Since beginning the Mentoring Round, I have (Mentors Only: select N/A): [Learned about a number of jobs within my Mentor's Career Ecosystem ]</t>
  </si>
  <si>
    <t>Mentees Only: Since beginning the Mentoring Round, I have (Mentors Only: select N/A): [Been introduced to people within my Mentor's Career Ecosystem]</t>
  </si>
  <si>
    <t>Mentees Only: Since beginning the Mentoring Round, I have (Mentors Only: select N/A): [Spoken to my mentor about my own goals ]</t>
  </si>
  <si>
    <t>Mentees Only: Since beginning the Mentoring Round, I have (Mentors Only: select N/A): [Learned about new colleges ]</t>
  </si>
  <si>
    <t>Mentees Only: Since beginning the Mentoring Round, I have (Mentors Only: select N/A): [Learned about Ivy League schools]</t>
  </si>
  <si>
    <t>Mentees Only: Since beginning the Mentoring Round, I have (Mentors Only: select N/A): [Am now considering Ivy League schools]</t>
  </si>
  <si>
    <t>Mentees Only: Since beginning the Mentoring Round, I have (Mentors Only: select N/A): [Am more engaged at school]</t>
  </si>
  <si>
    <t>Mentees Only: Since beginning the Mentoring Round, I have (Mentors Only: select N/A): [My attendance at school has gone up]</t>
  </si>
  <si>
    <t>Mentees Only: Since beginning the Mentoring Round, I have (Mentors Only: select N/A): [Understand better how cultural value shape my career choices]</t>
  </si>
  <si>
    <t>Mentees Only: Since beginning the Mentoring Round, I have (Mentors Only: select N/A): [Will continue keeping in touch with my mentor ]</t>
  </si>
  <si>
    <t>For Mentors Only: Would you like to be considered for the next mentoring round? Mentees, please type N/A</t>
  </si>
  <si>
    <t xml:space="preserve">For Mentees Only: This mentoring round has helped me understand what skills are needed for this mentor's career </t>
  </si>
  <si>
    <t>For Mentees Only: What career, if any, did you decide on and why? You can also explain if you realized a career pathway is not for you, if that is what you learned through the mentoring process. Mentors, please type N/A</t>
  </si>
  <si>
    <t>For Mentees Only: Since the beginning of this mentoring round, I have: (select any you feel appropriate) (Mentors Only: Select N/A) [Increased my grades]</t>
  </si>
  <si>
    <t>For Mentees Only: Since the beginning of this mentoring round, I have: (select any you feel appropriate) (Mentors Only: Select N/A) [Made more friends]</t>
  </si>
  <si>
    <t>For Mentees Only: Since the beginning of this mentoring round, I have: (select any you feel appropriate) (Mentors Only: Select N/A) [Feel more prepared for college]</t>
  </si>
  <si>
    <t>For Mentees Only: Since the beginning of this mentoring round, I have: (select any you feel appropriate) (Mentors Only: Select N/A) [Have more clarity regarding my career]</t>
  </si>
  <si>
    <t>For Mentees Only: Since the beginning of this mentoring round, I have: (select any you feel appropriate) (Mentors Only: Select N/A) [Understand how doing well in high school will help me reach my goals]</t>
  </si>
  <si>
    <t>For Mentees Only: Since the beginning of this mentoring round, I have: (select any you feel appropriate) (Mentors Only: Select N/A) [Have stronger ties with my family]</t>
  </si>
  <si>
    <t>For Mentees Only: Since the beginning of this mentoring round, I have: (select any you feel appropriate) (Mentors Only: Select N/A) [Better understand myself]</t>
  </si>
  <si>
    <t>For Mentees in their Junior Year Only: Did you narrow down some colleges and majors? Explain. Mentees in other grades and Mentors, please type N/A</t>
  </si>
  <si>
    <t>Do you have any suggestions for improvement for the SPEAK Mentorship mentoring program?</t>
  </si>
  <si>
    <t xml:space="preserve">Please leave some positive vibes for the SPEAK Mentorship team! </t>
  </si>
  <si>
    <t>Mentees Only: Since beginning the Mentoring Round, I have (Mentors Only: select N/A): [Row 16]</t>
  </si>
  <si>
    <t>Shainu George</t>
  </si>
  <si>
    <t>Mentee</t>
  </si>
  <si>
    <t>Yagna Pathak</t>
  </si>
  <si>
    <t>I liked visiting her workplace at Columbia University and exploring the different fields.</t>
  </si>
  <si>
    <t>I didn't like the fact that we had ten sessions with each mentor. At times it seemed a bit prolonged and repetitive. When I was a junior in the program there wasn't as many things happening in my life academically or socially so there wasn't a lot to talk about after six or seven sessions. However, when I was a senior writing essays and making college decisions I was more eager to talk to my mentor and ask for her advice.</t>
  </si>
  <si>
    <t>I definitely expanded on my network. Whether it be the the mentors I talked to for ten weeks long or the people that came to speak at my school, I made connections with a lot more people. I also became more knowledgeable about the different career options that were available for me. Living in an Indian household, I've been programmed to think that there were few options out there for me. But this program has definitely expanded my options.</t>
  </si>
  <si>
    <t>I don't necessarily have a success story with SPEAK although the whole process was quite rewarding for many different reasons. But I believe that SPEAK, whether it be through the fact I was now a club president or the recommendation letters you guys wrote, helped me get into my first choice college.</t>
  </si>
  <si>
    <t>I am looking towards being a physician or a physician's assistant. I have always been interested in science and still want to stick with this path. I am specifically leaning towards psychiatry or pediatrics.</t>
  </si>
  <si>
    <t xml:space="preserve">Macaulay Honors College at Brooklyn. My  major is biology or psychology (have not decided yet) I picked Macaulay Honors College because of the benefits such as free tuition and computer. It's location is convenient for me because I could get an apartment and have some independence but still come home over the weekends. I chose my major because I've always had a love for science. Recently because of my latest mentorship I've become increasingly interested in the way the brain works and the unconscious mind. </t>
  </si>
  <si>
    <t>I would allow the mentee and mentor have a mutual decision of how long they want the mentorship to be. Another suggestion would not to make mandatory journals every week because some times there wasn't a lot of things to write about for that week. Journals should be written in the beginning, at the end, and then every 2-3 weeks. I would also say that if the mentor continues to have clubs at her school there should be some changes to that process. It was difficult for me to get a lot of members to come to meetings when it was mostly just me speaking to them about things I wasn't really knowledgeable about. Finally, I would open up the mentorship to all races. As I was endorsing SPEAK to the rest of my school many girls became uninterested in attending the program because there friends weren't allowed to join. Although I understand SPEAK is focused on helping the girls of first generation families I feel like it is limiting a whole population of girls who are missing out on the opportunity. In order to expand SPEAK and make it more successful, I think it is important to make that major change.Also, I realized after agreeing to become an ambassador that my school was filled with mostly Chinese kids who weren't able to join SPEAK. Little things like this need to be taken into consideration before starting the program at a new school.</t>
  </si>
  <si>
    <t>Fatima Jawneh</t>
  </si>
  <si>
    <t>Seema Dixit</t>
  </si>
  <si>
    <t>I learned skills that I can use in the work force such as networking.</t>
  </si>
  <si>
    <t>When we got to communicate with our mentors</t>
  </si>
  <si>
    <t>When we had to take notes while speaking with our mentor</t>
  </si>
  <si>
    <t>I've changed by knowing how to interact with people better, especially when looking for an internship.</t>
  </si>
  <si>
    <t>One valuable take away I had was learning how to network with people in the field that I want to get into.</t>
  </si>
  <si>
    <t>I learned that being a pediatrician is not for me and I'm still considering what career I want to get into.</t>
  </si>
  <si>
    <t>I would like to continue doing SPEAK next year too😁</t>
  </si>
  <si>
    <t>Tatiana Nechaeva</t>
  </si>
  <si>
    <t>Mentor</t>
  </si>
  <si>
    <t>Begayim Makenova</t>
  </si>
  <si>
    <t xml:space="preserve">Process is well supported by Speak. Girls are appreciative of having a mentor. </t>
  </si>
  <si>
    <t>Connecting with mentee regarding common cultural aspects and acclimation process to leaving in a new environment.</t>
  </si>
  <si>
    <t>Somewhat</t>
  </si>
  <si>
    <t xml:space="preserve">My mentee  has joined LinkedIn and ready for professional networking. </t>
  </si>
  <si>
    <t xml:space="preserve">Better internet connection with be helpful. </t>
  </si>
  <si>
    <t>Keep up a good work !</t>
  </si>
  <si>
    <t>Karyn JeanJacques</t>
  </si>
  <si>
    <t>Neha Khorana</t>
  </si>
  <si>
    <t>She told me everything i needed to know about college</t>
  </si>
  <si>
    <t>Ecerything</t>
  </si>
  <si>
    <t>I’m more organized</t>
  </si>
  <si>
    <t>How to be organized</t>
  </si>
  <si>
    <t>Psychology because I would love to speak to people and understand what’s going on in their minds and lives</t>
  </si>
  <si>
    <t xml:space="preserve">L’union fait la force </t>
  </si>
  <si>
    <t xml:space="preserve">Neha Khorana </t>
  </si>
  <si>
    <t>Karyn Jean</t>
  </si>
  <si>
    <t xml:space="preserve">I feel that the information that was supposed to be discussed with my mentee was not helpful for her or for our mentorship relationship. The modules including problem solving, communication and time management seemed very elementary for my mentee, as she has already done quite well with these skills as evidenced by her high grades. In contrast, she seemed to be lacking guidance on topics such as career and colleges, which is what I spent most of my time speaking to her about. I feel that the curriculum set out for these young girls should be tailored toward their specific needs as opposed to being established before even speaking with the mentee. For Karyn, I have spent our time helping her learn about what college is, options that she may want to consider and what college life entails. </t>
  </si>
  <si>
    <t xml:space="preserve">I enjoyed building a relationship with Karyn and hearing her enthusiasm about college. </t>
  </si>
  <si>
    <t xml:space="preserve">I did not enjoy completing the modules as I felt they were not helpful for my mentee and it created a situation where we were forced to discuss topics that were not applicable to her, rather than focusing on her specific needs and the issues that are most important to her (e.g. college). </t>
  </si>
  <si>
    <t xml:space="preserve">This experience reinforced the importance of tailoring our approach to meet the specific needs of individuals, as opposed to using a "one size fits all" model. </t>
  </si>
  <si>
    <t xml:space="preserve">Karyn was able to create an Excel spreadsheet for the first time that helped her organize information that she had gathered about in-state colleges. She was encouraged to use Excel as a way to manage information in her academic as well, especially when studying for big tests. </t>
  </si>
  <si>
    <t xml:space="preserve">Inner city schools do not provide all of the appropriate guidance or resources necessary for students to excel; they are overworked!  </t>
  </si>
  <si>
    <t xml:space="preserve">I would only consider being a mentor for subsequent rounds, if I was allowed to help my mentee with issues pertaining to college applications, etc as opposed to basic skill acquisition. These students are missing crucial guidance and mentorship that is essential to their success beyond high school. </t>
  </si>
  <si>
    <t xml:space="preserve">I mentioned them above. </t>
  </si>
  <si>
    <t xml:space="preserve">y'all are doing some great work and are certainly having a very positive impact on these young women! </t>
  </si>
  <si>
    <t>Jessica Castillo</t>
  </si>
  <si>
    <t>They were met because my mentor made sure I didn't have any question after each session which was one of my expectations. I also learned a lot when it come to communications and learning it was really intersting.</t>
  </si>
  <si>
    <t>What I enjoyed the most  of mentoring is that I had someone to talk to my mentor where I can ask questions where I'm sure they can be answered</t>
  </si>
  <si>
    <t xml:space="preserve">What I enjoyed the least is the sessions I had to miss because of the miscommunications </t>
  </si>
  <si>
    <t>I had changed when I came to my presentations skills because I know now how to present better and to better speak to an audience</t>
  </si>
  <si>
    <t>The value of time and commitment</t>
  </si>
  <si>
    <t>I wanted to be a doctor because the idea of learning medicine really interested me.</t>
  </si>
  <si>
    <t>Cristal Davidson</t>
  </si>
  <si>
    <t>Astha Rajvanshi</t>
  </si>
  <si>
    <t>Yes because I got closer in choosing my desired career.</t>
  </si>
  <si>
    <t>Talking about things that would benefit me.</t>
  </si>
  <si>
    <t>Somewhat because I did get a little more confident.</t>
  </si>
  <si>
    <t>Work hard but don't stress yourself</t>
  </si>
  <si>
    <t>I am leaning towards be a book editor mostly because I don't think I'm creative enough to be an author and love creative writings.</t>
  </si>
  <si>
    <t>We're doing a good job so far!</t>
  </si>
  <si>
    <t xml:space="preserve">Begayim Makenova </t>
  </si>
  <si>
    <t xml:space="preserve">Tatiana Nechaeva </t>
  </si>
  <si>
    <t>She answered on many of my questions and gave me the feedback .</t>
  </si>
  <si>
    <t>Mentor advice and feedbacks.</t>
  </si>
  <si>
    <t>Interaptions during the sessions.</t>
  </si>
  <si>
    <t>I am more certain about my career path.</t>
  </si>
  <si>
    <t xml:space="preserve">I need to plan ahead. </t>
  </si>
  <si>
    <t xml:space="preserve">The speak mentor ship helped me gain more confidence because of the professional environment. </t>
  </si>
  <si>
    <t xml:space="preserve">I have a linked in account and now I can expand my network and connect to many people. </t>
  </si>
  <si>
    <t>I realized that the career as a banker might not be for me and that I would want for be involved in Sciences.</t>
  </si>
  <si>
    <t>The speak mentor ship was a valuable experience. Thank you for empowering so many girls.</t>
  </si>
  <si>
    <t xml:space="preserve">Ayoko Kessouagni </t>
  </si>
  <si>
    <t>Jennifer Chowdhury</t>
  </si>
  <si>
    <t>Yes, because the experience I wanted to gain from the mentoring sessions is what I got.</t>
  </si>
  <si>
    <t>Talking about different parts of the writing career.</t>
  </si>
  <si>
    <t>Rescheduling the sessions.</t>
  </si>
  <si>
    <t>My mindset as grown and now I have a better understanding of the career I want to pursue.</t>
  </si>
  <si>
    <t>I didnt really learn anything new about myself.</t>
  </si>
  <si>
    <t>I got into the Rotary Exchange Program to Japan, so I will be going to Japan this summer.</t>
  </si>
  <si>
    <t xml:space="preserve">I learned that I have many choices to what I want to do in the writing career. </t>
  </si>
  <si>
    <t>I want to become a professional writer because I love literature.</t>
  </si>
  <si>
    <t>weeeina@gmail.com</t>
  </si>
  <si>
    <t>Weina Chen</t>
  </si>
  <si>
    <t>Vanessa, Maria</t>
  </si>
  <si>
    <t>I thought that we were able to effectively mentor via Google Hangouts and on the phone. Vanessa and Maria are both very sweet and I think they were attentive during our sessions. I hope I was able to help guide them!</t>
  </si>
  <si>
    <t>I liked hearing about their days and what's been going on in their lives. I got positive feedback on the highlights/lowlights sharing that I do at the beginning of the sessions so I think I will continue doing that.</t>
  </si>
  <si>
    <t xml:space="preserve">Technological issues were challenging. I wish there was a more stable environment for the sessions and the ability to screenshare. We went off the lesson plan a bit for the later lessons because I was going to go over Google docs. But we had a lot of career Q&amp;A to discuss so there was plenty to talk about. </t>
  </si>
  <si>
    <t>I've talked with quite a few people regarding undocumented students and have been thinking a lot about their futures. Though I didn't have this conversation with either of my mentees, I feel better prepared and have a deeper understanding of their situation so that in the future if I do have to offer guidance to an undocumented student, I would know more of what to say and where to look.</t>
  </si>
  <si>
    <t>I loved the thoughtful Valentine's Day letter that I received from Maria</t>
  </si>
  <si>
    <t>You guys are doing awesome! Hope you eat some delicious chocolate today :)</t>
  </si>
  <si>
    <t>vgarcia21202@gmail.com</t>
  </si>
  <si>
    <t xml:space="preserve">Vanessa Garcia </t>
  </si>
  <si>
    <t xml:space="preserve">Dr.Natatlie Miller </t>
  </si>
  <si>
    <t>My mentor covered everything I needed and wanted as a mentee. She helped out with finding colleges,scholarships and even helped me find a place to volunteer to get experience for the veterinary field.</t>
  </si>
  <si>
    <t>I enjoyed the college searching, it helped me realize that there are many colleges with a "Pre-veterinary" program, to help me get into med school.</t>
  </si>
  <si>
    <t>The part I least enjoyed were the reflections, it took time to write down and to listen to the next topic my mentor was explaining.</t>
  </si>
  <si>
    <t xml:space="preserve">It opened my eyes to many college opportunities and scholarships. It increased my confidence. </t>
  </si>
  <si>
    <t>I learned that I'm capable of succeeding and getting into my dream college. In a way I found myself and realized how important it is to work hard now,so that your successful in the future.</t>
  </si>
  <si>
    <t>I have found two colleges that I'm very interested in, I am very relieved that I have found two colleges that fit me.</t>
  </si>
  <si>
    <t>I have no other success stories.</t>
  </si>
  <si>
    <t>Continue to work and volunteer, get experience so that when your off getting your veterinary degree you will have some background knowledge and experiences to make it easier.</t>
  </si>
  <si>
    <t xml:space="preserve">I've decided to go into the veterinary  field, I've learned that it's not an easy path to go through; study, reading and being hands on is crucial while studying this path,  but it will all be worth it. </t>
  </si>
  <si>
    <t>One suggestion would be organization, it would be helpful of things were planned out and more organized for the mentees, also if things aren't planned last minute,because sometimes as students we don't have the time to drop what were doing, and put the program as a priority. Planning in ahead of time will make everything easier for the mentees.</t>
  </si>
  <si>
    <t>This program was very useful and I will be sure to use all the advice my mentor had given me.</t>
  </si>
  <si>
    <t>nwamaka.ejebe@gmail.com</t>
  </si>
  <si>
    <t>Nwamaka Ejebe</t>
  </si>
  <si>
    <t>Jada Jones</t>
  </si>
  <si>
    <t xml:space="preserve">I'll list briefly here the pros and cons of my SPEAK experience. 
PROS
-I was impressed with how SPEAK structured the content of its mentoring sessions. It seems like the structure will provide a very meaningful experience to the mentee.
-I was grateful that Hetal understand that scheduling and rescheduling my sessions with Jada was not a good use of my time and that she apologized for the situation and impressed upon Jada that she needed to be more responsible. 
CONS
-I only had one session with Jada.  It seems like she was not quite ready for the obligations of the program.  
-Part of the problem was also the time difference.  I suggest that SPEAK flag the timezone problems at the very beginning of the recruitment process, and only take people outside the Western Hemisphere after having a conversation about the timing. 
-I had to expend some time and energy into filling out the SPEAK programs forms and undergo an interview, and in the end, I only had one mentoring session.  Seems like my time/effort used to fill out the forms was wasted.  
-I suggest SPEAK streamline the forms at the beginning.  You should make it less time-consuming for mentors to sign-on.  You can ask them to put time and effort into coming up with mentoring content, but don't ask tons of written questions for topics that aren't essential.  Leave that for the interview. </t>
  </si>
  <si>
    <t xml:space="preserve">See above. </t>
  </si>
  <si>
    <t>See above.</t>
  </si>
  <si>
    <t>Fatima.Jawneh2@gmail.com</t>
  </si>
  <si>
    <t>I chose my</t>
  </si>
  <si>
    <t>Meeting with my mentor every friday</t>
  </si>
  <si>
    <t>Writing down notes</t>
  </si>
  <si>
    <t>My ability to interact with other people has grown</t>
  </si>
  <si>
    <t>I learned that I am a very strong speaker</t>
  </si>
  <si>
    <t>I learned how to network with other people</t>
  </si>
  <si>
    <t>I learned that becoming a doctor isn't for me, but I am interested in Liberal arts. I decide to go overseas to play women's professional basketball.</t>
  </si>
  <si>
    <t>I would love to continue this program next year</t>
  </si>
  <si>
    <t>monique@speakmentorship.org</t>
  </si>
  <si>
    <t>Monique Lawrence</t>
  </si>
  <si>
    <t>Chevon Drew</t>
  </si>
  <si>
    <t>Chevon and I spoke about my career a bit, however, I expected us to get more in depth about it but due to the upcoming event at Harvard university, we switched up a bit.</t>
  </si>
  <si>
    <t>I enjoyed every moment with chevon, I feel like we have a lot  in common which made it easier for us to connect.</t>
  </si>
  <si>
    <t>Chevon and I never had a dull moment. My dull moments were probably when I missed sessions with her.</t>
  </si>
  <si>
    <t>Having chevon be my mentor, a person that looks like me and understands me has brought me to myself. Meaning she had brought my energy and confidence to life again.</t>
  </si>
  <si>
    <t>Throughout this mentoring program I’ve realized that I was actually in an unbelievably strange state of mind, I didn’t know this until I started opening up to chevon, because then I felt the difference, I went from one level of being shy and uncomfortable to being one and two steps further.</t>
  </si>
  <si>
    <t>Having a mentor that has similar backgrounds to mine, and who can relate to me and my situations has brought me to the place of not wanting any other female immigrant to feel the discomfort and discrimination that I felt. Back in my old school, I was so eager to raise my hand high in the class regardless if I get the answer wrong or not, I was outspoken and so comfortable, but for some reason when I came here, to the USA, I tended to leave my culture and basically the way I use to live in Guyana without even noticing until I spoke with my mentor. So, since I’ve left my self esteem and confidence in guyana, I use to think that because the kids born and grew up here, they know way more than me, their ideas are way smarter than mine, and their thoughts and suggestions would be more useful to others than mine. So because of my mindset, I use to lay low and let everything flow and pass me by, but then my guidance councilor had placed me and a few other immigrants in a classroom with a strange woman sent by an organization sitting inside waiting. Hetal Jani had camoe to our school and she started speaking about how difficult is for immigrants to actually fit in and be acceptable to society. Soon after a couple of appointments, I was assigned a mentor, a mentor who was basically another me in so many different ways, chevon Drew. It was so easy for me to connect with her since we relate well with each other, after multiple sessions with her, then I had realize that I wasn’t myself, because after talking to her I started participating more in class and being more communicative to people. Thank you SPEAK!</t>
  </si>
  <si>
    <t>A valuable takeaway from my experience is when I was thought to be myself and be confident when I speak to people or when I’m asked a question. Also, I was thought and given suggestions on how to react to people that triggers me.</t>
  </si>
  <si>
    <t>I would like to become a social worker in the field whereby their goal is to help with the welfare and other issues of our young people. I’m the other hand, I want to have my own organization where my only goal will be to build and rebuild the minds of women in the world, because I believe that there are girls/women walking around with the cutest and brightest smiles on their faces but have silent cries on the inside, girls that are struggling with low self esteem, girls that had their innocence taken away by their stepdads or uncles or even strangers, girls that are stuck between the thoughts of living or ending their lives, and those who are in abusive relationships. Later on, I’ll institute the same for the young men. Their voices must be heard!</t>
  </si>
  <si>
    <t>I’m a sophmore.</t>
  </si>
  <si>
    <t>The mentors should meet face to face with me tees instead of video calls.</t>
  </si>
  <si>
    <t>knowing that you guys have your personal family lives, nd that you’re still making the time to address immigrants of colored backgrounds, it’s a privilege to be apart of your priority! Thank you so much SPEAK Mentorship, YOU GUYS ROCK!!!!!</t>
  </si>
  <si>
    <t>nataliemillervmd@gmail.com</t>
  </si>
  <si>
    <t>Natalie Miller</t>
  </si>
  <si>
    <t>Vanessa Garcia</t>
  </si>
  <si>
    <t>I think I helped her to understand the pathways forward into veterinary medicine a little better.  Also tried to engage her in organizations near her home where she could volunteer.</t>
  </si>
  <si>
    <t xml:space="preserve">Getting to know Vanessa and seeing her grow, even in a few short weeks.  </t>
  </si>
  <si>
    <t>Some of the skills I was trying to teach were hard to do or even talk about.  Sometimes I felt like I was just talking and having a hard time getting her involved in the discussion, and it was hard to tell if the skills were too "common sense" or if she was a little difficult to engage at times.  Some days I felt like I was doing all the talking, but it was definitely rewarding as she became much more engaged and outgoing as the sessions went on.</t>
  </si>
  <si>
    <t>It has been really good to reflect on my path and to feel like I can do some good helping other girls find their own pathways forward.</t>
  </si>
  <si>
    <t>I really enjoyed mentoring</t>
  </si>
  <si>
    <t xml:space="preserve">Understanding the challenges that she faces in her path towards college and career- somewhat different from mine!
</t>
  </si>
  <si>
    <t>It would be helpful to know what else the mentees are doing in the program as we go along, to tie in our discussions with what else they are doing.</t>
  </si>
  <si>
    <t>This is a great program- thank you for running it!</t>
  </si>
  <si>
    <t>ashagnair@gmail.com</t>
  </si>
  <si>
    <t>Asha Nair</t>
  </si>
  <si>
    <t>Daya Stanley</t>
  </si>
  <si>
    <t xml:space="preserve">I expected to connect and share useful skills with my mentee, which I feel occurred. </t>
  </si>
  <si>
    <t xml:space="preserve">Meeting Daya, tailoring our mentoring sessions to her particular interests and needs. </t>
  </si>
  <si>
    <t xml:space="preserve">Scheduling mentoring sessions during the school day was difficult. </t>
  </si>
  <si>
    <t xml:space="preserve">I value the formal mentorship process more, and recognize the more detailed complexities. </t>
  </si>
  <si>
    <t>That I greatly enjoy interacting with the high-school age demographic ( something I did not feel previously)</t>
  </si>
  <si>
    <t xml:space="preserve">Getting the chance to spend time with Daya, learn about her goals and aspirations, and just her everyday life. </t>
  </si>
  <si>
    <t xml:space="preserve">That with some patience, and open-mindedness, both the mentee and mentor can share a special, mutually-beneficial experience and learn from each other. </t>
  </si>
  <si>
    <t>Working with SPEAK has been an enriching, educational, fun experience. Keep it up and THANK YOU!</t>
  </si>
  <si>
    <t>gabriellabella17@gmail.com</t>
  </si>
  <si>
    <t xml:space="preserve">Gabriella Bella </t>
  </si>
  <si>
    <t xml:space="preserve">N/a </t>
  </si>
  <si>
    <t xml:space="preserve">Lauren Varga </t>
  </si>
  <si>
    <t xml:space="preserve">With Lauren I was able to gain so maybe useful skills and gain knowledge about a career surrounding advertisement. I Was inspired to take major steps forward in my own work and personal goals I believe With this experience I was Able to not only able to grow as a student but also as an individual. </t>
  </si>
  <si>
    <t xml:space="preserve">Getting to know Lauren and gaining new knowledge/skills. </t>
  </si>
  <si>
    <t xml:space="preserve">Nothing! I liked all of it </t>
  </si>
  <si>
    <t xml:space="preserve">I feel I have become more confident in myself and also inspired to take steps forward in my own community for example starting a club in my school! </t>
  </si>
  <si>
    <t xml:space="preserve">I learned that I am Scared to go out of my comfort zone but moving forward I such push myself to try out new things and take a risk </t>
  </si>
  <si>
    <t xml:space="preserve">During a session with Lauren, she had me create a presentation about a possible club I could develop in my school and after she recommended that I try to create it. After that session, I began to work on creating the club connected to a dog shelter to help out! </t>
  </si>
  <si>
    <t xml:space="preserve">Learning it is okay to push yourself out of your comfort zone and if you want something go for it. </t>
  </si>
  <si>
    <t xml:space="preserve">Prior to the experience, I never considered advertising as an option but moving forward I think it is a possibly for a career I would like to persue </t>
  </si>
  <si>
    <t xml:space="preserve">Communications and media studies with focused on aspects of advertising! </t>
  </si>
  <si>
    <t xml:space="preserve">I have learned so much from this program so far and am so excited for the next sessions to learn more! Thank you so much for this opportunity! </t>
  </si>
  <si>
    <t>seemadixit@gmail.com</t>
  </si>
  <si>
    <t>Seema dixit</t>
  </si>
  <si>
    <t>Jessica Castillo, Fatima Jawneh</t>
  </si>
  <si>
    <t>I think I need to get the training that I missed last time to be better prepared and need to get used to the logistics</t>
  </si>
  <si>
    <t xml:space="preserve">Encouraging young students who are hard working want to do well, have goals and ambitions. Interacting with them to share values, experiences and expertise. </t>
  </si>
  <si>
    <t>logistics, not having appropriate connections for calling/video conferencing,  lot of noise disturbances?</t>
  </si>
  <si>
    <t>Yes definitely. Learnt some about young adults</t>
  </si>
  <si>
    <t>Reassurance that I am able to share experiences and knowledge that is of value to somebody</t>
  </si>
  <si>
    <t xml:space="preserve">There is a need amongs the hard working young adults who are not privileged to have the experiences and background and are willing to learn. </t>
  </si>
  <si>
    <t xml:space="preserve">Ongoing logistics  can be improved for sure (that I know are being worked on). </t>
  </si>
  <si>
    <t>Keep up the good work</t>
  </si>
  <si>
    <t>shainu17@aol.com</t>
  </si>
  <si>
    <t>Keyuri Patel</t>
  </si>
  <si>
    <t>It was good to become exposed to different jobs. However, there were a few setbacks.</t>
  </si>
  <si>
    <t>I enjoyed visiting the workplace of my mentors and getting advice from them.</t>
  </si>
  <si>
    <t>I didn’t like how there were journal entries and how there had to be a meet up every week. One hour a week every week is a lot of time and leads to repetitive conversations.</t>
  </si>
  <si>
    <t>I am more exposed to different fields.</t>
  </si>
  <si>
    <t>Ability to be a leader</t>
  </si>
  <si>
    <t>I appreciate getting advice from my mentors during the college process. Whether it be telling me where to apply or writing recommendations for me, my mentors were very helpful.</t>
  </si>
  <si>
    <t>How to be a leader</t>
  </si>
  <si>
    <t>I learned that I enjoy psychology and working with children. I also learned that I don’t like the fast paced environments similar to the emergency room.</t>
  </si>
  <si>
    <t>Susan Philapose</t>
  </si>
  <si>
    <t>azzureholland11@gmail.com</t>
  </si>
  <si>
    <t>Ecstacy Holland</t>
  </si>
  <si>
    <t>Anitha Pai</t>
  </si>
  <si>
    <t>I got to have the questions concerning my future answered the best was possible. Also using people in my community to help me become what I want to be.</t>
  </si>
  <si>
    <t>Being able to connect not only on a professional level but personal as well.</t>
  </si>
  <si>
    <t>When our meeting would be interrupted due to the Wi-Fi</t>
  </si>
  <si>
    <t>I have changed because I see things in a completely different light. And I have grown to take responsibility for my actions</t>
  </si>
  <si>
    <t xml:space="preserve">That i am more capable than i think i am . </t>
  </si>
  <si>
    <t>When my mentor came to see me in person even thuogh she already had a busy schedule. We both got a chance to talk about things that we both took a mutual liking to.</t>
  </si>
  <si>
    <t>Take advantage of your resources around you as a way to network for your success .</t>
  </si>
  <si>
    <t>teaching because education is important  and teaching children os super fun!!</t>
  </si>
  <si>
    <t xml:space="preserve"> In my opinion the speak program doesn't need any improvement.</t>
  </si>
  <si>
    <t>speak is a wonderful program and should continue to teach your girls to be career- wanting powerful women.</t>
  </si>
  <si>
    <t>cristal@speakmentorship.org</t>
  </si>
  <si>
    <t>Lauren Varga</t>
  </si>
  <si>
    <t xml:space="preserve">I learned many skills that I would need in the future like doing a resume and how to probably structure and presentation and the right ways to present. </t>
  </si>
  <si>
    <t xml:space="preserve">Making the presentation because I got to write about something I was passionate about. </t>
  </si>
  <si>
    <t>Having to present the presentation because i dislike having to but it was a valuable skill that I needed to know.</t>
  </si>
  <si>
    <t>I became a little better in presenting, having an idea on how jobs work in general and properly structuring a resume.</t>
  </si>
  <si>
    <t>I learned that take pride in what I do, so would carefully prepare for the things I do.</t>
  </si>
  <si>
    <t>Mentors</t>
  </si>
  <si>
    <t>One memorable moment would be going to Boston and getting to see the Ivy league schools,experiencing aocc event that opened my eyes to 
a lot of things, while also bondong with the other ambassadors.</t>
  </si>
  <si>
    <t>One valuable takeaway would be responsibility and handling schedules because of my mentor.</t>
  </si>
  <si>
    <t>I am still unsure on my career path but the skills that I have learned from my past and present mentors I think can be combined and would still be valuable in any job surrounding literature or any other path that o chose.</t>
  </si>
  <si>
    <t>Increased my grades, Understand how doing well in high school will help me reach my goals, Better understand myself</t>
  </si>
  <si>
    <t>Team work makes the dream work</t>
  </si>
  <si>
    <t>nishamathew00@gmail.com</t>
  </si>
  <si>
    <t>Nisha Mathew</t>
  </si>
  <si>
    <t>Gabriella Bella</t>
  </si>
  <si>
    <t>I wanted to share my experience in hopes of helping someone else one day.</t>
  </si>
  <si>
    <t>Having candid conversations with my mentee about what they hope to achieve in life and helping them lay the foundation to get there.</t>
  </si>
  <si>
    <t>The time commitment and technical delays.</t>
  </si>
  <si>
    <t>Its helped remind me of the challenges many immigrant children face today and how important it is to participate in programs like SPEAK to help young women along the way.</t>
  </si>
  <si>
    <t>That I really enjoy mentoring and feel like I'm making a difference.</t>
  </si>
  <si>
    <t>Friends of mentors</t>
  </si>
  <si>
    <t>This mentoring experience has reminded how important it is to network with people especially young people who might not have access to the right resources given their age, nationality, etc.</t>
  </si>
  <si>
    <t>I cannot participate in the next round.</t>
  </si>
  <si>
    <t>Better understand myself</t>
  </si>
  <si>
    <t xml:space="preserve">the survey asks a few questions for Mentees only but since its a required field the mentors have to answer them. I would add a check box that says N/A for mentors to select. </t>
  </si>
  <si>
    <t>Keep doing what your doing, and don't discouraged!! Looking forward to seeing this organization continue to grow and impact many more lives of young women.</t>
  </si>
  <si>
    <t>aurelia@speakmentorship.org</t>
  </si>
  <si>
    <t>Ayoko Kessouagni</t>
  </si>
  <si>
    <t>Nika Ankou</t>
  </si>
  <si>
    <t>My mentoring sessions were fine, I didn't really connect with my mentor although we are from the same country.</t>
  </si>
  <si>
    <t xml:space="preserve">Talking about today's issues and workplace situations </t>
  </si>
  <si>
    <t>We didn't talk much and didn't have questions to ask.</t>
  </si>
  <si>
    <t xml:space="preserve">No, I haven't changed necessarily </t>
  </si>
  <si>
    <t>I didn't really learn anything about myself, but i do know i like to work alone.</t>
  </si>
  <si>
    <t>SPEAK girls from other cities</t>
  </si>
  <si>
    <t xml:space="preserve">How to handle being in a team and workplace issues </t>
  </si>
  <si>
    <t>Professional writer, literature studies, and copy writing.</t>
  </si>
  <si>
    <t>Understand how doing well in high school will help me reach my goals</t>
  </si>
  <si>
    <t>Give mentees mentors that have careers associated with what the mentee wants their career to be, but is not directly the career.</t>
  </si>
  <si>
    <t>Always work hard</t>
  </si>
  <si>
    <t>pinkheartsanddiamonds@gmail.com</t>
  </si>
  <si>
    <t>Kathurna Louis-Jean</t>
  </si>
  <si>
    <t>Flavia Valduvia</t>
  </si>
  <si>
    <t>The program was valuable but not for me because the skills mentioned I had already knew about them so hearing them over just felt repetitive</t>
  </si>
  <si>
    <t>Taking notes about the skills</t>
  </si>
  <si>
    <t xml:space="preserve">When I would forget about my  speak notebook </t>
  </si>
  <si>
    <t>I understood myself better</t>
  </si>
  <si>
    <t>I learned that I can do anything as long as I put my mind to it</t>
  </si>
  <si>
    <t>Girls in my grade</t>
  </si>
  <si>
    <t>I defitnitley made a new friend and a bond through the speak network</t>
  </si>
  <si>
    <t>I learned that I am smarter than I think</t>
  </si>
  <si>
    <t>orthodontist is the career I’ve wanted from the start</t>
  </si>
  <si>
    <t>Made more friends, Understand how doing well in high school will help me reach my goals</t>
  </si>
  <si>
    <t>Mentors do a good job at bonding with the mentees</t>
  </si>
  <si>
    <t>Karmen Leung</t>
  </si>
  <si>
    <t>I enjoyed speaking with my mentor every friday</t>
  </si>
  <si>
    <t>Learned that I have time to think about my career options</t>
  </si>
  <si>
    <t>I decided to join peace corps because I knewn that becoming a doctor wasn't something I wanted to do for the resr of my life. i know that I want to help people and travel the world.</t>
  </si>
  <si>
    <t>Increased my grades, Made more friends, Feel more prepared for college, Have more clarity regarding my career, Understand how doing well in high school will help me reach my goals, Have stronger ties with my family, Better understand myself</t>
  </si>
  <si>
    <t>Keeping inspiring</t>
  </si>
  <si>
    <t>reynaa2630@gmail.com</t>
  </si>
  <si>
    <t xml:space="preserve">Reina </t>
  </si>
  <si>
    <t>Tania Lopez</t>
  </si>
  <si>
    <t>I learned a lot from this experience, made me discover learn more things about myself I didn’t know I was able to do.</t>
  </si>
  <si>
    <t>Talking about our social life and the advice that was given.</t>
  </si>
  <si>
    <t>They’re was nothing really</t>
  </si>
  <si>
    <t>I’ve learned ways to communicate in different way and use judgement in different ways.</t>
  </si>
  <si>
    <t>That i love to help people a lot</t>
  </si>
  <si>
    <t>Our bond, i was able to trust Tania.</t>
  </si>
  <si>
    <t>I decided I wanted to work in the FBI field, and major in criminal justice since my mentor was an investigator I learned a lot from her and related to what I always wanted to do.</t>
  </si>
  <si>
    <t>Im loving the connection I’ve been having with my mentor.</t>
  </si>
  <si>
    <t>tanialopez0128@gmail.com</t>
  </si>
  <si>
    <t>Mimi Agbobli and Reina Guardado</t>
  </si>
  <si>
    <t>I felt like the structure of the mentoring sessions allowed me to teach lessons but also allowed me to build a friendship with the girls.</t>
  </si>
  <si>
    <t>The part of the mentoring that I enjoyed the most was seeing the girls feel more and more comfortable to talk to me about what was going on in school and what was stressing them. I liked that they were able to vent with me.</t>
  </si>
  <si>
    <t>The hardest part for me was getting the girls to ask questions.</t>
  </si>
  <si>
    <t xml:space="preserve">I see teenagers a bit differently, I didn't realize how exposed young people are to professional etiquette. </t>
  </si>
  <si>
    <t>I learned that I like my job more than I thought I did.</t>
  </si>
  <si>
    <t>Mentors select N/A</t>
  </si>
  <si>
    <t xml:space="preserve">At the end of the program, the girls told me that they would like to stay in touch with me. </t>
  </si>
  <si>
    <t>Both of my mentees became interested in doing internships at my job. Currently my job only takes college students but I hope that they can do the internship when they get to college (if they still wish to do so when the time comes).</t>
  </si>
  <si>
    <t xml:space="preserve">The main takeaway for me was that there isn't a perfect was of mentoring. The mentor has to adapt their lessons to the mentees experiences and questions.  </t>
  </si>
  <si>
    <t>I have a feeling that the SPEAK mentorship program  will create friendships that will last a very long time!</t>
  </si>
  <si>
    <t>jenxsalinas@gmail.com</t>
  </si>
  <si>
    <t>Jenny Salinas</t>
  </si>
  <si>
    <t xml:space="preserve">	 Begayim Makenova</t>
  </si>
  <si>
    <t>I think we satisfied the goal of allowing two very different individuals to meet and discuss items that will help the mentee engage better with their career aspirations.</t>
  </si>
  <si>
    <t>Just connecting and catching up with her and her school environment</t>
  </si>
  <si>
    <t>When the technology did not work</t>
  </si>
  <si>
    <t>I as the mentor have to really think how to connect with the individual sooner as it was a slow start but once we got going it was very powerful</t>
  </si>
  <si>
    <t xml:space="preserve">That I was nervous to talk to someone so young and that if I want to inspire a different generation I have to keep working on my approach. </t>
  </si>
  <si>
    <t xml:space="preserve">I like that Begayim really wanted tools that I actively use to improve my work load. She is very committed to her success. </t>
  </si>
  <si>
    <t xml:space="preserve">I would have loved to have had this opportunity when I was young. It really hit me when Begayim shared " I didn't even know your job existed!" It is only through sharing that we learn. </t>
  </si>
  <si>
    <t xml:space="preserve">At this time I am unavailable to pick up another mentee unfortunately </t>
  </si>
  <si>
    <t xml:space="preserve">Maybe better technology </t>
  </si>
  <si>
    <t xml:space="preserve">thank you for this wonderful experience. Giving back has always been important to me, and this was a fun, quick way to accomplish that. I wish the speak team and Begayim well in the future. </t>
  </si>
  <si>
    <t>tsuarez@nba.com</t>
  </si>
  <si>
    <t>Tiffany Suarez</t>
  </si>
  <si>
    <t>Sheyla</t>
  </si>
  <si>
    <t xml:space="preserve">Scheduling was a big issue </t>
  </si>
  <si>
    <t>didn't get to identify this</t>
  </si>
  <si>
    <t>not being able to build a relationship with my mentee</t>
  </si>
  <si>
    <t xml:space="preserve">I need consistency </t>
  </si>
  <si>
    <t>commitment and scheduling are key</t>
  </si>
  <si>
    <t>In the Fall</t>
  </si>
  <si>
    <t>Better scheduling and accoutability</t>
  </si>
  <si>
    <t>I think there is a lot of opportunity for this to be a great experience and want to give it another try.</t>
  </si>
  <si>
    <t>mimiagbobli123@gmail.com</t>
  </si>
  <si>
    <t>Mimi Agbobli</t>
  </si>
  <si>
    <t>I already knew what we were going to talk about.</t>
  </si>
  <si>
    <t xml:space="preserve">Talking </t>
  </si>
  <si>
    <t xml:space="preserve">Nothing </t>
  </si>
  <si>
    <t>Time management skills are better</t>
  </si>
  <si>
    <t>That i really want to be a lae professor</t>
  </si>
  <si>
    <t>Girls from other grades</t>
  </si>
  <si>
    <t>I learn how to manage my time</t>
  </si>
  <si>
    <t>Law because I see myself in a law field and because it is interesting.</t>
  </si>
  <si>
    <t>Not by much</t>
  </si>
  <si>
    <t xml:space="preserve">Great job </t>
  </si>
  <si>
    <t>karynjean32@gmail.com</t>
  </si>
  <si>
    <t>Karyn</t>
  </si>
  <si>
    <t xml:space="preserve">Helped us with college search and she was very helpful and supportive </t>
  </si>
  <si>
    <t>When we got to share our life experiences and just stuff about us</t>
  </si>
  <si>
    <t>I know certain colleges that I would like to attend</t>
  </si>
  <si>
    <t>The way I present myself</t>
  </si>
  <si>
    <t>Quite a bit</t>
  </si>
  <si>
    <t>Women empowerment is the future</t>
  </si>
  <si>
    <t>bmakenova@gmail.com</t>
  </si>
  <si>
    <t xml:space="preserve">Jenny Salinas </t>
  </si>
  <si>
    <t>I was thought a lot of valuable information regarding the role of the director of operations.</t>
  </si>
  <si>
    <t>Learning new skills .</t>
  </si>
  <si>
    <t>Google meet wouldn’t open a couple of times.</t>
  </si>
  <si>
    <t>I feel more confident about in making steps towards my college and career options.</t>
  </si>
  <si>
    <t>I like asking questions.</t>
  </si>
  <si>
    <t>I learned how to set goals and work on them.</t>
  </si>
  <si>
    <t>I’ve decided that a career in a medical field would be suitable for me as well. I’ve learned that there are careers that don’t need a specific degree.</t>
  </si>
  <si>
    <t xml:space="preserve">Thank you for your efforts! I feel more prepared for college with every session. </t>
  </si>
  <si>
    <t>preetithyparampil@gmail.com</t>
  </si>
  <si>
    <t>Preeti Thyparampil</t>
  </si>
  <si>
    <t>Jessica was a wonderful young lady to talk to and talk me a lot as well.</t>
  </si>
  <si>
    <t>Meeting an inspiring young woman.</t>
  </si>
  <si>
    <t>Struggling to make time in my day for the sessions.</t>
  </si>
  <si>
    <t>Yes.</t>
  </si>
  <si>
    <t>That I really enjoy talking to and learning from young people</t>
  </si>
  <si>
    <t xml:space="preserve">Smart and successful people find their way to through a variety of pathways. </t>
  </si>
  <si>
    <t>No. I would like to be considered for future rounds but am currently very busy.</t>
  </si>
  <si>
    <t>Great work! Keep going!</t>
  </si>
  <si>
    <t>mgunther2015@gmail.com</t>
  </si>
  <si>
    <t xml:space="preserve">Meghan Gunther </t>
  </si>
  <si>
    <t>Ecstacy</t>
  </si>
  <si>
    <t xml:space="preserve">I choose the answer above because when we would have sessions sometimes she was distracted and we couldnt really talk about what i had planned to talk about so we would always be falling behind </t>
  </si>
  <si>
    <t>I really liked getting to know her and being able to help with questions she had</t>
  </si>
  <si>
    <t xml:space="preserve">The part i did not like the most is that i would take time out of my day and change some stuff around to meet with her and she wouldnt show up </t>
  </si>
  <si>
    <t xml:space="preserve">Yes </t>
  </si>
  <si>
    <t>I did not really learn anything about myself during this time</t>
  </si>
  <si>
    <t xml:space="preserve">"Positive thinking will let you do everything better than negative thinking will.” </t>
  </si>
  <si>
    <t>jenniferkachler@gmail.com</t>
  </si>
  <si>
    <t>Jennifer Kachler</t>
  </si>
  <si>
    <t>Lylia Belbegra</t>
  </si>
  <si>
    <t>I was assigned 2 mentees but only 1 showed up, then that 1 only was available for 5 out of the 9 sessions.</t>
  </si>
  <si>
    <t>Being able to connect with a young girl in her ambitions for a career and college</t>
  </si>
  <si>
    <t>Not being able to connect with the mentee based on her schedule and ability to plan ahead</t>
  </si>
  <si>
    <t xml:space="preserve">I would like to think I am always growing and this experience was part of it, though it was cut short and without a conclusion. </t>
  </si>
  <si>
    <t>I want to help encourage &amp; support young women in my field</t>
  </si>
  <si>
    <t>When Lylia put in practice an action we spoke about many times which was emailing ahead of time if you need to cancel. It was double sided because she was unable to attend but at least after the the first time, she learned her lesson.</t>
  </si>
  <si>
    <t>In one of the last sessions we had together, Lylia really opened up and shared more becoming a conversation that was fun and fluid! We really connected and she shared experiences that connected to the material and her current life which was really cool.</t>
  </si>
  <si>
    <t>Paying it forward by sharing my experiences, skills and knowledge with young women aspiring towards a creative career</t>
  </si>
  <si>
    <t>Attendance was the biggest issue and most high school students are still heavily under their parent's schedule so possibly involving them in the scheduling process would help ensure they are able to attend.</t>
  </si>
  <si>
    <t>Really loved being apart of this female-driven team to inspire &amp; empower young women! It's a very challenging space to be in but this work needs to be done regardless of the "results" being all positive. Every year will get better and better with the lessons learned from mentors &amp; mentees so I'm glad to have been involved in this round!</t>
  </si>
  <si>
    <t>ayokokessouagni@gmail.com</t>
  </si>
  <si>
    <t>Mihira Karra</t>
  </si>
  <si>
    <t>We learned about speaking and create presentations.</t>
  </si>
  <si>
    <t>Creating our presentations and then presenting them.</t>
  </si>
  <si>
    <t>I haven't really changed.</t>
  </si>
  <si>
    <t>I didnt really learn anything i already knew</t>
  </si>
  <si>
    <t>After first presenting my presentation, I went back and fixed it again to make it better than the first time.</t>
  </si>
  <si>
    <t>To always prepare and present well.</t>
  </si>
  <si>
    <t>Journalism or becoming an author</t>
  </si>
  <si>
    <t>Yes, to journalism andcreative writing and I would like to go to Brown Uni. Those are my top choices.</t>
  </si>
  <si>
    <t>No, not really.</t>
  </si>
  <si>
    <t>Have a great summer!</t>
  </si>
  <si>
    <t>Reina Guardado</t>
  </si>
  <si>
    <t>Scheduling difficulties- was not able to complete all sessions</t>
  </si>
  <si>
    <t>Interacting with the mentee- sharing common experiences</t>
  </si>
  <si>
    <t>scheduling problems</t>
  </si>
  <si>
    <t>Interacting with the mentee has broadened my horizons- learned about the difficulties she is facing, that vary from those I faced growing up</t>
  </si>
  <si>
    <t xml:space="preserve">I am able to connect authentically with mentees more readily than I expected. </t>
  </si>
  <si>
    <t xml:space="preserve"> </t>
  </si>
  <si>
    <t xml:space="preserve">Mentorship has benefited me just as much, if not more, than the mentees I have </t>
  </si>
  <si>
    <t xml:space="preserve">Occasionally I was not able to join a meeting without the SPEAK representative already connect- likely a technical issue but it would be useful to not have to rely on that for meetings between mentor/mentee. </t>
  </si>
  <si>
    <t>Overall a great experience, enriching and positive!</t>
  </si>
  <si>
    <t>mvkarra24@gmail.com</t>
  </si>
  <si>
    <t>Mihira karra</t>
  </si>
  <si>
    <t>Cristal and Ayoko</t>
  </si>
  <si>
    <t>I was hoping to do more per each session.  Maybe the topics I chose were such that we did not need as many ch time. My mentees were very good.  So I should have chosen more topics and fewer sessions per topic.</t>
  </si>
  <si>
    <t>Getting to know the girls.</t>
  </si>
  <si>
    <t>Not sure how they felt about the sessions.</t>
  </si>
  <si>
    <t>Yes, I have learned a lot.</t>
  </si>
  <si>
    <t>I need to be more interesting.</t>
  </si>
  <si>
    <t>I think I really helped my mentees understand how to do slides well.</t>
  </si>
  <si>
    <t>I am not sure working with two at the same time was the best option for the girls.</t>
  </si>
  <si>
    <t>Have more topics per program.</t>
  </si>
  <si>
    <t>Girls were wonderful and the help from SPEAK staff was excellent.</t>
  </si>
  <si>
    <t>Begayim</t>
  </si>
  <si>
    <t>Begayim was engaged, timely, and asked great questions</t>
  </si>
  <si>
    <t>When Begayim asked questions that showed her understanding</t>
  </si>
  <si>
    <t>The timing was during my lunch :P</t>
  </si>
  <si>
    <t>Yes!</t>
  </si>
  <si>
    <t>I took a lot for granted during my high school times, especially in regards to college and career direction</t>
  </si>
  <si>
    <t>Mentoring while students are navigating college application process could be very valuable, as not everyone knows what to expect and how to go about doing it</t>
  </si>
  <si>
    <t>Potentially -- please follow up with me regarding this</t>
  </si>
  <si>
    <t>Thanks so much for being on top of things!</t>
  </si>
  <si>
    <t>Manisha Sareen</t>
  </si>
  <si>
    <t xml:space="preserve">Manisha always came prepared with her “lesson” planned out and we have conversations that really sparked new ideas as well as taught me what I joined Speak mentorship to learn. </t>
  </si>
  <si>
    <t xml:space="preserve">Getting to meet someone in an industry similar to what I an interested in and learn new skills. </t>
  </si>
  <si>
    <t xml:space="preserve">Struggles with planning meetings, sometimes double sessions was a lot at once. </t>
  </si>
  <si>
    <t xml:space="preserve">I have grown as a learner and person with valuable skills taught by women who are passing down skills from their own experience. </t>
  </si>
  <si>
    <t xml:space="preserve">I think I learned that I still have room to grow in places I always thought I was doing okay in. I think I also Learned despite being shy in school I can be a leader and I have the skills to do so. </t>
  </si>
  <si>
    <t xml:space="preserve">After going through Speak I learned that I can be a leader and gained the skills to be one inspiring me to start a club at school connected to community service as well as start a blog! </t>
  </si>
  <si>
    <t xml:space="preserve">Although I do have certain skills there is always more to learn and an area to improve within that skill. </t>
  </si>
  <si>
    <t xml:space="preserve">I think I was introduced to careers in communications and believe that is what I would Like to study in college. I really Connected with my mentors working in communications and learned they shared many of the same values and interests. </t>
  </si>
  <si>
    <t>Very much</t>
  </si>
  <si>
    <t xml:space="preserve">Yes I narrowed Down a major. Learning about careers and the paths my mentors took I have a better idea moving forward. </t>
  </si>
  <si>
    <t xml:space="preserve">Possibly increase the conversation about mentors network. My mentors never introduced me to people within their network. </t>
  </si>
  <si>
    <t xml:space="preserve">You guys are doing a great job! I loved being a part of the program and would love to work with the team in the future. Thank you so much for this opportunity and connecting me with such wonderful mentors! </t>
  </si>
  <si>
    <t>Scotney Young</t>
  </si>
  <si>
    <t>Scotney helped me contact forensics psychologist</t>
  </si>
  <si>
    <t>Speaking to scotney</t>
  </si>
  <si>
    <t xml:space="preserve">I know more about forensic psychology </t>
  </si>
  <si>
    <t>I’ve accomplished more than i thought</t>
  </si>
  <si>
    <t>Meeting people that may change my life for the better</t>
  </si>
  <si>
    <t>Forensic psychology because I’m interested in the criminal justice system</t>
  </si>
  <si>
    <t>Girls Rule</t>
  </si>
  <si>
    <t>manisha_sareen@yahoo.com</t>
  </si>
  <si>
    <t xml:space="preserve">All of the sessions consisted of great discussion points. </t>
  </si>
  <si>
    <t xml:space="preserve">I allowed Gabby to lead most of the mentoring sessions and really enjoyed listening to her responses. </t>
  </si>
  <si>
    <t xml:space="preserve">I felt that the time for the sessions was too long and found I was stretching out some of the sessions. </t>
  </si>
  <si>
    <t xml:space="preserve">This mentoring experience really took me back to the time I was applying for colleges and really gave me insight into the importance of a mentorship during this phase and transition period. </t>
  </si>
  <si>
    <t>I learned about the value of all of the experiences I have been through (for example: The college process) and how this can help someone else in their journey.</t>
  </si>
  <si>
    <t xml:space="preserve">Listening to Gabby talk about her career aspirations really inspired me because it was great to see the increase in her confidence through the sessions. </t>
  </si>
  <si>
    <t xml:space="preserve">In mentoring Gabriella I also understood the significance of constantly working on goals, and a vision. This helps one move forward in the right direction. </t>
  </si>
  <si>
    <t xml:space="preserve">Not the next round </t>
  </si>
  <si>
    <t xml:space="preserve">Learning a bit more about the mentee prior to the sessions (example: what do they want to learn or need the most help with so that the lesson plans can be tailored around that) would really help in writing out the session topics prior to the start of the mentorship. </t>
  </si>
  <si>
    <t xml:space="preserve">Thank you so much for putting together such an awesome program. This is incredibly helpful to everyone involved and is really needed. </t>
  </si>
  <si>
    <t>flaviavaduvadvm@gmail.com</t>
  </si>
  <si>
    <t xml:space="preserve">Flavia Vaduva </t>
  </si>
  <si>
    <t xml:space="preserve">Stephanie Arteaga and Kathurna Louis-Jean </t>
  </si>
  <si>
    <t xml:space="preserve">It was a great experience, but I think I will value it more when I improve my mentoring skills </t>
  </si>
  <si>
    <t xml:space="preserve">Getting to know the mentees and working through some of their questions or problems they mentioned </t>
  </si>
  <si>
    <t xml:space="preserve">Digital communication issues </t>
  </si>
  <si>
    <t xml:space="preserve">I feel that I can have some positive impact on the lives of other people </t>
  </si>
  <si>
    <t xml:space="preserve">I learned I have come a long way since high school but there is still a lot of room for growth and improvement! </t>
  </si>
  <si>
    <t xml:space="preserve">Hearing the mentees share their goals and achievements with confidence </t>
  </si>
  <si>
    <t>You can make a difference by taking the time to listen and trying to help others!</t>
  </si>
  <si>
    <t xml:space="preserve">Great program! Enjoyed getting to know the mentees and learning more about the process of mentoring </t>
  </si>
  <si>
    <t>scotney.young@gmail.com</t>
  </si>
  <si>
    <t>Scotney M Young</t>
  </si>
  <si>
    <t xml:space="preserve">Karyn Jean </t>
  </si>
  <si>
    <t xml:space="preserve">The round was cut short because of summer break </t>
  </si>
  <si>
    <t xml:space="preserve">Finding things my mentee enjoyed talking about </t>
  </si>
  <si>
    <t xml:space="preserve">changing schedule </t>
  </si>
  <si>
    <t xml:space="preserve">I've realized I have experiences that others might find valuable </t>
  </si>
  <si>
    <t xml:space="preserve">I feel like I have something to offer young people </t>
  </si>
  <si>
    <t xml:space="preserve">When I asked what my mentee knew about job interviews and she said you should never ask how much will you get paid and I was able to tell her that that was not necessarily true and explained how to professionally have that conversation during interviews because it is important you know what a position is worth before accepting it </t>
  </si>
  <si>
    <t xml:space="preserve">I taught Karyn about how to reach out to potential network contacts via email and connected her with three people who were in careers closer to what she is interested in. I told her she should reach out and if she ever needed support I would be happy to help. Even after we ended the mentoring round, she emailed me later to ask me to give her ideas on how to respond to some of the people that got back to her and we communicated via email to come up with professional responses together. </t>
  </si>
  <si>
    <t>Some times young people are dealing with issues different from what you went through, sometimes they want different things out of life but that doesnt mean you can't connect</t>
  </si>
  <si>
    <t>have a separate exit survey link for mentees/mentors</t>
  </si>
  <si>
    <t xml:space="preserve">Scotney and Hetal are great! ;-) </t>
  </si>
  <si>
    <t>We spoke about many stuff that have helped me.</t>
  </si>
  <si>
    <t>Talking about things that can help me.</t>
  </si>
  <si>
    <t>theres nothing really</t>
  </si>
  <si>
    <t>I have changed</t>
  </si>
  <si>
    <t>That i am capable of doing many things in life</t>
  </si>
  <si>
    <t>Still have the same idea of going into criminal justice.</t>
  </si>
  <si>
    <t>I love being able to learn about other careers. I wish we had different interships though.</t>
  </si>
  <si>
    <t xml:space="preserve">Weina Chen </t>
  </si>
  <si>
    <t xml:space="preserve">I learned many things about colleges, such as types of degrees, college tests, ways to choose a college, etc. </t>
  </si>
  <si>
    <t>Learning new skills like study skills and coding.</t>
  </si>
  <si>
    <t>My mentor and me had problems logging in to Google Meet.</t>
  </si>
  <si>
    <t xml:space="preserve">I feel more certain of what to expect in college </t>
  </si>
  <si>
    <t xml:space="preserve">I need to be more engaged in the community. </t>
  </si>
  <si>
    <t>Mentors, Friends of mentors</t>
  </si>
  <si>
    <t xml:space="preserve">I’ve learned about her study skills, and excited to use them in my junior year. </t>
  </si>
  <si>
    <t xml:space="preserve">I learned that there are many types of engineers out there.  As a user interface engineer she uses different coding such as Java Script , HTML and CSS languages to build websites. </t>
  </si>
  <si>
    <t>Thank you for your hard work!</t>
  </si>
  <si>
    <t xml:space="preserve">My expectations were met because we had valuable conversations that was relevant and beneficial to my life, such as how to properly make a presentation and  present it, and how to handle crucial conversations. My mentor also referred me to a tutor because I mentioned I wanted to get better math, as well as other if I wanted others help besides getting tutored. </t>
  </si>
  <si>
    <t xml:space="preserve">I enjoyed getting to do a presentation on anime since it is topic very much enjoy watching and talking about. </t>
  </si>
  <si>
    <t>Nothing, I thought everything that was said and done was a learning experience.</t>
  </si>
  <si>
    <t>My way of thinking when having conversations may have change a little because I realized that simple conversations can be turned into crucial conversations.</t>
  </si>
  <si>
    <t>I learned that I always need to speak up about my opinions more when working with other because I tend to keep silent to avoid conflict.</t>
  </si>
  <si>
    <t>Girls in my grade, Girls from other grades, SPEAK girls from other schools, SPEAK girls from other cities, Mentors, Friends of mentors</t>
  </si>
  <si>
    <t xml:space="preserve">I have succeed in taking on the role of being an ambassador to the best to my abilities, while working hard to increase my GPA and being more social for the school year. </t>
  </si>
  <si>
    <t>I need to be bolder.</t>
  </si>
  <si>
    <t>I realized my mentor's career path is not a path that I would consider simply because I cannot see myself working towards that career and being satisfied.</t>
  </si>
  <si>
    <t xml:space="preserve">Thank you for everything! I very much enjoyed being in leadership and I am very appreciative for they opportunity. </t>
  </si>
  <si>
    <t>Meghan Gunther</t>
  </si>
  <si>
    <t>I would say that my expectations were met because in this particular series of sessions I got to really know what it would be like to apply for the job of my choice and what it would be like to work in the classroom.</t>
  </si>
  <si>
    <t xml:space="preserve">The part of the mentoring session that I enjoyed was when I got to see what a resume looked like or the structure to make my own. </t>
  </si>
  <si>
    <t xml:space="preserve">I enjoyed it all except the virtual connection where we couldn't hear or either see each other.
</t>
  </si>
  <si>
    <t>My mentor has taught me to calm down and to not be so worried . So I've changed in a way to be both secure and protective of my future but to also relax and to continue to enjoy myself while working hard as well.</t>
  </si>
  <si>
    <t>I've learned that i an a strong minded person who is motivated but i can be very doubtful of the traits sometimes.</t>
  </si>
  <si>
    <t>There is no need to worry so much!</t>
  </si>
  <si>
    <t>I still want to pursue my career as a teacher.</t>
  </si>
  <si>
    <t>May you guys could come up with a date so that the mentees and mentors can meet each other in person.</t>
  </si>
  <si>
    <t xml:space="preserve">Keep up with what your doing , you are aspiring young women in our generation to be leaders and go for the career they have worked hard for. </t>
  </si>
  <si>
    <t>jcastillo553769@gmail.com</t>
  </si>
  <si>
    <t xml:space="preserve">Jessica Castillo </t>
  </si>
  <si>
    <t xml:space="preserve">because I learn more skills I'm going to use in the medical field </t>
  </si>
  <si>
    <t>Spending time with my mentor</t>
  </si>
  <si>
    <t>scheduling</t>
  </si>
  <si>
    <t>how to manage my time better</t>
  </si>
  <si>
    <t>Girls in my grade, Mentors</t>
  </si>
  <si>
    <t xml:space="preserve">learning how to communicate with a patient </t>
  </si>
  <si>
    <t>I want a job in the medical field that is less time consuming because at some point I want to have a family etc.</t>
  </si>
  <si>
    <t>n/s</t>
  </si>
  <si>
    <t>patience is key.</t>
  </si>
  <si>
    <t xml:space="preserve">Ecstacy Holland </t>
  </si>
  <si>
    <t>Tahsina Ahmed</t>
  </si>
  <si>
    <t>She really opened my eyes to the numerous amount of jobs/careers that I could have all at once</t>
  </si>
  <si>
    <t xml:space="preserve">When she would talk about her job and how communication and patience played a huge role in her number of work communities </t>
  </si>
  <si>
    <t>I enjoyed it all!</t>
  </si>
  <si>
    <t>Taught me that I should really start practicing communication skills because it going to be very important in the future.</t>
  </si>
  <si>
    <t xml:space="preserve">That I'm a bright young women that just needs help with talking and connecting with others. </t>
  </si>
  <si>
    <t>Girls in my grade, Girls from other grades</t>
  </si>
  <si>
    <t>I dont have one.</t>
  </si>
  <si>
    <t>Tahsina has taught me step out my comfort zone to achieve my goals.</t>
  </si>
  <si>
    <t>I DECIDED on being a teacher because I love yo teach and giving children the knowledge to become career seeking go getters like I want to become.</t>
  </si>
  <si>
    <t>Keep up the great work and thanks for all your help. This program is inspiring me to do my best at all cost.</t>
  </si>
  <si>
    <t>natalareidsmall@gmail.com</t>
  </si>
  <si>
    <t>Natala Reid Small</t>
  </si>
  <si>
    <t xml:space="preserve"> Monique Anderson</t>
  </si>
  <si>
    <t xml:space="preserve">Because missed some sessions </t>
  </si>
  <si>
    <t>When she was help me with the structures in essay that I didn’t know that were in essays</t>
  </si>
  <si>
    <t xml:space="preserve">When we didn’t talk about other topics </t>
  </si>
  <si>
    <t xml:space="preserve">To be more involved and time management </t>
  </si>
  <si>
    <t>That I can do anything or being anything if I put in my all and work hard</t>
  </si>
  <si>
    <t xml:space="preserve">That I was accepted to be in the honor society but even though I didn’t get in I’m still proud that I had that opportunity </t>
  </si>
  <si>
    <t xml:space="preserve">I don’t know what career I like or interesting in that match my interest </t>
  </si>
  <si>
    <t xml:space="preserve">I wasn’t a junior during my mentor session </t>
  </si>
  <si>
    <t xml:space="preserve">No, not really </t>
  </si>
  <si>
    <t xml:space="preserve">Keep doing what you doing to make girls all around the world know there’s a program for opportunities for girls like them </t>
  </si>
  <si>
    <t>lylia@speakmentorship.org</t>
  </si>
  <si>
    <t>Lilia</t>
  </si>
  <si>
    <t>Roopa and jennifer</t>
  </si>
  <si>
    <t xml:space="preserve">My mentors were really nice and really supportive </t>
  </si>
  <si>
    <t xml:space="preserve">Every part it was amazing </t>
  </si>
  <si>
    <t>I enjoy every part</t>
  </si>
  <si>
    <t xml:space="preserve">I became more mature and more confident </t>
  </si>
  <si>
    <t>That i am strong</t>
  </si>
  <si>
    <t xml:space="preserve">When i went to Harvard to present my workshop </t>
  </si>
  <si>
    <t xml:space="preserve">When i went to Harvard and i visited other university </t>
  </si>
  <si>
    <t xml:space="preserve">Dermatologist </t>
  </si>
  <si>
    <t>Thank you so much for having such a good program that helps immigrants girls.</t>
  </si>
  <si>
    <t>Lylia</t>
  </si>
  <si>
    <t>Roopa and Jennifer</t>
  </si>
  <si>
    <t>My mentors were really supportive and really nice</t>
  </si>
  <si>
    <t xml:space="preserve">I enjoyed every part it was truly amazing </t>
  </si>
  <si>
    <t>I enjoyed every part</t>
  </si>
  <si>
    <t xml:space="preserve">I became more confident and more mature </t>
  </si>
  <si>
    <t xml:space="preserve">That i am strong </t>
  </si>
  <si>
    <t>When me and two other speakgirls went to harvard to present our workshop</t>
  </si>
  <si>
    <t xml:space="preserve">My first chapter club session </t>
  </si>
  <si>
    <t>When we went to Harvard and visited other college and i had the chance to ask the question to the students who goes there</t>
  </si>
  <si>
    <t xml:space="preserve">Everything is perfect </t>
  </si>
  <si>
    <t>Thank you so much for having such an amazing program for immigrant girls.</t>
  </si>
  <si>
    <t>I have became a better person</t>
  </si>
  <si>
    <t xml:space="preserve">Everything </t>
  </si>
  <si>
    <t>I am more confident in my speaking skills.</t>
  </si>
  <si>
    <t>I hate certain jobs.</t>
  </si>
  <si>
    <t>Girls in my grade, Girls from other grades, Mentors</t>
  </si>
  <si>
    <t>Can't remember.</t>
  </si>
  <si>
    <t>Always stay ahead.</t>
  </si>
  <si>
    <t>Law and it had always been law.</t>
  </si>
  <si>
    <t>I narrow colleges that didn't truly fit my purposes.</t>
  </si>
  <si>
    <t>Nothing.</t>
  </si>
  <si>
    <t>Great job and continue being great.</t>
  </si>
  <si>
    <t>Natal ReId-Small</t>
  </si>
  <si>
    <t>Jessica Huang</t>
  </si>
  <si>
    <t xml:space="preserve">Because we didn’t have time to talk that much </t>
  </si>
  <si>
    <t xml:space="preserve">Her story </t>
  </si>
  <si>
    <t xml:space="preserve">None I can think of </t>
  </si>
  <si>
    <t xml:space="preserve">I’m not shy no more </t>
  </si>
  <si>
    <t xml:space="preserve">None </t>
  </si>
  <si>
    <t xml:space="preserve">To be more involved </t>
  </si>
  <si>
    <t xml:space="preserve">I’m not sure </t>
  </si>
  <si>
    <t xml:space="preserve">I wasn’t a junior during this program </t>
  </si>
  <si>
    <t xml:space="preserve">Keep it up </t>
  </si>
  <si>
    <t>sayyora2105@gmail.com</t>
  </si>
  <si>
    <t>Sayyora</t>
  </si>
  <si>
    <t>Sarah Lupberger</t>
  </si>
  <si>
    <t>I expected to learn a lot from this program and I wasn’t let down.</t>
  </si>
  <si>
    <t>Having heart to heart conversations with my mentor about things that were bothering me.</t>
  </si>
  <si>
    <t>Schedules because sometimes i has urgent things coming up and i missed a meeting.</t>
  </si>
  <si>
    <t>I feel like I’ve changed a lot because of the mentoring relationship. I feel more mature and my stupid confusing questions in the past are gone.</t>
  </si>
  <si>
    <t>I learned that I can do anything if I put my mind to it.</t>
  </si>
  <si>
    <t>One of my memorable moments was completing a group of school projects on time by following what my mentor thaught me. That was the first time i didn’t leave something for the last day.</t>
  </si>
  <si>
    <t>I learned how to realize what’s more important and what’s less important and also how to communicate with other people and create a bond.</t>
  </si>
  <si>
    <t>I’m thinking about becoming a doctor because with that job I can help people.</t>
  </si>
  <si>
    <t>Speak Mentorship makes things a lot easier if you go through with it.</t>
  </si>
  <si>
    <t>marifer22.com@gmail.com</t>
  </si>
  <si>
    <t>Maria Barrera</t>
  </si>
  <si>
    <t>My mentor introduced me to new skills, and taught me about very interesting things.</t>
  </si>
  <si>
    <t>When my mentor introduced new people who was related to my career</t>
  </si>
  <si>
    <t>Well, I best learned to explain myself and what I want to say more better, (to be specific, especially if you're talking a person who doesn't know nothing about what you're going to say).</t>
  </si>
  <si>
    <t>Being very confidenr</t>
  </si>
  <si>
    <t xml:space="preserve">Confidence </t>
  </si>
  <si>
    <t>At the end, I'm now interested in being a computer programmer because I would like to create programs for computers and other devices</t>
  </si>
  <si>
    <t>I'm very thankful for everything you did to help me... thank you so much!</t>
  </si>
  <si>
    <t>ballohfatuma1@icloud.com</t>
  </si>
  <si>
    <t>Fatuma Balloh</t>
  </si>
  <si>
    <t>Bhavna Agnihotri</t>
  </si>
  <si>
    <t xml:space="preserve">My mentor was was very helpful, she helped me understand the key to writing a good essay </t>
  </si>
  <si>
    <t xml:space="preserve">Conversation </t>
  </si>
  <si>
    <t xml:space="preserve">Not having enough time </t>
  </si>
  <si>
    <t xml:space="preserve">Learned new skills </t>
  </si>
  <si>
    <t>I can do anything I put my mind too</t>
  </si>
  <si>
    <t>Always remember to look over your work before tuning it in</t>
  </si>
  <si>
    <t xml:space="preserve">Education is key </t>
  </si>
  <si>
    <t>Lawyer, I learned that to become a lawyer you have to go to school and work hard</t>
  </si>
  <si>
    <t xml:space="preserve">No </t>
  </si>
  <si>
    <t>maddieramirez143@gmx.es</t>
  </si>
  <si>
    <t>vanessa</t>
  </si>
  <si>
    <t>I feel like I've grown as a person and learned so much thanks to my mentor.</t>
  </si>
  <si>
    <t>Talking to my mentor</t>
  </si>
  <si>
    <t>No being about to talk to my mentor in person.</t>
  </si>
  <si>
    <t>You, I have grown so much. I learned a lot of things I didn't know before. For example , the types of colleges and different careers.</t>
  </si>
  <si>
    <t>I am capable of learning a lot in a short period of time.</t>
  </si>
  <si>
    <t>Girls in my grade, Girls from other grades, Mentors, Friends of mentors</t>
  </si>
  <si>
    <t>Feeling the joy to speak with my mentor is something I will never forget.</t>
  </si>
  <si>
    <t>It was fun and interesting.</t>
  </si>
  <si>
    <t>Making new friends.</t>
  </si>
  <si>
    <t>neonatal nurse because I've wanted to be that since I was young.</t>
  </si>
  <si>
    <t xml:space="preserve"> it should be in person.</t>
  </si>
  <si>
    <t>This was an amazing experience. Hope SPEAK Mentorship success :).</t>
  </si>
  <si>
    <t xml:space="preserve">Monique Lawrence </t>
  </si>
  <si>
    <t xml:space="preserve">na </t>
  </si>
  <si>
    <t>Dorcas Adekunkle</t>
  </si>
  <si>
    <t>My expectation was beyond met, because it showed me about so much that can be done with the simple little communication mediums in terms of advertising your businesses etc. My mentor also thought me how to really express myself which was very much needed.</t>
  </si>
  <si>
    <t>Even though we had a few sessions only, I enjoyed every part of it because with little time, I gained a lot of knowledge and I'm sure she enjoyed our discussions too!</t>
  </si>
  <si>
    <t>We had to limit the amount of sessions which was partially my fault.</t>
  </si>
  <si>
    <t>Having mentors in both rounds took me to into the first stage of migrating, the part where it's very hard to fit in but yet still you are strong enough to make it through. Because of the mentoring relationships that I've created with my mentors, I felt comfortable making friends instead of acting as if I don't want anyone around me, I started participating in more activities and socializing more with my peers , and although this sounds as if it's suppose to be very easy to do, it wasn't. But knowing that there are people that always would try to build you up and inspire or motivate you, that push will push you up one step at a time to your success. So I'm very thankful for my mentors.</t>
  </si>
  <si>
    <t>throughout this mentoring relationship ive learned that i can be anything that i want to be, no matter where i am or how i was brought up.And ive learnt that the strength lies in you but when you associate yourself with people that care about you, like our mentors, it will definitely come alive in you.</t>
  </si>
  <si>
    <t>Going to Harvard University was one of my greatest memory ever since I have joined SPEAK. I've met girls like me from different states and cities, and presented there with my fellow ambassadors. At first I was very nervous and shy, but with the girl that I've met , my mentors and Miss Hetal, it was made unforgettable.</t>
  </si>
  <si>
    <t>After joining SPEAK, the first question that came to mind was will  the amount of essays that I had to write worth what I'll be gaining in this SPEAK whatever group? Well, it did because If I hadn't apply for it, I wouldn't have been such a good writer and I probably would've been at the bottom of my history class. But I did it! Thanks to SPEAK, because now I have no problem with the way I speak not interacting with my peers, now I'm able to laugh and enjoy with people that lives as far as philidelfia and other places. Honestly, never have I thought that it'll start nor end up like this.</t>
  </si>
  <si>
    <t xml:space="preserve">One valuable takeaway from my mentoring experience was Having a mentor that is similar to you in career and it culture etc but then realizing that it can also work the other way, because then you're able to learn and gain knowledge about other careers and cultures.
</t>
  </si>
  <si>
    <t>My set career was Bing in social work, having sessions with my first mentor, I have gotten deeper interest in it. Moving on to my second mentor, I then realize that I also wanted to be an entrepreneur. I figured that ivwanyed to be involved in both rather than one because I love business and I also want to be able to create a safe space for women that go through stuff like domestic violence, being raped and are afraid of telling parents because of trust issues , girls that are being disrespected and downgraded by boys resulting to a low self esteem. I want to hire a bunch of social workers, mentors and therapists then trade and/or sell products to benefit both myself and the young ladies that I help.</t>
  </si>
  <si>
    <t>I'm about to be a junior and the college that i have at the top of my list is Baruch College because it offers a variety of business coarses.</t>
  </si>
  <si>
    <t xml:space="preserve">As you continue to grow it'll be great if we can continue the program in our colleges. It'll be a great addition to the variety of amazing clubs that they already have. </t>
  </si>
  <si>
    <t>You guys are amazing, the experience that I had should be given to much more young girls like me. Your mentors are great and I'm happy that I was matched with those who I was matched with, because I had such a great experience with them which caused a tremendous change in my life, and I'll happily continue with you until the end. SPEAK YOU ROCK!</t>
  </si>
  <si>
    <t>Rounds Completed</t>
  </si>
  <si>
    <t>Program Fees Received</t>
  </si>
  <si>
    <t>App. payment Received</t>
  </si>
  <si>
    <t>Date/Time Submitted</t>
  </si>
  <si>
    <t>Email Submitted from</t>
  </si>
  <si>
    <t>Student Name</t>
  </si>
  <si>
    <t>Student Headshot</t>
  </si>
  <si>
    <t>Student Email</t>
  </si>
  <si>
    <t>Student Phone Number</t>
  </si>
  <si>
    <t>Student Social Media</t>
  </si>
  <si>
    <t>Parent Name</t>
  </si>
  <si>
    <t>Parent Relationship</t>
  </si>
  <si>
    <t>Parent Email</t>
  </si>
  <si>
    <t>Home Address</t>
  </si>
  <si>
    <t>Parent Home address</t>
  </si>
  <si>
    <t>Parent Phone</t>
  </si>
  <si>
    <t>School address</t>
  </si>
  <si>
    <t>School city/state</t>
  </si>
  <si>
    <t>Current Grade</t>
  </si>
  <si>
    <t>Report Card Copy</t>
  </si>
  <si>
    <t>Current GPA</t>
  </si>
  <si>
    <t>SPEAK Awareness</t>
  </si>
  <si>
    <t>Country of Origin</t>
  </si>
  <si>
    <t>Region of Origin</t>
  </si>
  <si>
    <t>Languages spoken</t>
  </si>
  <si>
    <t>Citizenship status</t>
  </si>
  <si>
    <t>Career Field of Interest</t>
  </si>
  <si>
    <t>Job Title of Interest</t>
  </si>
  <si>
    <t>Skills Possess</t>
  </si>
  <si>
    <t>Colleges/Unis of Interest</t>
  </si>
  <si>
    <t>Other Careers of interest</t>
  </si>
  <si>
    <t>Hope to Gain</t>
  </si>
  <si>
    <t>Adj. Describing Person</t>
  </si>
  <si>
    <t>Volunteering Exp.?</t>
  </si>
  <si>
    <t>Existing Resume?</t>
  </si>
  <si>
    <t>Had a job?</t>
  </si>
  <si>
    <t>Other activities</t>
  </si>
  <si>
    <t>What else should we know</t>
  </si>
  <si>
    <t>Application Fee Reply</t>
  </si>
  <si>
    <t>Guardian Consent Form</t>
  </si>
  <si>
    <t>Program Cost Reply</t>
  </si>
  <si>
    <t>DoB</t>
  </si>
  <si>
    <t>English Okay?</t>
  </si>
  <si>
    <t>Program Reqs.</t>
  </si>
  <si>
    <t>Other info</t>
  </si>
  <si>
    <t xml:space="preserve">First and Last Name </t>
  </si>
  <si>
    <t xml:space="preserve">Please upload a clear head shot of yourself in professional attire. You can take this image from a regular cell phone, but please be sure the image is clear and you are only taking the picture of yourself from your shoulders up. The background can be a white wall or a wall that has your school name on it. </t>
  </si>
  <si>
    <t xml:space="preserve">Your Email (You MUST possess a valid email with either gmail, yahoo, hotmail, or aol  for this program. The SPEAK team and mentors will communicate with you by email and you must check it frequently) </t>
  </si>
  <si>
    <t xml:space="preserve">Your Phone Number (You MUST possess a valid phone number for this program. The SPEAK team will communicate with you by text/call if you are needed for your mentoring session) </t>
  </si>
  <si>
    <t>Social Media - We promote the success of our mentees and make sure we are helping you develop a healthy social media profile. Additionally, we often post opportunities on our social media @SPEAKMENTORSHIP. Add your Facebook site (www.Facebook.com/Yourhandle), and/or your Twitter/IG handles where we can tag you for any accomplishments or opportunities. If you do not have any social media accounts, put N/A.</t>
  </si>
  <si>
    <t xml:space="preserve">Parent or Guardian First and Last Name </t>
  </si>
  <si>
    <t xml:space="preserve">Relationship to student </t>
  </si>
  <si>
    <t xml:space="preserve">Parent/Guardian Email </t>
  </si>
  <si>
    <t xml:space="preserve">Primary Home Address </t>
  </si>
  <si>
    <t xml:space="preserve">Parent/Guardian Home Address </t>
  </si>
  <si>
    <t>Parent/Guardian Phone Number (Home and Mobile) - Please provide two working numbers so that we may reach your parent or guardian for any communication or emergency</t>
  </si>
  <si>
    <t xml:space="preserve">Name of Current School </t>
  </si>
  <si>
    <t xml:space="preserve">Street Address of School </t>
  </si>
  <si>
    <t xml:space="preserve">City, State of School </t>
  </si>
  <si>
    <t xml:space="preserve">Your current grade </t>
  </si>
  <si>
    <t>Please upload a copy of your latest report card</t>
  </si>
  <si>
    <t xml:space="preserve">What is your current GPA? </t>
  </si>
  <si>
    <t>How did you hear about SPEAK Mentorship?</t>
  </si>
  <si>
    <t xml:space="preserve">What country did you or your parents come from? </t>
  </si>
  <si>
    <t xml:space="preserve">Please select the best category that represents you: (If you represent two areas, you may check at most two) </t>
  </si>
  <si>
    <t xml:space="preserve">What languages do you speak at home? </t>
  </si>
  <si>
    <t xml:space="preserve">What is your citizenship status? (this will not be used in any way publicly against you -- it will allow us to provide you with targeted assistance) </t>
  </si>
  <si>
    <t>Select one broad career field that is of most interest to you</t>
  </si>
  <si>
    <t>What is a specific job title you are most interested in learning about and/or pursuing (you may list more than one if you are undecided)?</t>
  </si>
  <si>
    <t xml:space="preserve">List three skills you possess that relate to your field of interest </t>
  </si>
  <si>
    <t xml:space="preserve">List 10 colleges that you are interested in or know about that will be good to consider to pursue your career of interest. If you are undecided about your career of interest, list 10 colleges you are interested in or know about </t>
  </si>
  <si>
    <t xml:space="preserve">List up to five other careers you are interested in (we may match you with mentors in these careers) </t>
  </si>
  <si>
    <t xml:space="preserve">What do you hope to gain by going through this program? </t>
  </si>
  <si>
    <t xml:space="preserve">What are three adjectives that describe the person you are and why? </t>
  </si>
  <si>
    <t xml:space="preserve">Are you involved in volunteering? If so, provide details. </t>
  </si>
  <si>
    <t xml:space="preserve">Have you ever created a resume? </t>
  </si>
  <si>
    <t xml:space="preserve">Have you ever had a job? </t>
  </si>
  <si>
    <t xml:space="preserve">What other kinds of activities offered by SPEAK Mentorship are you interested in? </t>
  </si>
  <si>
    <t xml:space="preserve">You will be matched according to your career interest first, and then by what you have told us about yourself. If there is anything else you would like to add, please feel free to do so now. </t>
  </si>
  <si>
    <t xml:space="preserve">If you are unable to pay the $20 application fee through the site, please inform us at info@speakmentorship.org to find out other options. </t>
  </si>
  <si>
    <t xml:space="preserve">Submit your Parent/Guardian Consent and Liability Release Form. </t>
  </si>
  <si>
    <t xml:space="preserve">I understand that the program costs $75, which includes the cost of the Mentee Workbook, a SPEAK t-shirt, and mentoring activities. If you are unable to pay the program fee cost, please indicate below. Not everyone who selects this option will receive financial assistance. Please only select this option if you are truly unable to afford the cost of this program. </t>
  </si>
  <si>
    <t xml:space="preserve">Date of Birth </t>
  </si>
  <si>
    <t>Are you comfortable communicating in English?</t>
  </si>
  <si>
    <t xml:space="preserve">I understand that if I am selected as part of the program, I will have to commit my time to meet my mentors for at least two consecutive complete mentoring rounds in order to graduate. Additionally, I understand that each mentoring round, I must sell 3 SPEAK Mentorship t-shirts as part of my fundraising requirement towards graduation. A failure to do either, would disqualify me from the program. Finally, I will be an active part of the SPEAK Chapter Club at my school and ensure I am learning from and contributing to my peer community. </t>
  </si>
  <si>
    <t>Hannah John</t>
  </si>
  <si>
    <t>https://drive.google.com/open?id=13XOZoDdPpUMYFZiHEedyAG_ef_mF8QQs</t>
  </si>
  <si>
    <t>hannahlizjohn@gmail.com</t>
  </si>
  <si>
    <t>267-778-7706</t>
  </si>
  <si>
    <t>Suma Bijoy</t>
  </si>
  <si>
    <t>sumabijoy@gmail.com</t>
  </si>
  <si>
    <t>530 Foster Street, Philadelphia, PA, 19116</t>
  </si>
  <si>
    <t>267-668-9516</t>
  </si>
  <si>
    <t>George Washington</t>
  </si>
  <si>
    <t>https://drive.google.com/open?id=1Bfg4ISxylFwmDz0lUifP5bkZ4WcSZD74</t>
  </si>
  <si>
    <t xml:space="preserve">Malayalam </t>
  </si>
  <si>
    <t xml:space="preserve">Nurse Anesthetist </t>
  </si>
  <si>
    <t xml:space="preserve">Organized, Good Listener, Creative </t>
  </si>
  <si>
    <t xml:space="preserve">Drexel, UPenn </t>
  </si>
  <si>
    <t xml:space="preserve">Anesthesiologist, Nursing </t>
  </si>
  <si>
    <t>Through the program, I would be able to meet people that does my dream job, and get more information about my career</t>
  </si>
  <si>
    <t xml:space="preserve">Kind, smart, and friendly </t>
  </si>
  <si>
    <t>At church</t>
  </si>
  <si>
    <t>SPEAK Summit - An event where mentees can present their work, establishing themselves as presenters and public speakers, and network with mentees from other schools, mentors, college admissions offices, and other amazing adults to add to you network.</t>
  </si>
  <si>
    <t>I will email info@speakmentorship.org</t>
  </si>
  <si>
    <t xml:space="preserve">Hannah John and Suma Bijoy </t>
  </si>
  <si>
    <t>https://drive.google.com/open?id=1gW-Wo58Nlq3hi2hJXNpcPwduBdolpwI3</t>
  </si>
  <si>
    <t>Gabriellabella17@gmail.com</t>
  </si>
  <si>
    <t>718-902-6310</t>
  </si>
  <si>
    <t xml:space="preserve">Carlo Bella </t>
  </si>
  <si>
    <t>carlo.bella@gmail.com</t>
  </si>
  <si>
    <t>70 Pine Street, Apt. 1803, New York, NY 10005</t>
  </si>
  <si>
    <t>917 - 292 - 4617</t>
  </si>
  <si>
    <t>Millenium HIgh School</t>
  </si>
  <si>
    <t>75 Broad Street</t>
  </si>
  <si>
    <t>https://drive.google.com/open?id=1C2WkvLVI_p6N8FIMVXfgJFnqN8Va4foR</t>
  </si>
  <si>
    <t>Italy, Cuba, China</t>
  </si>
  <si>
    <t>East Asian, Central American, Western European</t>
  </si>
  <si>
    <t xml:space="preserve">Italian, Cuban, Chinese </t>
  </si>
  <si>
    <t>Citizen</t>
  </si>
  <si>
    <t>Entertainment</t>
  </si>
  <si>
    <t xml:space="preserve">Interior Designer </t>
  </si>
  <si>
    <t xml:space="preserve">time management, organizational skills, analytical </t>
  </si>
  <si>
    <t>USC, UC Berkeley, UCLA, Binghamton, Stonybrook, Cornell, UC San Diego, Albany U., UC Santa Barbara, NYU</t>
  </si>
  <si>
    <t xml:space="preserve">Fashion Mag Editor, Copywriter, Journalist, Interior Designer, Veterinarian </t>
  </si>
  <si>
    <t xml:space="preserve">I hope to gain a better understanding of what career I would like to pursue or a better idea of what I would like to study in college. I would also hope to gain leadership as well as communication skills which I feel I sometimes lack being a shy student. </t>
  </si>
  <si>
    <t xml:space="preserve">responsible, caring, hardworking </t>
  </si>
  <si>
    <t xml:space="preserve">Bidawe - Animal shelter conducting administrative tasks </t>
  </si>
  <si>
    <t>Exploratory Program - Only for graduates of the SPEAK Foundational Program, the Exploratory Program helps SPEAK Alumni stay connected to a network of mentor</t>
  </si>
  <si>
    <t>https://drive.google.com/open?id=1z1qyAChHi9tD5A04TnXj_LSK1yhVC_Qr</t>
  </si>
  <si>
    <t>I will need financial assistance.</t>
  </si>
  <si>
    <t xml:space="preserve">Monique Melanie Rose Lawrence </t>
  </si>
  <si>
    <t>https://drive.google.com/open?id=1_n_524degxecIAXrZAzkJ4xgg6_MNWN6</t>
  </si>
  <si>
    <t>moniquelawrence417@gmail.com</t>
  </si>
  <si>
    <t xml:space="preserve">Facebook - MoniqueMRoseLawrence </t>
  </si>
  <si>
    <t>Merlin Lawrence</t>
  </si>
  <si>
    <t>mercigar@aim.com</t>
  </si>
  <si>
    <t>3 Rose street, Brooklyn, NY 11236</t>
  </si>
  <si>
    <t>High School for Global Citizenship</t>
  </si>
  <si>
    <t>883 Classon Avenue</t>
  </si>
  <si>
    <t>https://drive.google.com/open?id=1DZ1ktpVUd6klNymGgWp0oF0aV79G4cGL</t>
  </si>
  <si>
    <t xml:space="preserve">Guyana </t>
  </si>
  <si>
    <t xml:space="preserve">English </t>
  </si>
  <si>
    <t xml:space="preserve">Youth Social Worker </t>
  </si>
  <si>
    <t>Communications , empathy, leadership</t>
  </si>
  <si>
    <t xml:space="preserve">Baruch, CUNY </t>
  </si>
  <si>
    <t xml:space="preserve">Business Owner, NGO, politics </t>
  </si>
  <si>
    <t xml:space="preserve">I hope to gain more knowledge about my choice and career, I;m excited to learn about older women who had experienced the journey of celebrating women </t>
  </si>
  <si>
    <t xml:space="preserve">optimistic, humble, obedient </t>
  </si>
  <si>
    <t>SPEAK Summit - An event where mentees can present their work, establishing themselves as presenters and public speakers, and network with mentees from other schools, mentors, college admissions offices, and other amazing adults to add to you network., SPEAK Summer Camp  - A  week long camp in the summer to visit colleges, and companies in a particular city. You will also have opportunities to do a number of fun and empowering self- and team-building activities., SPEAK Soiree - A formal evening where we get dressed in our finest and host a number of speakers, show off our networking skills, and congratulate SPEAK  award recipients., Exploratory Program - Only for graduates of the SPEAK Foundational Program, the Exploratory Program helps SPEAK Alumni stay connected to a network of mentor</t>
  </si>
  <si>
    <t xml:space="preserve">I know I'm too young but I have a passion for young girls that are experiencing all kinds of abuses, suicidal thoughts </t>
  </si>
  <si>
    <t>https://drive.google.com/open?id=1NJESZThczrLk0O4hs1AkglA46Ada6g46</t>
  </si>
  <si>
    <t xml:space="preserve">Natala Reid-Small </t>
  </si>
  <si>
    <t>https://drive.google.com/open?id=1BaYqLMjZzPFCzK03ULql_o1XCSXqhy21</t>
  </si>
  <si>
    <t xml:space="preserve">Natalie Reid </t>
  </si>
  <si>
    <t>reidnatalie02@gmail.com</t>
  </si>
  <si>
    <t>270 East 37th street, Brooklyn, NY 11203</t>
  </si>
  <si>
    <t>https://drive.google.com/open?id=1HW6HXanATpVYhMEYSC5TBAoP8FJpsHwd</t>
  </si>
  <si>
    <t xml:space="preserve">Scientist </t>
  </si>
  <si>
    <t xml:space="preserve">Research, Communication, Leadership </t>
  </si>
  <si>
    <t xml:space="preserve">Harvard, Upenn, NYU </t>
  </si>
  <si>
    <t xml:space="preserve">Scientist, sciences, physics </t>
  </si>
  <si>
    <t xml:space="preserve">An opportunity to learn how to express myself and make my future brighter </t>
  </si>
  <si>
    <t xml:space="preserve">hardworking, determined, conscientious </t>
  </si>
  <si>
    <t>https://drive.google.com/open?id=1gg6vc4Oi8WQ0eVkw_JzLLr3baDz9yf8N</t>
  </si>
  <si>
    <t xml:space="preserve">Alessia Garcia </t>
  </si>
  <si>
    <t>https://drive.google.com/open?id=1NvgpblEbeFiQezh0Gs7MHpbpdScjvTrS</t>
  </si>
  <si>
    <t>alessiagsj@gmail.com</t>
  </si>
  <si>
    <t>Nererda Sanchez</t>
  </si>
  <si>
    <t>alfodirsj@gmail.com</t>
  </si>
  <si>
    <t xml:space="preserve">7045 Torresdale Avenue, Philadelphia, PA </t>
  </si>
  <si>
    <t>215-2540933</t>
  </si>
  <si>
    <t>Abraham Lincoln HS</t>
  </si>
  <si>
    <t>3201 Ryan Ave</t>
  </si>
  <si>
    <t>https://drive.google.com/open?id=1FWHPiiM1z5QKHA9vBRdp2sNOu52dTAIj</t>
  </si>
  <si>
    <t xml:space="preserve">Dominican Republic </t>
  </si>
  <si>
    <t xml:space="preserve">Pediatrician, Physical Therapist, Optometrists, Therapist, Math Teacher </t>
  </si>
  <si>
    <t>I  hope to find a career that has all the things that I'm looking for, one where I can have fun but be serious about it at the same time; a career that defines my inner self</t>
  </si>
  <si>
    <t xml:space="preserve">Shy, friendly, inquisitive </t>
  </si>
  <si>
    <t>SPEAK Summit - An event where mentees can present their work, establishing themselves as presenters and public speakers, and network with mentees from other schools, mentors, college admissions offices, and other amazing adults to add to you network., SPEAK Summer Camp  - A  week long camp in the summer to visit colleges, and companies in a particular city. You will also have opportunities to do a number of fun and empowering self- and team-building activities.</t>
  </si>
  <si>
    <t>https://drive.google.com/open?id=1C--u9nktKwElRst4GNkNrFWGQOcZCuCt</t>
  </si>
  <si>
    <t>Nilufar Khan</t>
  </si>
  <si>
    <t>https://drive.google.com/open?id=1xvVWePHd3_vffq6eOhTflGA73EctbU_b</t>
  </si>
  <si>
    <t>nilufar.sadullaeva15@gmail.com</t>
  </si>
  <si>
    <t>267-338-8000</t>
  </si>
  <si>
    <t>Adolat Rakhmatullaeva</t>
  </si>
  <si>
    <t>adolat.rakhmatullaeva@gmail.com</t>
  </si>
  <si>
    <t xml:space="preserve">1941 Nester Place Apt. 7, Philadelphia, PA </t>
  </si>
  <si>
    <t>1941 Nester Place Apt. 7, Philadelphia, PA v</t>
  </si>
  <si>
    <t>267 -310-8878</t>
  </si>
  <si>
    <t xml:space="preserve">Bustleton Avenue </t>
  </si>
  <si>
    <t>https://drive.google.com/open?id=1RqiZCuLVNpYqeGgoy8nNH4R1CTe0XhFT</t>
  </si>
  <si>
    <t>Uzbek, Russian, English</t>
  </si>
  <si>
    <t xml:space="preserve">Unsure </t>
  </si>
  <si>
    <t xml:space="preserve">patient, smart, and talkative </t>
  </si>
  <si>
    <t xml:space="preserve">drexel, upenn </t>
  </si>
  <si>
    <t xml:space="preserve">lawyer, photography, artist, doctor, business, work in office </t>
  </si>
  <si>
    <t xml:space="preserve">My speaking ability and when I grow up  I want to become a lawyer </t>
  </si>
  <si>
    <t xml:space="preserve">patient, smart, talkative </t>
  </si>
  <si>
    <t>SPEAK Summit - An event where mentees can present their work, establishing themselves as presenters and public speakers, and network with mentees from other schools, mentors, college admissions offices, and other amazing adults to add to you network., SPEAK Summer Camp  - A  week long camp in the summer to visit colleges, and companies in a particular city. You will also have opportunities to do a number of fun and empowering self- and team-building activities., SPEAK Soiree - A formal evening where we get dressed in our finest and host a number of speakers, show off our networking skills, and congratulate SPEAK  award recipients.</t>
  </si>
  <si>
    <t>https://drive.google.com/open?id=1AMjr4N7R0LxtwBhtz--NtIjAkMYT2RAQ</t>
  </si>
  <si>
    <t>Darina Pugach</t>
  </si>
  <si>
    <t>https://drive.google.com/open?id=1fvFeSblXgk60N8oRSX7oWG64PN-pBpYL</t>
  </si>
  <si>
    <t>dashanyanya@gmail.com</t>
  </si>
  <si>
    <t>215-789-5735</t>
  </si>
  <si>
    <t>Facebook - Darina Pugach</t>
  </si>
  <si>
    <t>Oleksander Pugach</t>
  </si>
  <si>
    <t>9969 Bridle Road, Philadelphia, PA 19115</t>
  </si>
  <si>
    <t>267-205-1079</t>
  </si>
  <si>
    <t xml:space="preserve"> 10175 Bustleton Ave, Philadelphia, PA 19116</t>
  </si>
  <si>
    <t>https://drive.google.com/open?id=1VYNwo8H0_zaewjdGw19gu-PBboCYiz1W</t>
  </si>
  <si>
    <t>English, Russian</t>
  </si>
  <si>
    <t xml:space="preserve">Chiropractor </t>
  </si>
  <si>
    <t>listening skills, problem solving skills, physical coordination skills</t>
  </si>
  <si>
    <t xml:space="preserve">UPenn, Drexel </t>
  </si>
  <si>
    <t>Chiropractor, Business</t>
  </si>
  <si>
    <t xml:space="preserve">I hope to get department of which college or university I should join and how to make oa business and become self employed from the chiropractic job </t>
  </si>
  <si>
    <t xml:space="preserve">hardworking, optimistic, kind </t>
  </si>
  <si>
    <t>https://drive.google.com/open?id=1h0lJy9Sof3KkgLQvupelEA7vZd-9FCAD</t>
  </si>
  <si>
    <t xml:space="preserve">Viviane Santos </t>
  </si>
  <si>
    <t>https://drive.google.com/open?id=1f8qByFye_Xy_d_krKczGeInRt6Y43EPZ</t>
  </si>
  <si>
    <t>vivianesantos925@gmail.com</t>
  </si>
  <si>
    <t>Liandra Santos</t>
  </si>
  <si>
    <t xml:space="preserve">7633 Leonard Street, Philadelphia, PA </t>
  </si>
  <si>
    <t xml:space="preserve"> 3201 Ryan Ave, Philadelphia</t>
  </si>
  <si>
    <t>https://drive.google.com/open?id=1I6Y1wi9Yy3TcuUPMvtKGUbh38JFNW6vP</t>
  </si>
  <si>
    <t xml:space="preserve">Portugese </t>
  </si>
  <si>
    <t xml:space="preserve">Doctor </t>
  </si>
  <si>
    <t xml:space="preserve">Hands on work, good with science and math, work well as a leader </t>
  </si>
  <si>
    <t xml:space="preserve">UPenn, Drexel, Villanova </t>
  </si>
  <si>
    <t xml:space="preserve">Pediatrician, Anesthesiologist, Chemist, Registered Nurse, ER Doctor </t>
  </si>
  <si>
    <t xml:space="preserve">I'd like to be more college ready, manage my stress, and know what to do when I'm ready to apply for college </t>
  </si>
  <si>
    <t xml:space="preserve">Motivated, persistent, intelligent </t>
  </si>
  <si>
    <t>Yes - Junior ROTC</t>
  </si>
  <si>
    <t>https://drive.google.com/open?id=1tbIIZarr1pOAI2CgpLvSO9oW3jsleSCI</t>
  </si>
  <si>
    <t xml:space="preserve">Zaineb Kuyateh </t>
  </si>
  <si>
    <t>https://drive.google.com/open?id=1lsgek3c6W5JPGA0ujJ6PDwarjXmPWogA</t>
  </si>
  <si>
    <t>8471875@philasd.org</t>
  </si>
  <si>
    <t>Alimotu Komara</t>
  </si>
  <si>
    <t>9601 Ashton Road, Philadelphia, PA</t>
  </si>
  <si>
    <t xml:space="preserve">Abraham Lincoln </t>
  </si>
  <si>
    <t xml:space="preserve">3201 Ryan Avenue </t>
  </si>
  <si>
    <t>https://drive.google.com/open?id=17vGPX1Y64FTGU0bVU38CQDHOM6WC6TCH</t>
  </si>
  <si>
    <t>Sierra Leone</t>
  </si>
  <si>
    <t>Krio</t>
  </si>
  <si>
    <t xml:space="preserve">people skills, good listener, helpful </t>
  </si>
  <si>
    <t xml:space="preserve">Dentist, Super Model, Designer, Neurosurgeon, </t>
  </si>
  <si>
    <t xml:space="preserve">I hope to gain being more vocabulary skills and be more confident </t>
  </si>
  <si>
    <t xml:space="preserve">helpful, good at working in groups, prepared </t>
  </si>
  <si>
    <t>https://drive.google.com/open?id=1NFKnduC6yaTB5_iGTEku9sUb7377xIXa</t>
  </si>
  <si>
    <t xml:space="preserve">Liza Islam </t>
  </si>
  <si>
    <t>https://drive.google.com/open?id=1fEW2NsF1_aONlDST6ZLvKNyadLaU-kV_</t>
  </si>
  <si>
    <t>lizaislam973@gmail.com</t>
  </si>
  <si>
    <t>Rezina Ruhi</t>
  </si>
  <si>
    <t>4335 Shelmire Avenue, Philadelphia, PA</t>
  </si>
  <si>
    <t>Abraham Lincoln</t>
  </si>
  <si>
    <t xml:space="preserve">3201 Ryan Ave </t>
  </si>
  <si>
    <t>https://drive.google.com/open?id=1oNbp0rx17x-ULSm26qOze4__er6oHd-R</t>
  </si>
  <si>
    <t xml:space="preserve">Cardiologist </t>
  </si>
  <si>
    <t xml:space="preserve">work ethic, helpful, self-management </t>
  </si>
  <si>
    <t xml:space="preserve">Nursing, Cardiologist, Fashion Designer, Dentist, Software Engineer </t>
  </si>
  <si>
    <t xml:space="preserve">I hope that I can gain confidence and learn new skills from going through the program </t>
  </si>
  <si>
    <t xml:space="preserve">Honest, trustworthy, and understanding </t>
  </si>
  <si>
    <t>https://drive.google.com/open?id=11yu4bf6NKTlkN6e1nDNmqE19wuhtLERL</t>
  </si>
  <si>
    <t xml:space="preserve">Anarys Ramirez </t>
  </si>
  <si>
    <t>https://drive.google.com/open?id=1N7kcTKYX2sPrGX8ESaeCKmOiDiAL8Ka8</t>
  </si>
  <si>
    <t>6794124@philasd.org</t>
  </si>
  <si>
    <t>Mary ANn Albarran</t>
  </si>
  <si>
    <t>maryannalbarran38@gmail.com</t>
  </si>
  <si>
    <t>8749 Marsden street, Philadelphia, PA</t>
  </si>
  <si>
    <t>https://drive.google.com/open?id=1z2nvb-xgwcx0oAl3GTBzGlgIs49CFst4</t>
  </si>
  <si>
    <t xml:space="preserve">Spanish </t>
  </si>
  <si>
    <t xml:space="preserve">hardworking, trustworthy, dependable </t>
  </si>
  <si>
    <t>Hair, makeup, art, mechanic, nails</t>
  </si>
  <si>
    <t xml:space="preserve">I hope to gain is to meet many people who are like me and to  get the skills that requires me to become successful </t>
  </si>
  <si>
    <t xml:space="preserve">Teamwork, time management, adaptability </t>
  </si>
  <si>
    <t xml:space="preserve">My friend Dema Alhuraibi (Ambassador) told me about the program </t>
  </si>
  <si>
    <t>https://drive.google.com/open?id=1ylOl4BhwIzlA6dkkcLcY50G1c6-KZtr3</t>
  </si>
  <si>
    <t>https://drive.google.com/open?id=1ybXcXTUdFwrVPtmZM04FAJn4zVRDhJ3W</t>
  </si>
  <si>
    <t>973-803-6856</t>
  </si>
  <si>
    <t xml:space="preserve">Sandra Garcia </t>
  </si>
  <si>
    <t>garcia618@aol.com</t>
  </si>
  <si>
    <t>95 3rd street, Newark, NJ 07107</t>
  </si>
  <si>
    <t>American History HS</t>
  </si>
  <si>
    <t>74 Montgomery</t>
  </si>
  <si>
    <t>https://drive.google.com/open?id=1IFy96H8yR8amGjr-agzuE2yGlm9OH_gj</t>
  </si>
  <si>
    <t xml:space="preserve">Veterinarian </t>
  </si>
  <si>
    <t xml:space="preserve">intelligent, hardworking, and helpful </t>
  </si>
  <si>
    <t>Rutgers, centenary college, andrews university, duke university, delaware valley university, cornell university, aburn university, brigham young university, california university, columbia university</t>
  </si>
  <si>
    <t xml:space="preserve">Veterinarian, zoologist, marine scientist, ecologist, toxicologst </t>
  </si>
  <si>
    <t xml:space="preserve">I hope to learn leadership and to become more humble through this program </t>
  </si>
  <si>
    <t xml:space="preserve">organization, critical thinking, strong typing skills </t>
  </si>
  <si>
    <t>https://drive.google.com/open?id=1T6ytVru_v5goB_ExhhJD3FkXq2J4Jnhr</t>
  </si>
  <si>
    <t xml:space="preserve">Dema Alhuraibi </t>
  </si>
  <si>
    <t>https://drive.google.com/open?id=1z8SeFbE61coMrlnKk65EqaFTz_4KgPwh</t>
  </si>
  <si>
    <t>6534897@philasd.org</t>
  </si>
  <si>
    <t>215-206-0424</t>
  </si>
  <si>
    <t xml:space="preserve">Facebook: Dema Alhuraibi IG: Dema.Alhuraibi </t>
  </si>
  <si>
    <t>Amal Alhuraibi</t>
  </si>
  <si>
    <t>amalalkhalifi11@gmail.com</t>
  </si>
  <si>
    <t>8830 Hargrave Street, Philadelphia, PA 19152</t>
  </si>
  <si>
    <t>215-964-1306</t>
  </si>
  <si>
    <t>3201 Ryan Avenue</t>
  </si>
  <si>
    <t>https://drive.google.com/open?id=11m-eFgoycOKFnLVK-R1hQxdyQWsOGLFX</t>
  </si>
  <si>
    <t xml:space="preserve">Travel Writer, Photographer </t>
  </si>
  <si>
    <t>Confident, Diligent, Communication</t>
  </si>
  <si>
    <t xml:space="preserve">Drexel, UPenn, Harvard </t>
  </si>
  <si>
    <t>Computer Science, writer</t>
  </si>
  <si>
    <t xml:space="preserve">Career opportunities; to empower girls, and to gain skills that I need in order to succeed after high school </t>
  </si>
  <si>
    <t xml:space="preserve">easy going, generous, thoughtful </t>
  </si>
  <si>
    <t>https://drive.google.com/open?id=1ks5DTaURkcJKjvlXixjircWQe9XCBcKP</t>
  </si>
  <si>
    <t xml:space="preserve">MingYan Sun </t>
  </si>
  <si>
    <t>https://drive.google.com/open?id=1OuT5kFbgMZUOZL2_29W9aCAhDR5xejoM</t>
  </si>
  <si>
    <t>notprovided@aol.com</t>
  </si>
  <si>
    <t>929-340-3938</t>
  </si>
  <si>
    <t>Facebook - MingYan Sun IG: Mingyan_S</t>
  </si>
  <si>
    <t>Duan Mei Sun</t>
  </si>
  <si>
    <t>2903 Devereaux Avenue, Philadelphia, PA</t>
  </si>
  <si>
    <t>646-207-6098</t>
  </si>
  <si>
    <t>https://drive.google.com/open?id=1oRXBZMkr6LZqfhEw-LK209MORV7N2vYv</t>
  </si>
  <si>
    <t xml:space="preserve">organization, adaptability, intrapersonal </t>
  </si>
  <si>
    <t>Drexel, UPenn, MIT</t>
  </si>
  <si>
    <t xml:space="preserve">Designer, Architectural manager, engineer, technician, chemist, pharmacist </t>
  </si>
  <si>
    <t>I'm expecting to be more social and outgoing</t>
  </si>
  <si>
    <t>Trustworthy, friendly, easygoing</t>
  </si>
  <si>
    <t>https://drive.google.com/open?id=1vOLvGRUx-iScRgsP7OSn8R3VW2yiDSFJ</t>
  </si>
  <si>
    <t>Vy Nguyen</t>
  </si>
  <si>
    <t>https://drive.google.com/open?id=1xZSUZRMXCuDD0FmLG9D0q590cMsMtuxq</t>
  </si>
  <si>
    <t>8201977@philasd.org</t>
  </si>
  <si>
    <t>267-241-8249</t>
  </si>
  <si>
    <t>Facebook: Vy Nguyen Instagram: vluv_8</t>
  </si>
  <si>
    <t>Muy Nguyen</t>
  </si>
  <si>
    <t xml:space="preserve">3319 Chippendale Street, Philadelphia, PA </t>
  </si>
  <si>
    <t>367-437-5428</t>
  </si>
  <si>
    <t>https://drive.google.com/open?id=1NvQxBo6WFZ7dPbyruVJy2uqrHQrmDLVc</t>
  </si>
  <si>
    <t xml:space="preserve">Doctor/Foley Artist </t>
  </si>
  <si>
    <t xml:space="preserve">hardworking, organized, good communication </t>
  </si>
  <si>
    <t>Drexel, UPenn</t>
  </si>
  <si>
    <t>Foley Artist, actor, chefs, doctor, detective, interpreters</t>
  </si>
  <si>
    <t xml:space="preserve">I hope to find a mentor and to find what I want to do in the future </t>
  </si>
  <si>
    <t xml:space="preserve">friendly, kind, and harworking </t>
  </si>
  <si>
    <t>https://drive.google.com/open?id=1m9-Dmf7ooHbHGdFAt8bq2_FbS3AXJN28</t>
  </si>
  <si>
    <t>Maleeha Rashid</t>
  </si>
  <si>
    <t>https://drive.google.com/open?id=1Jj6UGs9ElJcO4FD0GOXl4szI8cAteyr5</t>
  </si>
  <si>
    <t>maleeha.rashid@yahoo.com</t>
  </si>
  <si>
    <t>IG: Yourstrulymaleeha_xo</t>
  </si>
  <si>
    <t>Aminur Rashid</t>
  </si>
  <si>
    <t>aminurrashid@yahoo.com</t>
  </si>
  <si>
    <t>3009 Saint Vincent Street, Philadelphia PA</t>
  </si>
  <si>
    <t>3201 Ryan Street</t>
  </si>
  <si>
    <t>https://drive.google.com/open?id=1XR30vLzgDQNwiIQGHP6YbIJ0UXuvXzY_</t>
  </si>
  <si>
    <t xml:space="preserve">Bangladesh </t>
  </si>
  <si>
    <t xml:space="preserve">Business woman </t>
  </si>
  <si>
    <t xml:space="preserve">listening, networking, conviction </t>
  </si>
  <si>
    <t>Business, Lawyer, Psychology, Engineer, Designer</t>
  </si>
  <si>
    <t xml:space="preserve">I hope to gain a mentor and learn stuff I didn't know about and associate with new people in the program </t>
  </si>
  <si>
    <t xml:space="preserve">Nice, Humble, and Loud </t>
  </si>
  <si>
    <t>https://drive.google.com/open?id=1lAZrj2S5MWyeaSPRNP0bePT0NXh-jUbx</t>
  </si>
  <si>
    <t xml:space="preserve">Khadijeh Moaddal </t>
  </si>
  <si>
    <t>https://drive.google.com/open?id=1mfQGiGN1xUpyWHkT3wc0U4wbF5clkLAX</t>
  </si>
  <si>
    <t>khadijehmoaddal@philasd.org</t>
  </si>
  <si>
    <t>FB/Twitter: Khadijeh Moaddal IG: Love_Khadijeh</t>
  </si>
  <si>
    <t>Ahmad Moaddal</t>
  </si>
  <si>
    <t>ahmadmoaddal@gmail.com</t>
  </si>
  <si>
    <t>Magee Avenue 3223, Philadelphia, PA</t>
  </si>
  <si>
    <t>https://drive.google.com/open?id=1xWYai-vKRZnUWFoYHzBagW98m7NaX8c7</t>
  </si>
  <si>
    <t xml:space="preserve">Syrian </t>
  </si>
  <si>
    <t xml:space="preserve">Arabic </t>
  </si>
  <si>
    <t>Sport, representation, doctor</t>
  </si>
  <si>
    <t>Doctor, Engineer, Pharmacist, Attorney, Charities</t>
  </si>
  <si>
    <t xml:space="preserve">Make a good life and know more about SPEAK Mentorship and the parents. Know more about SPEAK Mentorship and the college </t>
  </si>
  <si>
    <t>doctors, charities, pharmacist</t>
  </si>
  <si>
    <t>https://drive.google.com/open?id=1bDPWiu5tG_11QcXScgXPsyGwvFyb0HmK</t>
  </si>
  <si>
    <t>Guan Pan</t>
  </si>
  <si>
    <t>https://drive.google.com/open?id=1nrUlHcYHrDbyecClWXZ0lt4YILzwgubm</t>
  </si>
  <si>
    <t>309377300@qq.com</t>
  </si>
  <si>
    <t>917-775-2577</t>
  </si>
  <si>
    <t>Qin Shao</t>
  </si>
  <si>
    <t>3212 Princeton Avenue, Philadelphia, PA</t>
  </si>
  <si>
    <t>https://drive.google.com/open?id=1Da6Mw8bLdpAqyGR4Ivnd7qJGpufxMgT-</t>
  </si>
  <si>
    <t xml:space="preserve">Science, Math, History </t>
  </si>
  <si>
    <t>accountant, family practitioner, pharmacist, engineer, lawyer</t>
  </si>
  <si>
    <t xml:space="preserve">Decide what career to go to in college and which college to go to </t>
  </si>
  <si>
    <t xml:space="preserve">Shy, Quiet, Kind </t>
  </si>
  <si>
    <t>https://drive.google.com/open?id=1rGKTS3sESUKOSIsn0FkE2hMFZYW4PMmb</t>
  </si>
  <si>
    <t xml:space="preserve">Doha Ibrahim </t>
  </si>
  <si>
    <t>https://drive.google.com/open?id=1p7MHNVoO4u8x2sL2-bK9o-DxFapObZXg</t>
  </si>
  <si>
    <t>doha.ibrahim2002@gmail.com</t>
  </si>
  <si>
    <t>267-356-1350</t>
  </si>
  <si>
    <t>FB: DohaIbrahim IG: Doha.iibrahim2002</t>
  </si>
  <si>
    <t>Anwar Hussain</t>
  </si>
  <si>
    <t>flowerdoha2002@hotmail.com</t>
  </si>
  <si>
    <t>4136 Longshore  Avenue, Philadelphia, PA</t>
  </si>
  <si>
    <t>https://drive.google.com/open?id=1KQ7okoD6cP1Zevcn_14jqJ2EyzBKPyLh</t>
  </si>
  <si>
    <t>Iraq</t>
  </si>
  <si>
    <t>Arabic,English</t>
  </si>
  <si>
    <t xml:space="preserve">Leadership, creative, organized </t>
  </si>
  <si>
    <t xml:space="preserve">UPenn, Harvard, </t>
  </si>
  <si>
    <t xml:space="preserve">Lawyer, Business Manager, Property Manager </t>
  </si>
  <si>
    <t>More leadership opportunity</t>
  </si>
  <si>
    <t>leader, organized, passionate</t>
  </si>
  <si>
    <t>https://drive.google.com/open?id=1xdJ_KlE1YDOY2_m1kbNqq6qNYVwV3Cv8</t>
  </si>
  <si>
    <t>Almina Hodzic</t>
  </si>
  <si>
    <t>https://drive.google.com/open?id=1FmQn3dxxVYPLmlnuaqk_yUkw34wMEMMi</t>
  </si>
  <si>
    <t>7246025@philasd.org</t>
  </si>
  <si>
    <t>267-331-1061</t>
  </si>
  <si>
    <t>IG: a.rhmc</t>
  </si>
  <si>
    <t xml:space="preserve">Dineta Hodzic </t>
  </si>
  <si>
    <t>dinetahodzic2012@comcast.com</t>
  </si>
  <si>
    <t>4035 Tudor Street, Philadelphia, PA 19136</t>
  </si>
  <si>
    <t>215-439-2968</t>
  </si>
  <si>
    <t>https://drive.google.com/open?id=1ZJ1J-4G4ZkdaD2mSBFJTuu93WyDYSptn</t>
  </si>
  <si>
    <t>Bosnia</t>
  </si>
  <si>
    <t>Serbo-Croatian,/Bosnian and English</t>
  </si>
  <si>
    <t>Physician</t>
  </si>
  <si>
    <t>hardworking, trustworthy, and helpful</t>
  </si>
  <si>
    <t>Medicine, Psychology</t>
  </si>
  <si>
    <t xml:space="preserve">Thought this program, I hope to gain more self confidence and self reliane. I also hope that my voice will be heard and that I can lead my fellow mentees to do good, through my actions and leadership skills that I will instill in them and show wherever I go. </t>
  </si>
  <si>
    <t>hardworking, trustworthy, compassionate</t>
  </si>
  <si>
    <t>https://drive.google.com/open?id=118xcd_ZsvVEb-erDO_iWjzxtpqsdNaCD</t>
  </si>
  <si>
    <t>I am an only child and a muslim girl from muslim family and background</t>
  </si>
  <si>
    <t>Winnie Zhao</t>
  </si>
  <si>
    <t>https://drive.google.com/open?id=1Ftcj7-Otc9o3vN8_z3zyGTrlxL650D97</t>
  </si>
  <si>
    <t>9573451@philasd.org</t>
  </si>
  <si>
    <t>(917) 528-5058</t>
  </si>
  <si>
    <t xml:space="preserve">Chun Ying Zhao </t>
  </si>
  <si>
    <t>amyzhao012@gmail.com</t>
  </si>
  <si>
    <t>3122 Windish Street, Philadelphia, PA</t>
  </si>
  <si>
    <t>(408) 821 - 7609</t>
  </si>
  <si>
    <t>https://drive.google.com/open?id=1fsTQJ2nT1ZjgTWaa34TsW7Tu4im6_mFq</t>
  </si>
  <si>
    <t xml:space="preserve">Mandarin, English </t>
  </si>
  <si>
    <t xml:space="preserve">Focused, Prioritize, empathize </t>
  </si>
  <si>
    <t>UPenn, Drexel</t>
  </si>
  <si>
    <t xml:space="preserve">Health, Sciences, Law, Business, Education </t>
  </si>
  <si>
    <t xml:space="preserve">I hope to learn more about the career field I'm interested in and get a better idea of what kind of specific career I want to pursue </t>
  </si>
  <si>
    <t xml:space="preserve">Patient, Intelligent, Observant </t>
  </si>
  <si>
    <t>https://drive.google.com/open?id=1Fdj9936RxQcQTi-Nyx_3cX_4F0L0t73p</t>
  </si>
  <si>
    <t xml:space="preserve">Tulsi Patel </t>
  </si>
  <si>
    <t>https://drive.google.com/open?id=1kbXSkusebocaWUCFiosOoX9e8ivKTzTt</t>
  </si>
  <si>
    <t>6675596@philasd.org</t>
  </si>
  <si>
    <t>267-335-7527</t>
  </si>
  <si>
    <t>FB:  Tulsi Patel Twitter: Tulsima31 IG: Tulsi31</t>
  </si>
  <si>
    <t>Piyush Patel</t>
  </si>
  <si>
    <t>piyushshreya31@gmail.com</t>
  </si>
  <si>
    <t>2865 Walnut Hill Street, Philadelphia PA</t>
  </si>
  <si>
    <t>215-856-3975</t>
  </si>
  <si>
    <t>https://drive.google.com/open?id=1LyOrJZBTCqE6wpDDuL2PVR4M1A0TMNvT</t>
  </si>
  <si>
    <t>Gujarati</t>
  </si>
  <si>
    <t xml:space="preserve">blood pressure, take temperature, to do respirations </t>
  </si>
  <si>
    <t>UPenn , Drexel</t>
  </si>
  <si>
    <t>Doctor, engineer, science, law, business, computer science</t>
  </si>
  <si>
    <t xml:space="preserve">I hope to gain more information about different types of careers and how to reach there as a student </t>
  </si>
  <si>
    <t>nice, respectful, honesty</t>
  </si>
  <si>
    <t>https://drive.google.com/open?id=1casidgVALNKr9GN6gMDK48bPQv5F5MZP</t>
  </si>
  <si>
    <t>Manar Alsalihi</t>
  </si>
  <si>
    <t>https://drive.google.com/open?id=1sTxyDQguPRYm_B4mRH4XPnpkexxp2y9f</t>
  </si>
  <si>
    <t>9644764@philasd.org</t>
  </si>
  <si>
    <t>267-982-3699</t>
  </si>
  <si>
    <t>IG: mansha_99</t>
  </si>
  <si>
    <t>Zinah Ahmed</t>
  </si>
  <si>
    <t>c</t>
  </si>
  <si>
    <t>267-982-0787</t>
  </si>
  <si>
    <t>https://drive.google.com/open?id=1EjCib8qRqDbJ3PTlnNckdyjHq6WxCgfN</t>
  </si>
  <si>
    <t>Radiology</t>
  </si>
  <si>
    <t>Focused, Ask Questions</t>
  </si>
  <si>
    <t>Radiology, Nurse, Translator, Doctor</t>
  </si>
  <si>
    <t xml:space="preserve">Getting involved, meeting newpeople </t>
  </si>
  <si>
    <t xml:space="preserve">determined, caring, active </t>
  </si>
  <si>
    <t xml:space="preserve">Muslim </t>
  </si>
  <si>
    <t>https://drive.google.com/open?id=1JV7ozQZxqsfJee92P49fuqliomJASy6v</t>
  </si>
  <si>
    <t>Layan Alkhawaja</t>
  </si>
  <si>
    <t>https://drive.google.com/open?id=1d9vT5j0T5MDsgjEqLUCti7qugOlVPy9m</t>
  </si>
  <si>
    <t>9776157@philasd.org</t>
  </si>
  <si>
    <t>727-623-2377</t>
  </si>
  <si>
    <t>FB: Layan Alkhuwaja IG: _forever.angle_</t>
  </si>
  <si>
    <t>Huwaida Anani</t>
  </si>
  <si>
    <t>h2anani@yahoo.com</t>
  </si>
  <si>
    <t xml:space="preserve">Bradford street, Philadelphia, PA </t>
  </si>
  <si>
    <t xml:space="preserve">Abraham Lincoln HS </t>
  </si>
  <si>
    <t>https://drive.google.com/open?id=1YmVO--UafD7hfVPiSYuulN6FPNlYjj_Y</t>
  </si>
  <si>
    <t xml:space="preserve">Other - Work Authorization </t>
  </si>
  <si>
    <t>Good communication, self-management, teamwork and interpersonal skills</t>
  </si>
  <si>
    <t xml:space="preserve">Marketing, Engineering, biochemist, graphic designer, nursing </t>
  </si>
  <si>
    <t>confidence and leadershipp</t>
  </si>
  <si>
    <t xml:space="preserve">shy, intelligent, loyal </t>
  </si>
  <si>
    <t>https://drive.google.com/open?id=1BnZz4WAEJgVHW9qOVqhXHQS8_CvZP08Y</t>
  </si>
  <si>
    <t xml:space="preserve">JingJing Zhang </t>
  </si>
  <si>
    <t>https://drive.google.com/open?id=1r-kDbD7gy3mELH_P7lz0n0QHKZaVSaRX</t>
  </si>
  <si>
    <t>9595721@philasd.org</t>
  </si>
  <si>
    <t>215-500-9666</t>
  </si>
  <si>
    <t>Weidong Zheng</t>
  </si>
  <si>
    <t>weizh668@gmail.com</t>
  </si>
  <si>
    <t>7323 Sackett Street, Philadelphia, PA</t>
  </si>
  <si>
    <t>Abraham Lincoln High School</t>
  </si>
  <si>
    <t>https://drive.google.com/open?id=1Af5KxHAAc5PlelawudedBvk_5aAGASuw</t>
  </si>
  <si>
    <t>Health and Business</t>
  </si>
  <si>
    <t>Bilingual, problem solver, organized</t>
  </si>
  <si>
    <t xml:space="preserve">Health care, business, forensic science, psychology, actor </t>
  </si>
  <si>
    <t xml:space="preserve">I hope to know more about the careers I am interested in, so I can have more sense what the careers are. It would be helpful for me to make a decision. </t>
  </si>
  <si>
    <t xml:space="preserve">Positive, hardworking, responsible </t>
  </si>
  <si>
    <t>https://drive.google.com/open?id=1phtdKldVdZGNbkTjEz4uj0h_xk9jzo2D</t>
  </si>
  <si>
    <t>Angelis Hernandez</t>
  </si>
  <si>
    <t>https://drive.google.com/open?id=1fq_4IlCsXVlQoOTy5GKXN0lW4X-JhYAR</t>
  </si>
  <si>
    <t>ang1838rdz@gmail.com</t>
  </si>
  <si>
    <t>267-770-7892</t>
  </si>
  <si>
    <t>FB: Angie Marie      IG: la.aaa__</t>
  </si>
  <si>
    <t>Melissa Rodriguez</t>
  </si>
  <si>
    <t>melissardgz2016@gmail.com</t>
  </si>
  <si>
    <t>3153 Magee Avenue, Philadelphia, PA</t>
  </si>
  <si>
    <t>https://drive.google.com/open?id=1DfBa6L-jO9vTcMBKWdrDutGuZcSWCSYL</t>
  </si>
  <si>
    <t xml:space="preserve">Cosmetology </t>
  </si>
  <si>
    <t>bilingual, sports, interested in various things</t>
  </si>
  <si>
    <t>cosmetology, photography, paramedics, culinary</t>
  </si>
  <si>
    <t>new experiences</t>
  </si>
  <si>
    <t>good person, responsible, friendly</t>
  </si>
  <si>
    <t>https://drive.google.com/open?id=1fHvIoKa5PzzFaWlzMRpvg3VMAoQQMl3x</t>
  </si>
  <si>
    <t>No - I will need someone to translate</t>
  </si>
  <si>
    <t>Yusra Sabeeh</t>
  </si>
  <si>
    <t>https://drive.google.com/open?id=1CjB3B4Jr-7h9Bd-u-AMyPBQnUz_s8qdP</t>
  </si>
  <si>
    <t>yosrawathe218@gmail.com</t>
  </si>
  <si>
    <t>267-752-2489</t>
  </si>
  <si>
    <t>IG: yuyu.2001</t>
  </si>
  <si>
    <t>Nohed Albdhain</t>
  </si>
  <si>
    <t>7568 Battersby street, Philadelphia, PA</t>
  </si>
  <si>
    <t>267 752 2419</t>
  </si>
  <si>
    <t>https://drive.google.com/open?id=1z_l2LI4lehjLJsvp8GwwQQFzZDaFgKoY</t>
  </si>
  <si>
    <t>SPEAK Ambassador</t>
  </si>
  <si>
    <t>Judge</t>
  </si>
  <si>
    <t>Understanding, Public Speaking, Art</t>
  </si>
  <si>
    <t>Lawyer, Doctor, Engineer, Cardiologist, Psychiatry</t>
  </si>
  <si>
    <t>I hope that will give me more experience and confident by myself</t>
  </si>
  <si>
    <t xml:space="preserve">Nice, happy, helpful </t>
  </si>
  <si>
    <t>https://drive.google.com/open?id=12Z_hy2gGldmGhJuS-7yBRg_99cew7Ele</t>
  </si>
  <si>
    <t>Adriana Mitchell</t>
  </si>
  <si>
    <t>https://drive.google.com/open?id=1LHBt-kwk9Ut5BZDr7nuxv5euZyVxuUQG</t>
  </si>
  <si>
    <t>adriana.mitchell@gmail.com</t>
  </si>
  <si>
    <t>973-757-8567</t>
  </si>
  <si>
    <t>Lameeka Croon</t>
  </si>
  <si>
    <t>lameekacroon@gmail.com</t>
  </si>
  <si>
    <t>578 South 18th street, Newark, NJ</t>
  </si>
  <si>
    <t>973-640-6732</t>
  </si>
  <si>
    <t>74 Montgomery Street</t>
  </si>
  <si>
    <t>https://drive.google.com/open?id=1FaGYFA1E5P-LXQ1g_hQPBb1wGmDtWjOu</t>
  </si>
  <si>
    <t>United States</t>
  </si>
  <si>
    <t>Journalism</t>
  </si>
  <si>
    <t>writing, reading, fashion</t>
  </si>
  <si>
    <t xml:space="preserve">Rutgers, Seton Hall </t>
  </si>
  <si>
    <t>Fashion, Video Production, Dance, Arts</t>
  </si>
  <si>
    <t xml:space="preserve">I want to learn what I definately want to do in life and be able to get int eh college of my dreams (Duke. It will also build my resume </t>
  </si>
  <si>
    <t>Unique, Interesting, enthusiastic</t>
  </si>
  <si>
    <t xml:space="preserve">I want my mentor to be as jolly as me and as enthusiastic to be with me as I will be with her </t>
  </si>
  <si>
    <t>https://drive.google.com/open?id=11ZsnB2KQ5hm-Rj3p2uPvdzGdkucchsIE</t>
  </si>
  <si>
    <t>Fatimah Jawneh</t>
  </si>
  <si>
    <t>https://drive.google.com/open?id=1P7u7xRPjYl9-0a56A3L6sVQzQQHB14cI</t>
  </si>
  <si>
    <t>fatima.jawneh2@gmail.com</t>
  </si>
  <si>
    <t>Isatou Jawneh</t>
  </si>
  <si>
    <t>Ialhaji4@gmail.com</t>
  </si>
  <si>
    <t>306 Goldsmith Avenue, Newark, NJ 07112</t>
  </si>
  <si>
    <t>347-707-6068; 917-651-3420</t>
  </si>
  <si>
    <t>https://drive.google.com/open?id=1QMhHsrIJVwrWNWlLjsxFAHH_GEzGS87c</t>
  </si>
  <si>
    <t xml:space="preserve">English and Mandinka </t>
  </si>
  <si>
    <t>Good reader, speaker, organized</t>
  </si>
  <si>
    <t>Rutgers, Columbia, NYU</t>
  </si>
  <si>
    <t>Politician, Entrepreneur</t>
  </si>
  <si>
    <t>I hope to gain support in helping me get through college and life</t>
  </si>
  <si>
    <t xml:space="preserve">intelligent, active, passionate </t>
  </si>
  <si>
    <t>SPEAK Summit - An event where mentees can present their work, establishing themselves as presenters and public speakers, and network with mentees from other schools, mentors, college admissions officers, and other amazing adults to add to your network., SPEAK Summer Camp  - A  week long camp in the summer to visit colleges, and companies in a particular city. You will also have opportunities to do a number of fun and empowering self- and team-building activities.</t>
  </si>
  <si>
    <t xml:space="preserve">I'm homosexual </t>
  </si>
  <si>
    <t>https://drive.google.com/open?id=1o8vwqW7M3uxg-xyor407ZU3qNV89UKZK</t>
  </si>
  <si>
    <t>https://drive.google.com/open?id=1ePP8kJTbDKqHS7N8hbZxOgm1Kd7wR_nM</t>
  </si>
  <si>
    <t xml:space="preserve">Facebook: Jessica Castillo </t>
  </si>
  <si>
    <t>Dogo Beito Castillo</t>
  </si>
  <si>
    <t>dogocastillo50@hotmail.com</t>
  </si>
  <si>
    <t>38 Hawkins Street, Newark, NJ 07105</t>
  </si>
  <si>
    <t>862-600-3361</t>
  </si>
  <si>
    <t>https://drive.google.com/open?id=1Y6dk4bP4kp1dUmMTrvJbnrCOkad7kRwG</t>
  </si>
  <si>
    <t xml:space="preserve">Organization, critical thinking, hard worker </t>
  </si>
  <si>
    <t xml:space="preserve">UPenn, Yale, Bates College, TCNJ, Harvard, Rutgers, NJIT, Brown </t>
  </si>
  <si>
    <t xml:space="preserve">Surgeon, Doctor, Anesthesiologist, Dentist, Nurse </t>
  </si>
  <si>
    <t xml:space="preserve">I hope to gain a type of feeling on how the career field I am interested in and know what to do in college when it's time for me </t>
  </si>
  <si>
    <t>Intelligent, hardworking, helpful</t>
  </si>
  <si>
    <t>SPEAK Summit - An event where mentees can present their work, establishing themselves as presenters and public speakers, and network with mentees from other schools, mentors, college admissions officers, and other amazing adults to add to your network., SPEAK Summer Camp  - A  week long camp in the summer to visit colleges, and companies in a particular city. You will also have opportunities to do a number of fun and empowering self- and team-building activities., SPEAK Soiree - A formal evening where we get dressed in our finest and host a number of speakers, show off our networking skills, and congratulate SPEAK  award recipients., Exploratory Program - Only for graduates of the SPEAK Foundational Program, the Exploratory Program helps SPEAK Alumni stay connected to a network of mentors</t>
  </si>
  <si>
    <t>https://drive.google.com/open?id=1eOd0oezwPKJsLmAVVbWNQNjXrFog1H87</t>
  </si>
  <si>
    <t>Karyn Jean Jacques</t>
  </si>
  <si>
    <t>https://drive.google.com/open?id=1uNR4PphmjbX4LN7yJvRS037kVpppU-MQ</t>
  </si>
  <si>
    <t>973-415-9762</t>
  </si>
  <si>
    <t>Dorzilia S Exantus</t>
  </si>
  <si>
    <t>dorziliae555@gmail.com</t>
  </si>
  <si>
    <t>146 Midland Place 2nd Floor, Newark, NJ 07106</t>
  </si>
  <si>
    <t>https://drive.google.com/open?id=1MWi3n2r6DNxdIU2Fsx78dCMH_RCsnyOk</t>
  </si>
  <si>
    <t>Creole, English</t>
  </si>
  <si>
    <t>Therapist</t>
  </si>
  <si>
    <t>athletic, organized, critical thinking skills</t>
  </si>
  <si>
    <t xml:space="preserve">Cornell, Howard, Harvard, Columbia, Kean, Florida State, Princeton, William Paterson, Montclair State </t>
  </si>
  <si>
    <t>track and field athlete, therapist, forensic psychologist</t>
  </si>
  <si>
    <t xml:space="preserve">Insight on how to become a great athlete or psychologist and help others become good at what they want to do </t>
  </si>
  <si>
    <t xml:space="preserve">determined, helpful, encouraging </t>
  </si>
  <si>
    <t>https://drive.google.com/open?id=1apSyZzawCAivIA35svYOWU9zD2jitdSm</t>
  </si>
  <si>
    <t xml:space="preserve">Mimi Agbobli </t>
  </si>
  <si>
    <t>https://drive.google.com/open?id=1px_ezqrq6HwE7YiPoe2oglfYNbd-uURm</t>
  </si>
  <si>
    <t>732-900-5988</t>
  </si>
  <si>
    <t>FB: Love Mimi</t>
  </si>
  <si>
    <t xml:space="preserve">Yawo Agbobli </t>
  </si>
  <si>
    <t>yawoagbobli@yahoo.com</t>
  </si>
  <si>
    <t xml:space="preserve">302 Springfield Avenue, Newark, NJ </t>
  </si>
  <si>
    <t>https://drive.google.com/open?id=1BPXNr9voEOqOzOd178xgERdtJFdVbJty</t>
  </si>
  <si>
    <t xml:space="preserve">Ewe, English, French </t>
  </si>
  <si>
    <t xml:space="preserve">Law Professor </t>
  </si>
  <si>
    <t>Quick learner, leadership, cooperative</t>
  </si>
  <si>
    <t>Yale, Harvard, Georgetown Uni, Amherst, Duke, TCNJ, Princeton, George Washington, Dartmouth, Columbia</t>
  </si>
  <si>
    <t>Journalism, Education, Arts, Business</t>
  </si>
  <si>
    <t xml:space="preserve">I hope to gain leadership and become an adult, gain maturity. I hope I am able to influence my peers and this can be the start of my career as a law professor. </t>
  </si>
  <si>
    <t xml:space="preserve">Outgoing, persistent, leadership </t>
  </si>
  <si>
    <t xml:space="preserve">I want to become a law professor further that into my dean of law </t>
  </si>
  <si>
    <t>https://drive.google.com/open?id=1VRKaJLKEhBm9EthcsBBtAJ_5lCE6Auhk</t>
  </si>
  <si>
    <t>Natalie Navarette</t>
  </si>
  <si>
    <t>https://drive.google.com/open?id=1PJoTFl6bTMTUaRXey_YcgcFNb0QEPa27</t>
  </si>
  <si>
    <t>nataliechris12@gmail.com</t>
  </si>
  <si>
    <t>973-836-3984</t>
  </si>
  <si>
    <t xml:space="preserve">Nancy Tapia </t>
  </si>
  <si>
    <t>nancytapia1781@gmail.com</t>
  </si>
  <si>
    <t>4547 Manufacturers Rd, Newark, NJ</t>
  </si>
  <si>
    <t>973-220-4681</t>
  </si>
  <si>
    <t>https://drive.google.com/open?id=1VIPn3wErbIhQBX70PwqTg63wgEsK8KFe</t>
  </si>
  <si>
    <t>Other - N/A</t>
  </si>
  <si>
    <t xml:space="preserve">Comic Artist </t>
  </si>
  <si>
    <t>writing, drawing, helpful</t>
  </si>
  <si>
    <t>Rutgers, TCNJ, Kean</t>
  </si>
  <si>
    <t>writer, comic artist, lawyer, accountant, teacher, computer programmer</t>
  </si>
  <si>
    <t xml:space="preserve">Knowledge at how to get better at writing or drawing </t>
  </si>
  <si>
    <t xml:space="preserve">Quirky, Smart, Shy </t>
  </si>
  <si>
    <t xml:space="preserve">I really like to draw and create stories. I want to get better at both more than anything. </t>
  </si>
  <si>
    <t>https://drive.google.com/open?id=11G-gWIFu4G9T1DWpJfNCSCXKyddDAmtq</t>
  </si>
  <si>
    <t xml:space="preserve">Raissa Toure </t>
  </si>
  <si>
    <t>https://drive.google.com/open?id=15q7uzYCo9wuRmBNM7A6FWFLKwr_HZAO_</t>
  </si>
  <si>
    <t>raissatoure91@gmail.com</t>
  </si>
  <si>
    <t>862-900-1738</t>
  </si>
  <si>
    <t>Saalif Kante</t>
  </si>
  <si>
    <t xml:space="preserve">115 Elizabeth Avenue, Newark, NJ </t>
  </si>
  <si>
    <t>973-489-1015</t>
  </si>
  <si>
    <t>https://drive.google.com/open?id=1yZg5WIE8wvJB8sntIKUASNU8L8Ptkb7w</t>
  </si>
  <si>
    <t xml:space="preserve">Bamara, English, Madingo </t>
  </si>
  <si>
    <t>intelligent, committed, hardworking</t>
  </si>
  <si>
    <t>Doctor, pediatrician, lawyer, engineer</t>
  </si>
  <si>
    <t xml:space="preserve">I hope to gain confidence and I want to meet people who achieved in life and who have he same job that I want </t>
  </si>
  <si>
    <t xml:space="preserve">hardworking </t>
  </si>
  <si>
    <t>https://drive.google.com/open?id=18Dd4L2brDnT3wdkaEX6CBthmBRmE43CX</t>
  </si>
  <si>
    <t xml:space="preserve">Reina Guardado </t>
  </si>
  <si>
    <t>https://drive.google.com/open?id=1qUwUQJdNutXHB7fHtFn3znSG6VGOZlvD</t>
  </si>
  <si>
    <t>862-215-8987</t>
  </si>
  <si>
    <t xml:space="preserve">Silvia Romero </t>
  </si>
  <si>
    <t>slromero1980@gmail.com</t>
  </si>
  <si>
    <t>199 Lake Street, Newark, NJ</t>
  </si>
  <si>
    <t>973 710 8930</t>
  </si>
  <si>
    <t>https://drive.google.com/open?id=1zlX6FngYO6i-gRLzdbgZ-OAJnVdj9br_</t>
  </si>
  <si>
    <t xml:space="preserve">softball, math, hardworking, committed </t>
  </si>
  <si>
    <t xml:space="preserve">William Paterson, Columbia, Howard, Georgetown, Cornell, Harvard, Princeton, Florida State, Kean, Rutgers </t>
  </si>
  <si>
    <t>social worker, pediatrician, FBI</t>
  </si>
  <si>
    <t xml:space="preserve">What I hope to gain through this program is learning and understanding of the career I want and what colleges I can apply to </t>
  </si>
  <si>
    <t xml:space="preserve">kind, respectful, committed </t>
  </si>
  <si>
    <t xml:space="preserve">I'm very committed and don't like to let people down or to be let down </t>
  </si>
  <si>
    <t>https://drive.google.com/open?id=1Fw37fGVl4wpDeiQJrluFskF_3u0ut0r9</t>
  </si>
  <si>
    <t>https://drive.google.com/open?id=1GShFxDEZ9XUJOXqIcFtNDHZSQKWYQWCY</t>
  </si>
  <si>
    <t>347-295-6954</t>
  </si>
  <si>
    <t>FB: AyokoKessouagni IG: ayokofrmthemoon twitter: ayokofrmthemoon</t>
  </si>
  <si>
    <t xml:space="preserve">Essivi Zewu-Kessouagni </t>
  </si>
  <si>
    <t xml:space="preserve">25 Clifton Avenue, Newark, NJ </t>
  </si>
  <si>
    <t>646-339-1646   973-732-1196</t>
  </si>
  <si>
    <t>https://drive.google.com/open?id=1MGo-NbEIG11Id8cI6g0nrEqM_6DGlDHu</t>
  </si>
  <si>
    <t>Ewe and Enlgish</t>
  </si>
  <si>
    <t>Creative Author</t>
  </si>
  <si>
    <t xml:space="preserve">Reading, Communication, Explanation </t>
  </si>
  <si>
    <t xml:space="preserve">Montclair State, William Paterson, Seton Hall, Penn State, Virginia State, NYU, Columbia, Rutgers, Yale, Princeton </t>
  </si>
  <si>
    <t xml:space="preserve">Publisher, Editor, Business, Politics </t>
  </si>
  <si>
    <t xml:space="preserve">Leadership experience </t>
  </si>
  <si>
    <t xml:space="preserve">leadership, creative, outgoing </t>
  </si>
  <si>
    <t>https://drive.google.com/open?id=1w_NNHD85LpNwTH8FUauijl91id9SePMA</t>
  </si>
  <si>
    <t>https://drive.google.com/open?id=1_s7vVKlphuPTYcB9yrDa7KcKz7pemtQn</t>
  </si>
  <si>
    <t>kizey.davidson12@gmail.com</t>
  </si>
  <si>
    <t>973-289-2752</t>
  </si>
  <si>
    <t>kizeydavidson</t>
  </si>
  <si>
    <t>Andre Davidson</t>
  </si>
  <si>
    <t>andredavidson85@gmail.com</t>
  </si>
  <si>
    <t>359 Johnson Avenue, Newark, NJ</t>
  </si>
  <si>
    <t>973-337-7051</t>
  </si>
  <si>
    <t xml:space="preserve">74 Montgomery Street </t>
  </si>
  <si>
    <t>https://drive.google.com/open?id=1CemflK9wr72cWspjFSpWILohqbXIX2Ye</t>
  </si>
  <si>
    <t xml:space="preserve">English and Guyanese Creole </t>
  </si>
  <si>
    <t xml:space="preserve">Book Editor </t>
  </si>
  <si>
    <t xml:space="preserve">good listener, patient, compassionate </t>
  </si>
  <si>
    <t xml:space="preserve">Princeton, Columbia, Rutgers, Berkeley, Yale, Cornell, Harvard, NJIT, Montclair , NYU </t>
  </si>
  <si>
    <t xml:space="preserve">writer, editor, environmental specialist, copywriter </t>
  </si>
  <si>
    <t xml:space="preserve">I hope to gain a better ability of being responsible and improving my academics </t>
  </si>
  <si>
    <t xml:space="preserve">kind, knowledgeable, respectful </t>
  </si>
  <si>
    <t>https://drive.google.com/open?id=1VfQHBgNdxNt5OXzmpgKBanidzghN8-N6</t>
  </si>
  <si>
    <t xml:space="preserve">Daniela Brito </t>
  </si>
  <si>
    <t>https://drive.google.com/open?id=18gMgFtkOaGIbFNbE85YQVSxgwQzDmrob</t>
  </si>
  <si>
    <t>danielabrito135@gmail.com</t>
  </si>
  <si>
    <t>973-517-3118</t>
  </si>
  <si>
    <t>Miguelina Fermin</t>
  </si>
  <si>
    <t>99 Muhammad Ali Avenue, Newark, NJ</t>
  </si>
  <si>
    <t>973-776-2340</t>
  </si>
  <si>
    <t>https://drive.google.com/open?id=1EVRATAd0ETFAUZJ7X3Eldbd10tZ95oPH</t>
  </si>
  <si>
    <t xml:space="preserve">Surgeon </t>
  </si>
  <si>
    <t xml:space="preserve">good speaker, writer, listener </t>
  </si>
  <si>
    <t xml:space="preserve">Montclair State, Rutgers, Seton Hall </t>
  </si>
  <si>
    <t xml:space="preserve">E.R. Surgeon </t>
  </si>
  <si>
    <t xml:space="preserve">I hope to gain help, information and inspiration </t>
  </si>
  <si>
    <t xml:space="preserve">outgoing, hard worker, kind </t>
  </si>
  <si>
    <t>https://drive.google.com/open?id=1EvubsFGr0VEpcgQXB6Ims2hq0gQexA7O</t>
  </si>
  <si>
    <t xml:space="preserve">Fatuma Bulloh </t>
  </si>
  <si>
    <t>https://drive.google.com/open?id=1BalTYsce6_oOYEe1OITbMIkgqh8GqrIx</t>
  </si>
  <si>
    <t>ballohfatuma1@gmail.com</t>
  </si>
  <si>
    <t>862-218-8733</t>
  </si>
  <si>
    <t>Kaissa Balloh</t>
  </si>
  <si>
    <t>kaissaballog@gmail.com</t>
  </si>
  <si>
    <t xml:space="preserve">118 Heddenters Apt 1A, Newark, NJ </t>
  </si>
  <si>
    <t xml:space="preserve">118 Hedden Terrace Apt 1A, Newark, NJ </t>
  </si>
  <si>
    <t>973-468-4385</t>
  </si>
  <si>
    <t>https://drive.google.com/open?id=11wvnCnGXK_JLg1vq5qXN9gt6LSKRR9Pe</t>
  </si>
  <si>
    <t xml:space="preserve">Liberia </t>
  </si>
  <si>
    <t xml:space="preserve">Funny, Nice, Shy </t>
  </si>
  <si>
    <t>Montclair State, Rutgers, TCNJ</t>
  </si>
  <si>
    <t xml:space="preserve">Lawyer, Dancer, Doctor, Art </t>
  </si>
  <si>
    <t xml:space="preserve">Being able to go to college easily </t>
  </si>
  <si>
    <t xml:space="preserve">Funny, nice, shy </t>
  </si>
  <si>
    <t>https://drive.google.com/open?id=1-AGqnM340zFg_cVWkoxLsOes_imG8kCN</t>
  </si>
  <si>
    <t>https://drive.google.com/open?id=13WHpY7i6OzeKpRAPIWpSrCDpSfdGhV6n</t>
  </si>
  <si>
    <t>862-218-8931</t>
  </si>
  <si>
    <t>Nicole Holland</t>
  </si>
  <si>
    <t>juanita120577jenkins@gmail.com</t>
  </si>
  <si>
    <t xml:space="preserve">463 Hawthorne Avenue, Newark NJ </t>
  </si>
  <si>
    <t>862-220-2255</t>
  </si>
  <si>
    <t>https://drive.google.com/open?id=12F5RNzKaaod9BaM2GqfBjhUyBdK28epu</t>
  </si>
  <si>
    <t xml:space="preserve">United States </t>
  </si>
  <si>
    <t xml:space="preserve">Elementary teacher </t>
  </si>
  <si>
    <t>Trustworthy, hardworking, honest</t>
  </si>
  <si>
    <t xml:space="preserve">Seton Hall, Rutgers, TCNJ, Montclair </t>
  </si>
  <si>
    <t xml:space="preserve">Teacher </t>
  </si>
  <si>
    <t>I hope to gain a better character</t>
  </si>
  <si>
    <t xml:space="preserve">Intelligent, trustworthy, enthusiastic </t>
  </si>
  <si>
    <t>SPEAK Summit - An event where mentees can present their work, establishing themselves as presenters and public speakers, and network with mentees from other schools, mentors, college admissions officers, and other amazing adults to add to your network., SPEAK Summer Camp  - A  week long camp in the summer to visit colleges, and companies in a particular city. You will also have opportunities to do a number of fun and empowering self- and team-building activities., SPEAK Soiree - A formal evening where we get dressed in our finest and host a number of speakers, show off our networking skills, and congratulate SPEAK  award recipients.</t>
  </si>
  <si>
    <t>https://drive.google.com/open?id=1aP93UELF2d97ejZxdJuclB_IkumyJwpD</t>
  </si>
  <si>
    <t>Sheyla Linares</t>
  </si>
  <si>
    <t>https://drive.google.com/open?id=1CIChB_gopHR5yMMcPnrFXmoMdBDmpa_b</t>
  </si>
  <si>
    <t>sheylaxlinares@gmail.com</t>
  </si>
  <si>
    <t>973-928-9456</t>
  </si>
  <si>
    <t>FB: Sheyla Linares</t>
  </si>
  <si>
    <t>Gloria Nejia</t>
  </si>
  <si>
    <t>nelsonlinares81@gmail.com</t>
  </si>
  <si>
    <t>81 Nichols Street, Newark, NJ</t>
  </si>
  <si>
    <t>973-337-3875</t>
  </si>
  <si>
    <t>American Hisory HS</t>
  </si>
  <si>
    <t>https://drive.google.com/open?id=13ncUoHG2XsWEwyPgbo3EitumxbQ2fTJo</t>
  </si>
  <si>
    <t xml:space="preserve">Mexico/El. Salvador </t>
  </si>
  <si>
    <t>Central American, North American</t>
  </si>
  <si>
    <t xml:space="preserve">English, Spanish </t>
  </si>
  <si>
    <t xml:space="preserve">confidence in speaking, writing, volleyball </t>
  </si>
  <si>
    <t>TCNJ, Montclair, Rutgers</t>
  </si>
  <si>
    <t xml:space="preserve">law, business, journalism, STEM </t>
  </si>
  <si>
    <t xml:space="preserve">I hope to learn new things that can benefit good to me </t>
  </si>
  <si>
    <t xml:space="preserve">outgoing, friendly, socially active </t>
  </si>
  <si>
    <t xml:space="preserve">When I see someone happy with what I'm doing, I feel motivated </t>
  </si>
  <si>
    <t>https://drive.google.com/open?id=1ukYknT-eG_6oKnTl4B11eLmEQNjtJQ49</t>
  </si>
  <si>
    <t>Jaileen Estevez</t>
  </si>
  <si>
    <t>https://drive.google.com/open?id=1_m2_hRL4RKTq4_bBL14HnePvLziOxcoe</t>
  </si>
  <si>
    <t>jaileenestevez1293@gmail.com</t>
  </si>
  <si>
    <t>973-286-9669</t>
  </si>
  <si>
    <t>Joanna Estevez</t>
  </si>
  <si>
    <t>joanna.estevez8@gmail.com</t>
  </si>
  <si>
    <t>195 Broome Street, Newark, NJ</t>
  </si>
  <si>
    <t>646-721-8306</t>
  </si>
  <si>
    <t xml:space="preserve">American History High School </t>
  </si>
  <si>
    <t>https://drive.google.com/open?id=1MhxzREty1HNCoslqL-Uxokpl4e0rlBi2</t>
  </si>
  <si>
    <t xml:space="preserve">English and Spanish </t>
  </si>
  <si>
    <t xml:space="preserve">softball, talking, giving advice </t>
  </si>
  <si>
    <t>Seton Hall, TCNJ, Rutgers</t>
  </si>
  <si>
    <t xml:space="preserve">entrepreneur, journalist </t>
  </si>
  <si>
    <t xml:space="preserve">I hope to gain help and inspiration from the program </t>
  </si>
  <si>
    <t xml:space="preserve">athletic, hard working, friendly </t>
  </si>
  <si>
    <t xml:space="preserve">I really enjoy softball and wish I can make a career out of it </t>
  </si>
  <si>
    <t>https://drive.google.com/open?id=1OzEN7Znak0vAB5foEKBWp8q_sjoIwOlO</t>
  </si>
  <si>
    <t>Stephanie Arteaga</t>
  </si>
  <si>
    <t>https://drive.google.com/open?id=1B9peOntBX069Jmsx2pGM3GH8yr4Pq-yf</t>
  </si>
  <si>
    <t>bdstephanie3@gmail.com</t>
  </si>
  <si>
    <t>FB: Aleksandr Bonilla</t>
  </si>
  <si>
    <t xml:space="preserve">Maura Amador </t>
  </si>
  <si>
    <t>maura.amador@icloud.com</t>
  </si>
  <si>
    <t>93 Jeferson Street, Newark, NJ</t>
  </si>
  <si>
    <t>973-392-7481; 973-392-4564</t>
  </si>
  <si>
    <t>https://drive.google.com/open?id=1j-rSShk_uRelljMNWpKuP30Is4Ffe6XC</t>
  </si>
  <si>
    <t xml:space="preserve">Spanish, English </t>
  </si>
  <si>
    <t>tennis, good memory, piano</t>
  </si>
  <si>
    <t xml:space="preserve">TCNJ, Montclair, Rutgers </t>
  </si>
  <si>
    <t xml:space="preserve">Doctor, Astronomer, nutritionist, artist, entrepreneur </t>
  </si>
  <si>
    <t xml:space="preserve">I hope to gain more knowledge, and to meet people like me,. To learn more of how I want to shape my future. </t>
  </si>
  <si>
    <t xml:space="preserve">responsible, hardworking, dedicated </t>
  </si>
  <si>
    <t xml:space="preserve">I am interested in music and art </t>
  </si>
  <si>
    <t>https://drive.google.com/open?id=1t0IKV6ihm1x0Hsd0JWHWG5VUeR42xEQz</t>
  </si>
  <si>
    <t xml:space="preserve">Kathurna Louis-Jean </t>
  </si>
  <si>
    <t>https://drive.google.com/open?id=17wwV4gIeWOAAG4tQySHBjvjY9oeQi7i1</t>
  </si>
  <si>
    <t>862-237-4094</t>
  </si>
  <si>
    <t>Briere and Yolene Louis Jean (mother)</t>
  </si>
  <si>
    <t>myolene@yahoo.com</t>
  </si>
  <si>
    <t xml:space="preserve">129 Schofield Street. Apt. #9, Newark, NJ </t>
  </si>
  <si>
    <t>862-215-7199; 862-588-6921</t>
  </si>
  <si>
    <t>https://drive.google.com/open?id=1i2ke7uQzE-AhyxSeLjZIYeWDAtu8kqx9</t>
  </si>
  <si>
    <t xml:space="preserve">Haiti </t>
  </si>
  <si>
    <t xml:space="preserve">English, Haitian, Creole, French </t>
  </si>
  <si>
    <t xml:space="preserve">Orthodontist </t>
  </si>
  <si>
    <t>athletic, determination, unique</t>
  </si>
  <si>
    <t xml:space="preserve">Doctor, scientist, dental hygienist, lawyer </t>
  </si>
  <si>
    <t xml:space="preserve">Information that will help me in life and make friendships with the other individuals </t>
  </si>
  <si>
    <t>kind, considerate, determined</t>
  </si>
  <si>
    <t xml:space="preserve">Any opportunities that are given, I will be very open to participate </t>
  </si>
  <si>
    <t>https://drive.google.com/open?id=1WEGgIIm9LdQTzEV8lN88dsoeTywloFsD</t>
  </si>
  <si>
    <t xml:space="preserve">Reinalis Ayala </t>
  </si>
  <si>
    <t>https://drive.google.com/open?id=1acppzbY5Zdd7NU13YNjW6OVu-9Peu0AL</t>
  </si>
  <si>
    <t>reinalisayala100@gmail.com</t>
  </si>
  <si>
    <t>973-855-0064</t>
  </si>
  <si>
    <t>Mendez Milagros</t>
  </si>
  <si>
    <t>mendezmilagros780@gmail.com</t>
  </si>
  <si>
    <t>183 Roseville Avenue, Newark, NJ</t>
  </si>
  <si>
    <t>973-202-7537</t>
  </si>
  <si>
    <t>https://drive.google.com/open?id=1TbNl2nz7gNV3qNrfZChZ3Y9a4C9k15Om</t>
  </si>
  <si>
    <t xml:space="preserve">Puerto Rico and Dominican Republic </t>
  </si>
  <si>
    <t xml:space="preserve">Spanish and English </t>
  </si>
  <si>
    <t xml:space="preserve">Prosecutor </t>
  </si>
  <si>
    <t>Outgoing, good debater, speaking skills</t>
  </si>
  <si>
    <t xml:space="preserve">Prosecutor, Lawyer, Police Officer, Judge </t>
  </si>
  <si>
    <t xml:space="preserve">funny, adventurous, caring </t>
  </si>
  <si>
    <t>https://drive.google.com/open?id=1QCG4I3ib4wDbNAeRmhx3wKNHIb6y6myb</t>
  </si>
  <si>
    <t xml:space="preserve">Christine Matias </t>
  </si>
  <si>
    <t>https://drive.google.com/open?id=17DV9oRG_VKrIYDMoYaLTTa1CHmtSBK1R</t>
  </si>
  <si>
    <t>cmatias485@gmail.com</t>
  </si>
  <si>
    <t>973-489-9536</t>
  </si>
  <si>
    <t>Edna Adams</t>
  </si>
  <si>
    <t>edna.adams37@gmail.com</t>
  </si>
  <si>
    <t>66 Lindsley Avenue, Newark, NJ</t>
  </si>
  <si>
    <t>973-489-973-878-6189; 973-878-2331</t>
  </si>
  <si>
    <t>https://drive.google.com/open?id=17-H-LdkODtZlcfjHFKI2doPzqTi5VaB7</t>
  </si>
  <si>
    <t xml:space="preserve">Puerto Rico </t>
  </si>
  <si>
    <t>Englsih</t>
  </si>
  <si>
    <t xml:space="preserve">Author/Editor </t>
  </si>
  <si>
    <t>Willing to try new challenges, love to provide service to my community, good at writing</t>
  </si>
  <si>
    <t xml:space="preserve">TCNJ, Princeton, Montclair </t>
  </si>
  <si>
    <t xml:space="preserve">Marine </t>
  </si>
  <si>
    <t>I hope to gain a resume, college admissions, participate in guest speakers</t>
  </si>
  <si>
    <t xml:space="preserve">energetic, out-going, optimistic </t>
  </si>
  <si>
    <t>https://drive.google.com/open?id=1BbISYdfFWveJdcpg4_ffRnFnlg0v41l5</t>
  </si>
  <si>
    <t>Donna Campos</t>
  </si>
  <si>
    <t>https://drive.google.com/open?id=1zhzIfUrsV-KwWR6esNDj6sY0D5JYysqk</t>
  </si>
  <si>
    <t>kdonnacampos@hotmail.com</t>
  </si>
  <si>
    <t>862-283-2503</t>
  </si>
  <si>
    <t>FB: Donna Campos Twitter: k_donna_Campos</t>
  </si>
  <si>
    <t>Victoria Sueno</t>
  </si>
  <si>
    <t>vickysueno@hotmail.com</t>
  </si>
  <si>
    <t>172 Graffon Avenue, Newark, NJ</t>
  </si>
  <si>
    <t>973-849-7332</t>
  </si>
  <si>
    <t>American HistoryHS</t>
  </si>
  <si>
    <t>https://drive.google.com/open?id=1cI7DqyQogqhyQjaiEtpwCzVsfeXfU-p6</t>
  </si>
  <si>
    <t xml:space="preserve">Culinary Chef </t>
  </si>
  <si>
    <t xml:space="preserve">good writer, avid reader, great baker </t>
  </si>
  <si>
    <t xml:space="preserve">TCNJ, Rutgers, Seton Hall </t>
  </si>
  <si>
    <t xml:space="preserve">Accountant, Chef, Author, Lawyer, Teacher </t>
  </si>
  <si>
    <t xml:space="preserve">I hope that I can be able to build my resources with this program, meet other professional females that can motivate me to realize that it can be done. </t>
  </si>
  <si>
    <t>Patient, determined, and motivated</t>
  </si>
  <si>
    <t>https://drive.google.com/open?id=1AOJurqAeZ2tSKuUf1xiZMZ3OCmxideVe</t>
  </si>
  <si>
    <t xml:space="preserve">Epiphania Jarquin </t>
  </si>
  <si>
    <t>https://drive.google.com/open?id=15WJpzCHp9NYMCHcK9TfYjGwO0J0k1Qgv</t>
  </si>
  <si>
    <t>epyj653@gmail.com</t>
  </si>
  <si>
    <t xml:space="preserve">Estrella Jarquin </t>
  </si>
  <si>
    <t>estrellaj4@olympusacademy.org</t>
  </si>
  <si>
    <t>437 Maple Street, Brooklyn, NY</t>
  </si>
  <si>
    <t>917-636-9914</t>
  </si>
  <si>
    <t xml:space="preserve">883 Classon Avenue </t>
  </si>
  <si>
    <t>https://drive.google.com/open?id=1CV1kU-_3ZfzRBQQ_rOorX7lngjnsk5Qt</t>
  </si>
  <si>
    <t xml:space="preserve">communication, work well under pressure, determined </t>
  </si>
  <si>
    <t xml:space="preserve">NYU, Columbia, Baruch </t>
  </si>
  <si>
    <t xml:space="preserve">lawyer, doctor, nurse, psychologist, social worker </t>
  </si>
  <si>
    <t xml:space="preserve">Independent, logical, and resourceful </t>
  </si>
  <si>
    <t>https://drive.google.com/open?id=1OizHHQj9H0lWnO41JMW7zqSkvOED0TAe</t>
  </si>
  <si>
    <t>https://drive.google.com/open?id=11if8-BX1u794pyvO2gAPbq839OLQnr6J</t>
  </si>
  <si>
    <t>kamille1012@gmail.com</t>
  </si>
  <si>
    <t>862-438-4235</t>
  </si>
  <si>
    <t>Tatum Taylor</t>
  </si>
  <si>
    <t>tatumktaylor@yahoo.com</t>
  </si>
  <si>
    <t>415 A. South 9th street, Newark, NJ</t>
  </si>
  <si>
    <t>862-576-4219</t>
  </si>
  <si>
    <t>https://drive.google.com/open?id=1qQOuwSVdKhWloc3esP4YFdNSnMRqPJYK</t>
  </si>
  <si>
    <t xml:space="preserve">leadership, social skills, communication </t>
  </si>
  <si>
    <t>TCNJ, Rutgers, NYU</t>
  </si>
  <si>
    <t xml:space="preserve">I hope to gain a better mentality on life and to be better at being patient </t>
  </si>
  <si>
    <t xml:space="preserve">friendly, outgoing, determined </t>
  </si>
  <si>
    <t>https://drive.google.com/open?id=1RUBluZbfD8ouP367P2Kiy8MF8HSMArLv</t>
  </si>
  <si>
    <t>Maria Berrera</t>
  </si>
  <si>
    <t>https://drive.google.com/open?id=14qpd0v7B7t8NMyNLNjoBlKHFpcKlkz2N</t>
  </si>
  <si>
    <t>marifer22@gmail.com</t>
  </si>
  <si>
    <t>Miriam Barcenas Mejia</t>
  </si>
  <si>
    <t>557 East 21st Street, Apt 3j, Brooklyn, NY 11226</t>
  </si>
  <si>
    <t>347-351-8851; 929-367-9620</t>
  </si>
  <si>
    <t>https://drive.google.com/open?id=1VZsPdMmZzfxsEtQ42jkeCR_po1gj1Rxc</t>
  </si>
  <si>
    <t>Other- Undocumented</t>
  </si>
  <si>
    <t xml:space="preserve">Systems Engineering </t>
  </si>
  <si>
    <t>math, drawing, dancing</t>
  </si>
  <si>
    <t xml:space="preserve">NYU, Baruch, CUNY, </t>
  </si>
  <si>
    <t xml:space="preserve">system engineer, animation, computer programming </t>
  </si>
  <si>
    <t xml:space="preserve">I hope that the program help me to improve myself, I mean with the career that I want to be and if it is possible to improve my English </t>
  </si>
  <si>
    <t xml:space="preserve">dedicated, honest, and friendly </t>
  </si>
  <si>
    <t>SPEAK Summit - An event where mentees can present their work, establishing themselves as presenters and public speakers, and network with mentees from other schools, mentors, college admissions officers, and other amazing adults to add to your network., SPEAK Summer Camp  - A  week long camp in the summer to visit colleges, and companies in a particular city. You will also have opportunities to do a number of fun and empowering self- and team-building activities., None of these</t>
  </si>
  <si>
    <t>https://drive.google.com/open?id=1T5Id40iJEfF--r1YpDwMmQVPDrjX3R9I</t>
  </si>
  <si>
    <t xml:space="preserve">Daya Stanley </t>
  </si>
  <si>
    <t>https://drive.google.com/open?id=1b01Cq6iJoG9Q11lOlIz8sroVG-D9F59U</t>
  </si>
  <si>
    <t>8719944@philasd.org</t>
  </si>
  <si>
    <t>267-394-3896</t>
  </si>
  <si>
    <t xml:space="preserve">FB: Daya Stanley </t>
  </si>
  <si>
    <t xml:space="preserve">Akash Stanley </t>
  </si>
  <si>
    <t>akashstanley@gmail.com</t>
  </si>
  <si>
    <t>763 Sanford Street, Philadelphia, PA</t>
  </si>
  <si>
    <t>267-394-3869</t>
  </si>
  <si>
    <t>https://drive.google.com/open?id=1807USoKGXvRIiUj4TMSrTvypo3V_dT0M</t>
  </si>
  <si>
    <t xml:space="preserve">Malaylam </t>
  </si>
  <si>
    <t xml:space="preserve">Pediatrician </t>
  </si>
  <si>
    <t xml:space="preserve">outgoing, friendly, athletic </t>
  </si>
  <si>
    <t xml:space="preserve">A good knowledge of the real world </t>
  </si>
  <si>
    <t xml:space="preserve">I love trying out new things and getting out of my comfort zone </t>
  </si>
  <si>
    <t>https://drive.google.com/open?id=1tEhU1iV3Fvq94formPHJfnjVYUl9InYl</t>
  </si>
  <si>
    <t>Anastasiia Smetaniuk</t>
  </si>
  <si>
    <t>https://drive.google.com/open?id=1OFLkayXurwkEeWP0t35_6wWW_GX-2Pr9</t>
  </si>
  <si>
    <t>nastiagomes@gmail.com</t>
  </si>
  <si>
    <t>215-629-6860</t>
  </si>
  <si>
    <t>FB: Nastia Smetaniuk</t>
  </si>
  <si>
    <t>Oksana Smetaniuk</t>
  </si>
  <si>
    <t>nastagomes@gmail.com</t>
  </si>
  <si>
    <t>10837 Nandina Lane, Philadelphia, PA</t>
  </si>
  <si>
    <t>215-713-7229</t>
  </si>
  <si>
    <t>https://drive.google.com/open?id=10WlyoJeN-tqIa1DNLyhoRkEa4Bh-PWCl</t>
  </si>
  <si>
    <t>Ukrainia, Russia</t>
  </si>
  <si>
    <t xml:space="preserve">Precise, good learner, hardworker </t>
  </si>
  <si>
    <t>Drexel, FIT, UPenn</t>
  </si>
  <si>
    <t>Director, Model, Editor, Blogger, Photographer</t>
  </si>
  <si>
    <t xml:space="preserve">I hope to gain cool memories, friends, and opportunity to do the work I love </t>
  </si>
  <si>
    <t xml:space="preserve">prepared, adventurous, inspiring </t>
  </si>
  <si>
    <t xml:space="preserve">Fashion Designer </t>
  </si>
  <si>
    <t>https://drive.google.com/open?id=1yO2tN0lmCWp0x0Z7Otg5rR9odpl0Qr9v</t>
  </si>
  <si>
    <t>https://drive.google.com/open?id=1CsnQqw9bdHkIEnw_DA-bcB9GTUCKjcOU</t>
  </si>
  <si>
    <t>lylia.belbegra@gmail.com</t>
  </si>
  <si>
    <t>215-251-4142</t>
  </si>
  <si>
    <t xml:space="preserve">Must link sm </t>
  </si>
  <si>
    <t>Yacine Belbegra</t>
  </si>
  <si>
    <t>belyaci@hotmail.com</t>
  </si>
  <si>
    <t>2435 Tremont Street Apt. B, Philadelphia, PA</t>
  </si>
  <si>
    <t>215-834-1269</t>
  </si>
  <si>
    <t>https://drive.google.com/open?id=1z6kuSOvNAEPKvRhPnR3tXcD-k8hNM23p</t>
  </si>
  <si>
    <t>Algeria</t>
  </si>
  <si>
    <t xml:space="preserve">French, Arabic </t>
  </si>
  <si>
    <t>Confident, hardworking, leadership</t>
  </si>
  <si>
    <t>Drexel, Harvard, UPenn</t>
  </si>
  <si>
    <t>Makeup Entrepreneur, Business Owner, Medical Field</t>
  </si>
  <si>
    <t xml:space="preserve">I hope to gain more knowledge and get more opportunities for m education </t>
  </si>
  <si>
    <t xml:space="preserve">confident, hardworking, good listener </t>
  </si>
  <si>
    <t xml:space="preserve">I love to play soccer </t>
  </si>
  <si>
    <t>https://drive.google.com/open?id=1GdPkAxcBI-7yeLyXFd_UhtNT6fo5FIhi</t>
  </si>
  <si>
    <t>https://drive.google.com/open?id=1uxymKCZWuVbnt_0eYpDjXVhfaNV_udr1</t>
  </si>
  <si>
    <t>267-577-9338</t>
  </si>
  <si>
    <t>Turatbek Makenova</t>
  </si>
  <si>
    <t>mactus1@gmail.com</t>
  </si>
  <si>
    <t>244 Nandian Plz, Philadelphia, PA 19116</t>
  </si>
  <si>
    <t>347-543-7766</t>
  </si>
  <si>
    <t>https://drive.google.com/open?id=1tr4kuz50hZ93AbFAkokzGUBsLfgL2EWR</t>
  </si>
  <si>
    <t xml:space="preserve">Kyrgyzstan </t>
  </si>
  <si>
    <t xml:space="preserve">English and Russian </t>
  </si>
  <si>
    <t xml:space="preserve">Engineer </t>
  </si>
  <si>
    <t>academic competence in math and science, teamwork, and learning skills</t>
  </si>
  <si>
    <t xml:space="preserve">Harvard, Stanford, MIT, Brown, Princeton </t>
  </si>
  <si>
    <t xml:space="preserve">Mathematician, Physicist, Programmer, Physician, Businesswoman, Engineer </t>
  </si>
  <si>
    <t xml:space="preserve">I hope to gain in-depth understanding of the variety of careers, and to be able to understand the ways I can achieve success towards pursuing my career of interest. </t>
  </si>
  <si>
    <t xml:space="preserve">Enthusiastic, Inquisitive, Intuitive </t>
  </si>
  <si>
    <t>https://drive.google.com/open?id=1ZBI5uNH8uNVb6yTAD5XA-kmrwuBtHZgj</t>
  </si>
  <si>
    <t xml:space="preserve">Lakshmi Jason </t>
  </si>
  <si>
    <t>https://drive.google.com/open?id=1rrUSWC76332aZFN_SRFCo5u8R9zlq_I4</t>
  </si>
  <si>
    <t>7407633@philasd.org</t>
  </si>
  <si>
    <t>215-800-6944</t>
  </si>
  <si>
    <t xml:space="preserve">Resmy Jason </t>
  </si>
  <si>
    <t>resmyjason@yahoo.com</t>
  </si>
  <si>
    <t>207 Radburn Road, Philadelphia, PA</t>
  </si>
  <si>
    <t>215-820-6736</t>
  </si>
  <si>
    <t>https://drive.google.com/open?id=1lrX5Vi4LTcI5Jq85J6E78BSV0inJX9gW</t>
  </si>
  <si>
    <t>Malayalam and English</t>
  </si>
  <si>
    <t>good writer, friendly, outgoing</t>
  </si>
  <si>
    <t>Drexel, UPenn, Princeton</t>
  </si>
  <si>
    <t>Heart Surgeon, Cardiologist, Nurse Anesthetist, Lawyer, Pediatrician, Nurse</t>
  </si>
  <si>
    <t xml:space="preserve">More about my interest in being a heart surgeon </t>
  </si>
  <si>
    <t>Kind, intelligent, outgoing</t>
  </si>
  <si>
    <t>https://drive.google.com/open?id=168WGF9RYee3_2PUjjy5IEGaTzKH0wl9H</t>
  </si>
  <si>
    <t>Mohiruza Raimkulova</t>
  </si>
  <si>
    <t>https://drive.google.com/open?id=1tlqw_DDvmzNO7UpD4Ep1OBb9cULTObqV</t>
  </si>
  <si>
    <t>roseraimkulova14@gmail.com</t>
  </si>
  <si>
    <t>Shuhrat Irmasov</t>
  </si>
  <si>
    <t>273 Nandina Place, Philadelphia, PA</t>
  </si>
  <si>
    <t>267-593-3393</t>
  </si>
  <si>
    <t>https://drive.google.com/open?id=1JvPQE5hu64PhsfBnXyUaouZrvuMAfWsw</t>
  </si>
  <si>
    <t>Tajikstan</t>
  </si>
  <si>
    <t xml:space="preserve">Tajik, Uzbek, English, and Russian </t>
  </si>
  <si>
    <t xml:space="preserve">communication, teamwork, and openmindedness </t>
  </si>
  <si>
    <t>UPenn, Drexel, Villanova</t>
  </si>
  <si>
    <t>Doctor, Engineer, Air stewardess, lawyer, business, treacher</t>
  </si>
  <si>
    <t xml:space="preserve">I want to learn more about the careers that I'm interested in and what steps I can take to achieve it </t>
  </si>
  <si>
    <t>patient, kind, hardworking</t>
  </si>
  <si>
    <t xml:space="preserve">I get along with people easily and can communicate easily </t>
  </si>
  <si>
    <t>https://drive.google.com/open?id=11KKJ3pQ9QWSj6pZVjU0wSGhr-jz3Rzxz</t>
  </si>
  <si>
    <t xml:space="preserve">Sabrina Ashurova </t>
  </si>
  <si>
    <t>https://drive.google.com/open?id=1bJIBZxyhArQDbo4ii-2zumSMkwlJKH-0</t>
  </si>
  <si>
    <t>sabrinaashurova.02@gmail.com</t>
  </si>
  <si>
    <t>267-312-0227</t>
  </si>
  <si>
    <t xml:space="preserve">Dilrabo Ashurova </t>
  </si>
  <si>
    <t>dilaashurova@gmail.com</t>
  </si>
  <si>
    <t>218 Lockart Lane, Philadelphia, PA</t>
  </si>
  <si>
    <t>267-690-1062</t>
  </si>
  <si>
    <t>https://drive.google.com/open?id=1eIXmopZ_xNo57FnA6GZDTPFw7UmuhXVZ</t>
  </si>
  <si>
    <t xml:space="preserve">Uzbek, English, Tajik, Sometimes Russian </t>
  </si>
  <si>
    <t xml:space="preserve">teamwork, communication, critical thinking </t>
  </si>
  <si>
    <t>pediatrician, dentist, veterinarian, banker, orthodontist, marketing manager</t>
  </si>
  <si>
    <t xml:space="preserve">I hope I can determine what I want to be when I grow up and learn more about other career fields </t>
  </si>
  <si>
    <t xml:space="preserve">thoughtful, patient, positive </t>
  </si>
  <si>
    <t>https://drive.google.com/open?id=1F0hpubZVkHuspcVahQGp3WO0uSzv8BPH</t>
  </si>
  <si>
    <t>Sayyora Khadjimatova</t>
  </si>
  <si>
    <t>https://drive.google.com/open?id=1_jZeCt032Dalo-Hkqgc-Kod6zaO1uZnc</t>
  </si>
  <si>
    <t>267 -466-7121</t>
  </si>
  <si>
    <t>facebook.com/sayyora.khadjimatova.9</t>
  </si>
  <si>
    <t>Abulkasim Khadjimatova</t>
  </si>
  <si>
    <t>273 Mandina Place, Philadelphia, PA</t>
  </si>
  <si>
    <t>267-466-7121; 267-466-7121</t>
  </si>
  <si>
    <t>https://drive.google.com/open?id=1Zs7JtFH_21ZCmwjl2fOeL8o9FmuBB74E</t>
  </si>
  <si>
    <t xml:space="preserve">Tajik, Uzbek, Russian, and English </t>
  </si>
  <si>
    <t xml:space="preserve">Linguist </t>
  </si>
  <si>
    <t xml:space="preserve">Multi-tasking, linguist, teamwork </t>
  </si>
  <si>
    <t xml:space="preserve">Interpreter and translator, physician, lawyer, business, dentist, creative writer </t>
  </si>
  <si>
    <t xml:space="preserve">I hope to gain more information about my career of interest and to learn about the steps I should start taking to  reach my career goal </t>
  </si>
  <si>
    <t xml:space="preserve">easy going, ambitious, reliable </t>
  </si>
  <si>
    <t>https://drive.google.com/open?id=1ubmW-nMtujrFnXNTTFdTCxgKSVF2MuDA</t>
  </si>
  <si>
    <t xml:space="preserve">Serma Basha </t>
  </si>
  <si>
    <t>https://drive.google.com/open?id=14_rWR4TNsjXR8L2VKPIsC5CHCmw7rKPF</t>
  </si>
  <si>
    <t>serma.basha@gmail.com</t>
  </si>
  <si>
    <t>215-578-0121</t>
  </si>
  <si>
    <t xml:space="preserve">Ruzhdi Basha </t>
  </si>
  <si>
    <t>bashruzhdi@gmail.com</t>
  </si>
  <si>
    <t>3119 Wellington Street, Philadelphia, PA</t>
  </si>
  <si>
    <t>215-934-9850</t>
  </si>
  <si>
    <t>https://drive.google.com/open?id=10uy15WtTykemZltT1F5cMwVjmedxjCWn</t>
  </si>
  <si>
    <t>Albania</t>
  </si>
  <si>
    <t>Albanian</t>
  </si>
  <si>
    <t>friendly, active, smart</t>
  </si>
  <si>
    <t>lawyer, architect, nurse, orthodontist, singer, economist</t>
  </si>
  <si>
    <t>I hope to learn more about my career path and women's strength</t>
  </si>
  <si>
    <t xml:space="preserve">kind, intelligent, artistic </t>
  </si>
  <si>
    <t>https://drive.google.com/open?id=1PKJsi-d5yxwuilPPC1n6oPvYHr9sR0SI</t>
  </si>
  <si>
    <t>Naomi Areizaga</t>
  </si>
  <si>
    <t>https://drive.google.com/open?id=1y2Ccp-Zvh-iAXwp9wAbhyTMxT5yThO4_</t>
  </si>
  <si>
    <t>noemi.mimi.2004@gmail.com</t>
  </si>
  <si>
    <t>973-820-6608</t>
  </si>
  <si>
    <t>Nelson Ramos</t>
  </si>
  <si>
    <t>nelsonjr.751@gmail.com</t>
  </si>
  <si>
    <t>184 E. Kinney Street, Newark, NJ</t>
  </si>
  <si>
    <t>973-820-8884</t>
  </si>
  <si>
    <t>https://drive.google.com/open?id=1CA4EvaCipxsFgQvg1isU0d_vtAYvZSQH</t>
  </si>
  <si>
    <t>Interior Design Business</t>
  </si>
  <si>
    <t>Optimistic, Responsible, Introverted</t>
  </si>
  <si>
    <t xml:space="preserve">Rutgers, Seton Hall, TCNJ, </t>
  </si>
  <si>
    <t>Business, Media, Doctor, Lawyer, Criminal Justice</t>
  </si>
  <si>
    <t xml:space="preserve">I hope to gain college admission, learn how to do a resume and participate in guest speakers </t>
  </si>
  <si>
    <t>organized, helpful, independent</t>
  </si>
  <si>
    <t>https://drive.google.com/open?id=1EdMtzLtNYcvvT9ccEJ1MLm4-xBO-NWvT</t>
  </si>
  <si>
    <t>Nayely Jimenez</t>
  </si>
  <si>
    <t>https://drive.google.com/open?id=1IZwru0B8qEjb2EvML_amM-x6vHN5RvQA</t>
  </si>
  <si>
    <t>nayelyjimenez9@gmail.com</t>
  </si>
  <si>
    <t>973-518-4727</t>
  </si>
  <si>
    <t>Martha Jimenez</t>
  </si>
  <si>
    <t>marthajimenez784@gmail.com</t>
  </si>
  <si>
    <t>152 Charlton Street, Newark, NJ</t>
  </si>
  <si>
    <t>https://drive.google.com/open?id=1yROJw68QAFV12rPLTskHMgNtmk83QNS8</t>
  </si>
  <si>
    <t xml:space="preserve">Forensic Science/Psychology </t>
  </si>
  <si>
    <t>independent, goal oriented, organized</t>
  </si>
  <si>
    <t>UPenn, Rutgers, Princeton</t>
  </si>
  <si>
    <t>Forensic Science, Psychology</t>
  </si>
  <si>
    <t>I hope to gain better communication skills as well as learn how to succeed in the future</t>
  </si>
  <si>
    <t>independent, organized, and goal oriented</t>
  </si>
  <si>
    <t>https://drive.google.com/open?id=1l_RwUOXiF3uqJOgYLLsnYOSIDy-GTth4</t>
  </si>
  <si>
    <t>Onyebuchi Okafor</t>
  </si>
  <si>
    <t>https://drive.google.com/open?id=1WfU_PIWRd5tBFGh9_muczPMhv2_ENl6D</t>
  </si>
  <si>
    <t>umie2001@gmail.com</t>
  </si>
  <si>
    <t>862-336-0105</t>
  </si>
  <si>
    <t>Mr. Okafu (did not give consent)</t>
  </si>
  <si>
    <t>American History Hs</t>
  </si>
  <si>
    <t>https://drive.google.com/open?id=1_7bQ3PhSsMtmaKfgS00uuyOmkOY-oXH-</t>
  </si>
  <si>
    <t xml:space="preserve">Nigeria </t>
  </si>
  <si>
    <t>Ebo</t>
  </si>
  <si>
    <t xml:space="preserve">Independent, Intelligent, curious </t>
  </si>
  <si>
    <t>Rutgers</t>
  </si>
  <si>
    <t>Doctor, BS Nurse, Phamacist</t>
  </si>
  <si>
    <t xml:space="preserve">I hope to gain is helping me with college, resume and participating in guest speakers </t>
  </si>
  <si>
    <t xml:space="preserve">very organized, helping others in need, learning new things </t>
  </si>
  <si>
    <t>https://drive.google.com/open?id=138eH7-DGHFiHC733yfoHBGDwAGpjRXhN</t>
  </si>
  <si>
    <t>Precious George</t>
  </si>
  <si>
    <t>https://drive.google.com/open?id=1yvrQt03t2t8eMGac2p72KEyWRXb40TT9</t>
  </si>
  <si>
    <t>mohoganybrown1@icloud.com</t>
  </si>
  <si>
    <t>973-563-4786</t>
  </si>
  <si>
    <t>Monique George</t>
  </si>
  <si>
    <t>63-65 Milford Avenue, Newark, NJ</t>
  </si>
  <si>
    <t>973-277-3067</t>
  </si>
  <si>
    <t>https://drive.google.com/open?id=1nyeUxa-xEp6euPYoTIAUWcfk1zccGIN2</t>
  </si>
  <si>
    <t>Photographer</t>
  </si>
  <si>
    <t>excellent writing skills, reading and comprehension</t>
  </si>
  <si>
    <t>Rutgers, Seton Hall</t>
  </si>
  <si>
    <t xml:space="preserve">Education, Medical </t>
  </si>
  <si>
    <t xml:space="preserve">Help me build my resume for college admissions and meet successful women </t>
  </si>
  <si>
    <t>introverted - extrovert, determined, motivated</t>
  </si>
  <si>
    <t>https://drive.google.com/open?id=1kR3wXqXXhNOb6hs6aUr__4r1d1etvCe6</t>
  </si>
  <si>
    <t>Rincy Roy</t>
  </si>
  <si>
    <t>https://drive.google.com/open?id=1kAR3g2Fl4jeil8zGOjYqf9U78kKTfFJU</t>
  </si>
  <si>
    <t>rincyroy101@gmail.com</t>
  </si>
  <si>
    <t>267-574-3163</t>
  </si>
  <si>
    <t>FB: https://www.facebook.com/rincy.roy.1656     Twitter @Rincyroy101</t>
  </si>
  <si>
    <t>Roy Varghese</t>
  </si>
  <si>
    <t>roy.varghese.kk@gmail.com</t>
  </si>
  <si>
    <t xml:space="preserve">9040 Pine Road, Philadelphia, PA </t>
  </si>
  <si>
    <t>267-242-7857</t>
  </si>
  <si>
    <t>https://drive.google.com/open?id=1G7uH9EdLGuGLkBs3IpehDln3xnAsrK4t</t>
  </si>
  <si>
    <t xml:space="preserve">Culinary Arts </t>
  </si>
  <si>
    <t>Organized, motivated, intelligent</t>
  </si>
  <si>
    <t>Rutgers, School of Culinary Arts</t>
  </si>
  <si>
    <t xml:space="preserve">I hope to gain leadership skills from this program </t>
  </si>
  <si>
    <t xml:space="preserve">respectful, friendly, trustworthy </t>
  </si>
  <si>
    <t>https://drive.google.com/open?id=1akHHRwyIrI0kCCzTHKXOA01-rRkWDntD</t>
  </si>
  <si>
    <t xml:space="preserve">Ruth Penzo </t>
  </si>
  <si>
    <t>https://drive.google.com/open?id=1Pp_gAZgqLl_uEkFbsmfKDYNpDi2Nqx7t</t>
  </si>
  <si>
    <t>ruthpenzo@gmail.com</t>
  </si>
  <si>
    <t>973-336-7238</t>
  </si>
  <si>
    <t>Milagros Pabon</t>
  </si>
  <si>
    <t>milipabon@hotmail.com</t>
  </si>
  <si>
    <t>22 Ruby Place, Newark, NJ (since moved)</t>
  </si>
  <si>
    <t>862-367-3956</t>
  </si>
  <si>
    <t>https://drive.google.com/open?id=1eZiJkslH40xw9IhAWgP0YvlUysmFkT6C</t>
  </si>
  <si>
    <t>CSI</t>
  </si>
  <si>
    <t>hardworking</t>
  </si>
  <si>
    <t>Rutgers, Princeton</t>
  </si>
  <si>
    <t xml:space="preserve">theater, CSI, Vocal </t>
  </si>
  <si>
    <t>I hope to gain more credit. This would look good on m resume</t>
  </si>
  <si>
    <t>kind, respectful, trustworthy</t>
  </si>
  <si>
    <t>https://drive.google.com/open?id=1FWohQi8igGGd_G3iuPqybPYXiD5R6vTj</t>
  </si>
  <si>
    <t>Shantae Brown</t>
  </si>
  <si>
    <t>https://drive.google.com/open?id=1lOBDjvuIEjk1l7U6_DSeRIouQMEfUnpu</t>
  </si>
  <si>
    <t>1212shan2@gmail.com</t>
  </si>
  <si>
    <t>347-299-5415</t>
  </si>
  <si>
    <t>@shantaebrown</t>
  </si>
  <si>
    <t>Eugene Brown</t>
  </si>
  <si>
    <t>819 Thomas Avenue, Boyland, Brookyn, NY</t>
  </si>
  <si>
    <t>833 Classon Avenue</t>
  </si>
  <si>
    <t>https://drive.google.com/open?id=1phcMLDcNkzgYeBPNV98mqhLTQo5IrGl9</t>
  </si>
  <si>
    <t xml:space="preserve">English and Patois </t>
  </si>
  <si>
    <t xml:space="preserve">Chef </t>
  </si>
  <si>
    <t>Dance, Sing, Cook</t>
  </si>
  <si>
    <t>CUNY, Baruch, NYU</t>
  </si>
  <si>
    <t>Chef, Fashion, Dancer, Lawyer, Nurse, Engineer</t>
  </si>
  <si>
    <t xml:space="preserve">How to get to where I want to get to and what to do when I get there </t>
  </si>
  <si>
    <t xml:space="preserve">different, tough, fun </t>
  </si>
  <si>
    <t>https://drive.google.com/open?id=15p3Zm3W3AWiI5BvFm_lc7LeLBH8EPRnV</t>
  </si>
  <si>
    <t xml:space="preserve">Sovana Dahal </t>
  </si>
  <si>
    <t>https://drive.google.com/open?id=1izsFEVytx5b45mkNe_HfYHh3WSryIlNc</t>
  </si>
  <si>
    <t>sovana2003@gmail.com</t>
  </si>
  <si>
    <t>917-657-5724</t>
  </si>
  <si>
    <t>Sovana Dahal - FB</t>
  </si>
  <si>
    <t>Digambar Dahal</t>
  </si>
  <si>
    <t>digambard@gmail.com</t>
  </si>
  <si>
    <t xml:space="preserve">47-25 48th street Apt. 5E, Woodside, NY </t>
  </si>
  <si>
    <t>917-463-8667</t>
  </si>
  <si>
    <t>https://drive.google.com/open?id=1SlRIp7Dzt6b8gWMOWpGV70y5GB34n9tu</t>
  </si>
  <si>
    <t>Nepali/English</t>
  </si>
  <si>
    <t>arts, managing things</t>
  </si>
  <si>
    <t>CUNY, NYU, Baruch</t>
  </si>
  <si>
    <t>Doctor, lawyer, nurse, engineer, dentist, manager</t>
  </si>
  <si>
    <t xml:space="preserve">To earn about what career I want to have </t>
  </si>
  <si>
    <t>focused, patient, dreamer</t>
  </si>
  <si>
    <t xml:space="preserve">The only thing I would like to add is that if proper guidance is provided, I will do every possible legit thing to achieve my dream </t>
  </si>
  <si>
    <t>https://drive.google.com/open?id=134wqifccJQFPs7OiURnIDyUCKwh4QeQe</t>
  </si>
  <si>
    <t>Tayshamarie Ramos</t>
  </si>
  <si>
    <t>https://drive.google.com/open?id=1jFOReB83qGjQqMgYSPhv8YI0-kMCI2ws</t>
  </si>
  <si>
    <t>tayshamarie.ramos@gmail.com</t>
  </si>
  <si>
    <t>Esther Torres</t>
  </si>
  <si>
    <t>15 Pennington Street, Newark, NJ</t>
  </si>
  <si>
    <t>973-273-3509</t>
  </si>
  <si>
    <t>https://drive.google.com/open?id=1Qvvl0SmnG9F-AqJSG8mCNRG_GxexqunA</t>
  </si>
  <si>
    <t>organized, helpful, like to write</t>
  </si>
  <si>
    <t>Rutgers, Seton Hall, Montclair</t>
  </si>
  <si>
    <t>veterinarian, visual art, journalist, photographer</t>
  </si>
  <si>
    <t xml:space="preserve">Build my resume, college admissions, participating in guest speakers </t>
  </si>
  <si>
    <t>introverted, optimistic, responsible</t>
  </si>
  <si>
    <t>https://drive.google.com/open?id=1-ZxOGAn9U1oe_QwRBGSx8LNV5yZNB8Ve</t>
  </si>
  <si>
    <t>Vanessa Ramirez Tapia</t>
  </si>
  <si>
    <t>https://drive.google.com/open?id=12OXXe1PQg6jdQwAsN1NfsGYMTLueQbf2</t>
  </si>
  <si>
    <t>247-743-6531</t>
  </si>
  <si>
    <t>Yazmin Tapia</t>
  </si>
  <si>
    <t>1806 Caton Avenue, Apt C5, Brooklyn, NY</t>
  </si>
  <si>
    <t>347-512-9383</t>
  </si>
  <si>
    <t>https://drive.google.com/open?id=1XeOEM1OkoKyP0GPGlVv308CW3SfIOYCQ</t>
  </si>
  <si>
    <t>Good with kids, good at most math, fast learner</t>
  </si>
  <si>
    <t>Cuny, Baruch, NYU</t>
  </si>
  <si>
    <t>parttime photographer, elementary teacher, dentist, nurse, pediatrician</t>
  </si>
  <si>
    <t xml:space="preserve">I hope to learn what career I want and if the career is the perfect one for me. I want to be ready for the future. I want to explore many careers. </t>
  </si>
  <si>
    <t xml:space="preserve">hard working, nice, smart </t>
  </si>
  <si>
    <t>I am a bit shy. I love working one on one</t>
  </si>
  <si>
    <t>https://drive.google.com/open?id=1ieA4iicce2wxSawLaNR-LGt5FKfpb8oc</t>
  </si>
  <si>
    <t>I like the idea of having short mentoring rounds so I can have more than one mentor</t>
  </si>
  <si>
    <t xml:space="preserve">The number of sessions in one Mentoring Round that I prefer is </t>
  </si>
  <si>
    <t xml:space="preserve">I liked learning about the skills my mentors used in their careers </t>
  </si>
  <si>
    <t xml:space="preserve">I learned about individuals in my mentor's career ecosystem/network </t>
  </si>
  <si>
    <t>I was introduced to individuals in my mentor's career ecosystem/network</t>
  </si>
  <si>
    <t xml:space="preserve">I like the idea of having sessions in school with my fellow SPEAK Mentees </t>
  </si>
  <si>
    <t xml:space="preserve">My Ambassadors helped keep me motivated and on track of my mentoring sessions </t>
  </si>
  <si>
    <t xml:space="preserve">The Ambassador was supportive during my programming </t>
  </si>
  <si>
    <t xml:space="preserve">I felt supported by the SPEAK team during my mentoring </t>
  </si>
  <si>
    <t xml:space="preserve">This type of virtual career and culture mentoring with more than one mentor helps me connect with many strong women on things I am interested in </t>
  </si>
  <si>
    <t>I enjoyed the SPEAK Chapter Club sessions</t>
  </si>
  <si>
    <t>I found the SPEAK Chapter Club sessions purposeful</t>
  </si>
  <si>
    <t xml:space="preserve">I felt that I and others were included in the Chapter Club, making it a safe space to share ideas and learn from others </t>
  </si>
  <si>
    <t xml:space="preserve">I felt the Chapter Club was necessary in developing the peer to peer relationships with other SPEAK girls at my school </t>
  </si>
  <si>
    <t xml:space="preserve">The mentors I matched with cared about me </t>
  </si>
  <si>
    <t xml:space="preserve">I was able to talk to my mentors about a wide range of topics </t>
  </si>
  <si>
    <t xml:space="preserve">I felt safe and comfortable with my mentors </t>
  </si>
  <si>
    <t>My mentors had qualities or skills that I’d like to have when I’m older.</t>
  </si>
  <si>
    <t>My mentors introduced me to new ideas, interests, and experiences.</t>
  </si>
  <si>
    <t xml:space="preserve">The SPEAK program made me understand the value in mentoring </t>
  </si>
  <si>
    <t xml:space="preserve">The SPEAK program made me understand what I should look for in a mentor for myself </t>
  </si>
  <si>
    <t xml:space="preserve">I will be adding more mentors in my network as I move forward on the high school to career pathway </t>
  </si>
  <si>
    <t xml:space="preserve">I made new friends in my grade from being in this program </t>
  </si>
  <si>
    <t xml:space="preserve">I made new friends in different grades from being in this program </t>
  </si>
  <si>
    <t xml:space="preserve">I met new girls from other schools/cities/states from being in this program </t>
  </si>
  <si>
    <t>My mentors introduced me to new skills</t>
  </si>
  <si>
    <t xml:space="preserve">My mentors showed me how to apply skills in different situations </t>
  </si>
  <si>
    <t>My mentor helped me understand myself better</t>
  </si>
  <si>
    <t xml:space="preserve">I have a clearer understanding of what colleges are appropriate for me </t>
  </si>
  <si>
    <t xml:space="preserve">I have a clearer understanding of what careers might be appropriate for me </t>
  </si>
  <si>
    <t xml:space="preserve">I have a better understanding of how to pursue certain career pathways </t>
  </si>
  <si>
    <t xml:space="preserve">I can make more informed decisions about my future </t>
  </si>
  <si>
    <t xml:space="preserve">Mentoring helped me understand how doing well in school is good for my future career </t>
  </si>
  <si>
    <t xml:space="preserve">I feel more engaged during class, and participate in class discussions more than before </t>
  </si>
  <si>
    <t xml:space="preserve">Mentoring helped me feel like I belong in school </t>
  </si>
  <si>
    <t xml:space="preserve">I feel I better understand people who are different from me </t>
  </si>
  <si>
    <t xml:space="preserve">I realized that I share the same struggles and hopes as many of the other girls and women I have met through SPEAK Mentorship </t>
  </si>
  <si>
    <t>Because of the SPEAK program, I can now talk with people I don’t know</t>
  </si>
  <si>
    <t>Because of the SPEAK program, I can make friends with other peers</t>
  </si>
  <si>
    <t xml:space="preserve">Because of the SPEAK program, I now know about more role models who look like me than I did before the program </t>
  </si>
  <si>
    <t xml:space="preserve">The SPEAK program inspired me to work hard towards my future </t>
  </si>
  <si>
    <t xml:space="preserve">The SPEAK program provided me opportunities to develop myself, which I didn't have before </t>
  </si>
  <si>
    <t>Right now I am identifying my strongest talents as I think about careers.</t>
  </si>
  <si>
    <t xml:space="preserve">I have a stronger grasp on time and task management </t>
  </si>
  <si>
    <t xml:space="preserve">I feel more confident overall </t>
  </si>
  <si>
    <t xml:space="preserve">I understand the value of grit and perseverance in order to reach my goals </t>
  </si>
  <si>
    <t>Right now I am learning what I can do to improve my chances of getting into my chosen career</t>
  </si>
  <si>
    <t>Right now I am learning as much as I can about the particular educational requirements of the career that interests me the most.</t>
  </si>
  <si>
    <t>Right now I am trying to find people who share my career interests</t>
  </si>
  <si>
    <t xml:space="preserve">I know about more careers and specific jobs in career fields than I did before I started this career field </t>
  </si>
  <si>
    <t xml:space="preserve">I feel I now possess skills that will help me be a stronger candidate for college and careers </t>
  </si>
  <si>
    <t>I feel more prepared for college</t>
  </si>
  <si>
    <t xml:space="preserve">I am now considering more selective colleges than I was before </t>
  </si>
  <si>
    <t xml:space="preserve">I know about more colleges than I did before I started this program </t>
  </si>
  <si>
    <t xml:space="preserve">I have become more engaged in my community, with peers and adults, after the SPEAK program </t>
  </si>
  <si>
    <t xml:space="preserve">I am proud of being multicultural </t>
  </si>
  <si>
    <t xml:space="preserve">I am proud of being diverse </t>
  </si>
  <si>
    <t xml:space="preserve">The SPEAK program helped me realize how to be strong as a young woman </t>
  </si>
  <si>
    <t>The SPEAK program helped me realize how to be strong as an immigrant (only respond N/A if you are not an immigrant or daughter of an immigrant--otherwise reply yes or no)</t>
  </si>
  <si>
    <t xml:space="preserve">The SPEAK program made me feel valued </t>
  </si>
  <si>
    <t xml:space="preserve">The SPEAK program gave me a safe space to address any concerns or questions about my identity, my relationships, and my future </t>
  </si>
  <si>
    <t xml:space="preserve">I enjoyed being a part of this program </t>
  </si>
  <si>
    <t xml:space="preserve">I am glad I joined this program and think more girls should be in this program </t>
  </si>
  <si>
    <t xml:space="preserve">Yes, I want to be a part of the Exploratory Program. Please send me more details about the membership. </t>
  </si>
  <si>
    <t xml:space="preserve">Leave some feedback about anything (Program Structure, Ambassadors, Chapter Club, Mentors, What You Learned, How we could have served you better). Leave us some positive vibes with that feedback! </t>
  </si>
  <si>
    <t>I understand better how my cultural value shapes my career choices</t>
  </si>
  <si>
    <t>I learned a lot from my peers in the Chapter Club</t>
  </si>
  <si>
    <t xml:space="preserve">My favorite part of the Chapter Club was the </t>
  </si>
  <si>
    <t>Graduated</t>
  </si>
  <si>
    <t>Neutral</t>
  </si>
  <si>
    <t>Agree</t>
  </si>
  <si>
    <t>Strongly agree</t>
  </si>
  <si>
    <t>Strongly Agree</t>
  </si>
  <si>
    <t>Disagree</t>
  </si>
  <si>
    <t>In the SPEAK Mentorship Program I talked to 3 women from different backrounds and with different careers. My mentors and I discussed their educational and career path, the skills they need for their job,etc.</t>
  </si>
  <si>
    <t>I am happy that I was apart of this program, and I feel like chapter clubs weren't really helpful for the girls or the program.</t>
  </si>
  <si>
    <t>This program was an amazing experience. :)</t>
  </si>
  <si>
    <t xml:space="preserve">I love the way this program was structured, learned so much, and had fun getting to know my mentors! </t>
  </si>
  <si>
    <t xml:space="preserve">This program is the best for girls like me and girls that have different cultures and backgrounds as me. This should be in more school </t>
  </si>
  <si>
    <t>Kizey.davidson12@gmail.com</t>
  </si>
  <si>
    <t>This program gave me a sense of responsibility and something productive to be apart of that I wanted to experience. It also pushed me and gave me a space to learn how be comfortable talking to others regardless of age of status, something I knew I eventually had to overcome. Thank you.</t>
  </si>
  <si>
    <t>I enjoyed being an ambassador and helping other girls i loved everything in speak Mentorship it was really amazing thank you.</t>
  </si>
  <si>
    <t>Great job.</t>
  </si>
  <si>
    <t>Thank you and I really appreciated this opportunity ❤️</t>
  </si>
  <si>
    <t>Strongly disagree</t>
  </si>
  <si>
    <t xml:space="preserve">I really enjoyed the sessions with my mentor, because she was always smiling. That gave me confidence at the moment to speak. Thank you. </t>
  </si>
  <si>
    <t>We shared our thoughts</t>
  </si>
  <si>
    <t xml:space="preserve">I am glad that i joined this program because ive learned more facts about colleges then before and how to communicate better with people that i just met and how to formally talk to people </t>
  </si>
  <si>
    <t xml:space="preserve">Meeting strong woman who have been throught many experiences that they tought me and my fellow friends in the program, i learned alot of stuffs i didnt know existed, and meeting new friends and developing better communication </t>
  </si>
  <si>
    <t>The Chapter Club was over great, but would of been more successful  if we’d prepared a little bit more earlier.</t>
  </si>
  <si>
    <t xml:space="preserve">Discussions </t>
  </si>
  <si>
    <t>SPEAK has given me a great great opportunities and so much knowledge that i never thought i wouldve gotten, and im very grateful. when i first moved here in brooklyn, i remebered how alone i felt, i was feeling like i dont belong here because of where i came from and how i was brought up, in school i never wanted to talk nor participate in any class activity because i thought that the other children would laugh at me, but then i got involved in the SPEAK mentorship program, and then i started my session, and getting to know my mentor, i figured there was a safe space to share what i was going through and i did. it changed the way i operated and so much more! And i think that this program will be very beneficial to young ladies all across the world as it grows, even schools. And as you grow, chapter clubs will grow as well as the mentees and mentors. And i would be more than pleased to start  even start one up in the college im going to end up in. Keep up the awesome work!</t>
  </si>
  <si>
    <t>my favorite part of the chapter club was when we had heated discussions about issues in society.</t>
  </si>
  <si>
    <t xml:space="preserve">Mentee Development </t>
  </si>
  <si>
    <t>Ambassador Development</t>
  </si>
  <si>
    <t>Mentor Quality</t>
  </si>
  <si>
    <t>Program Operations</t>
  </si>
  <si>
    <t>Mentor Process</t>
  </si>
  <si>
    <t>Application</t>
  </si>
  <si>
    <t>Orientation</t>
  </si>
  <si>
    <t>Monitoring and Support</t>
  </si>
  <si>
    <t>Exit</t>
  </si>
  <si>
    <t>Self</t>
  </si>
  <si>
    <t>Social</t>
  </si>
  <si>
    <t>College and Career Readiness</t>
  </si>
  <si>
    <t>Self-awareness</t>
  </si>
  <si>
    <t>Self-management</t>
  </si>
  <si>
    <t>Self-Advocacy</t>
  </si>
  <si>
    <t>Social Awareness</t>
  </si>
  <si>
    <t>Relationship  Skills</t>
  </si>
  <si>
    <t>College Awareness</t>
  </si>
  <si>
    <t>Career Awareness</t>
  </si>
  <si>
    <t>Career Skills (Problem Solving, Technology, Career Specific)</t>
  </si>
  <si>
    <t>Employment/Volunteering Opportunities</t>
  </si>
  <si>
    <t>Growth and Development</t>
  </si>
  <si>
    <t>Cultural Awareness</t>
  </si>
  <si>
    <t>Time/Task Management</t>
  </si>
  <si>
    <t>Goal Setting and Achievement</t>
  </si>
  <si>
    <t xml:space="preserve">Communication </t>
  </si>
  <si>
    <t>Responsible Decision Making</t>
  </si>
  <si>
    <t>Belonging</t>
  </si>
  <si>
    <t>Cultural Competency</t>
  </si>
  <si>
    <t>Peer-Peer</t>
  </si>
  <si>
    <t>Cross-Generational</t>
  </si>
  <si>
    <t>3a</t>
  </si>
  <si>
    <t>3b</t>
  </si>
  <si>
    <t>3c</t>
  </si>
  <si>
    <t>3d</t>
  </si>
  <si>
    <t>1a.1</t>
  </si>
  <si>
    <t>1a.2</t>
  </si>
  <si>
    <t>1b.1</t>
  </si>
  <si>
    <t>1b.2</t>
  </si>
  <si>
    <t>1c.1</t>
  </si>
  <si>
    <t>1c.2</t>
  </si>
  <si>
    <t>2a</t>
  </si>
  <si>
    <t>2b.1</t>
  </si>
  <si>
    <t>2b.2</t>
  </si>
  <si>
    <t>2b.3</t>
  </si>
  <si>
    <t>2b.4</t>
  </si>
  <si>
    <t xml:space="preserve">Are you an immigrant or daughter of immigrant?  </t>
  </si>
  <si>
    <t>somewhat</t>
  </si>
  <si>
    <t>not by much</t>
  </si>
  <si>
    <t>quite a bit</t>
  </si>
  <si>
    <t>very much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</si>
</sst>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
  </numFmts>
  <fonts count="27">
    <font>
      <sz val="10.0"/>
      <color rgb="FF000000"/>
      <name val="Arial"/>
    </font>
    <font>
      <b/>
    </font>
    <font/>
    <font>
      <u/>
      <color rgb="FF0000FF"/>
    </font>
    <font>
      <b/>
      <name val="Arial"/>
    </font>
    <font>
      <name val="Arial"/>
    </font>
    <font>
      <b/>
      <u/>
      <name val="Arial"/>
    </font>
    <font>
      <b/>
      <u/>
      <name val="Arial"/>
    </font>
    <font>
      <b/>
      <u/>
      <name val="Arial"/>
    </font>
    <font>
      <u/>
      <color rgb="FF1155CC"/>
      <name val="Arial"/>
    </font>
    <font>
      <u/>
      <color rgb="FF1155CC"/>
      <name val="Arial"/>
    </font>
    <font>
      <color rgb="FF000000"/>
      <name val="Arial"/>
    </font>
    <font>
      <u/>
      <color rgb="FF1155CC"/>
      <name val="Arial"/>
    </font>
    <font>
      <u/>
      <color rgb="FF1155CC"/>
      <name val="Arial"/>
    </font>
    <font>
      <b/>
      <u/>
      <name val="Arial"/>
    </font>
    <font>
      <u/>
      <color rgb="FF0000FF"/>
    </font>
    <font>
      <b/>
      <u/>
      <sz val="13.0"/>
      <color rgb="FF000000"/>
      <name val="Arial"/>
    </font>
    <font>
      <b/>
      <u/>
      <sz val="13.0"/>
      <color rgb="FF000000"/>
      <name val="Arial"/>
    </font>
    <font>
      <b/>
      <u/>
      <color rgb="FF000000"/>
      <name val="Arial"/>
    </font>
    <font>
      <b/>
      <u/>
      <color rgb="FF000000"/>
      <name val="Arial"/>
    </font>
    <font>
      <b/>
      <u/>
      <color rgb="FF000000"/>
      <name val="Arial"/>
    </font>
    <font>
      <b/>
      <u/>
      <color rgb="FF000000"/>
      <name val="Arial"/>
    </font>
    <font>
      <b/>
      <i/>
      <color rgb="FF000000"/>
      <name val="Arial"/>
    </font>
    <font>
      <b/>
      <i/>
      <name val="Arial"/>
    </font>
    <font>
      <i/>
      <name val="Arial"/>
    </font>
    <font>
      <b/>
      <u/>
      <name val="Arial"/>
    </font>
    <font>
      <b/>
      <u/>
      <name val="Arial"/>
    </font>
  </fonts>
  <fills count="29">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A4C2F4"/>
        <bgColor rgb="FFA4C2F4"/>
      </patternFill>
    </fill>
    <fill>
      <patternFill patternType="solid">
        <fgColor rgb="FFF4C7C3"/>
        <bgColor rgb="FFF4C7C3"/>
      </patternFill>
    </fill>
    <fill>
      <patternFill patternType="solid">
        <fgColor rgb="FFCCCCCC"/>
        <bgColor rgb="FFCCCCCC"/>
      </patternFill>
    </fill>
    <fill>
      <patternFill patternType="solid">
        <fgColor rgb="FF9900FF"/>
        <bgColor rgb="FF9900FF"/>
      </patternFill>
    </fill>
    <fill>
      <patternFill patternType="solid">
        <fgColor rgb="FF00FF00"/>
        <bgColor rgb="FF00FF00"/>
      </patternFill>
    </fill>
    <fill>
      <patternFill patternType="solid">
        <fgColor rgb="FFFFFF00"/>
        <bgColor rgb="FFFFFF00"/>
      </patternFill>
    </fill>
    <fill>
      <patternFill patternType="solid">
        <fgColor rgb="FFFCE8B2"/>
        <bgColor rgb="FFFCE8B2"/>
      </patternFill>
    </fill>
    <fill>
      <patternFill patternType="solid">
        <fgColor rgb="FFFFD966"/>
        <bgColor rgb="FFFFD966"/>
      </patternFill>
    </fill>
    <fill>
      <patternFill patternType="solid">
        <fgColor rgb="FFDD7E6B"/>
        <bgColor rgb="FFDD7E6B"/>
      </patternFill>
    </fill>
    <fill>
      <patternFill patternType="solid">
        <fgColor rgb="FF6AA84F"/>
        <bgColor rgb="FF6AA84F"/>
      </patternFill>
    </fill>
    <fill>
      <patternFill patternType="solid">
        <fgColor rgb="FFEA9999"/>
        <bgColor rgb="FFEA9999"/>
      </patternFill>
    </fill>
    <fill>
      <patternFill patternType="solid">
        <fgColor rgb="FF1155CC"/>
        <bgColor rgb="FF1155CC"/>
      </patternFill>
    </fill>
    <fill>
      <patternFill patternType="solid">
        <fgColor rgb="FFFF00FF"/>
        <bgColor rgb="FFFF00FF"/>
      </patternFill>
    </fill>
    <fill>
      <patternFill patternType="solid">
        <fgColor rgb="FFCC4125"/>
        <bgColor rgb="FFCC4125"/>
      </patternFill>
    </fill>
    <fill>
      <patternFill patternType="solid">
        <fgColor rgb="FF00FFFF"/>
        <bgColor rgb="FF00FFFF"/>
      </patternFill>
    </fill>
    <fill>
      <patternFill patternType="solid">
        <fgColor rgb="FF46BDC6"/>
        <bgColor rgb="FF46BDC6"/>
      </patternFill>
    </fill>
    <fill>
      <patternFill patternType="solid">
        <fgColor rgb="FF8EA9DB"/>
        <bgColor rgb="FF8EA9DB"/>
      </patternFill>
    </fill>
    <fill>
      <patternFill patternType="solid">
        <fgColor rgb="FF9FC5E8"/>
        <bgColor rgb="FF9FC5E8"/>
      </patternFill>
    </fill>
    <fill>
      <patternFill patternType="solid">
        <fgColor rgb="FFC9DAF8"/>
        <bgColor rgb="FFC9DAF8"/>
      </patternFill>
    </fill>
    <fill>
      <patternFill patternType="solid">
        <fgColor rgb="FF000000"/>
        <bgColor rgb="FF000000"/>
      </patternFill>
    </fill>
    <fill>
      <patternFill patternType="solid">
        <fgColor rgb="FFB7B7B7"/>
        <bgColor rgb="FFB7B7B7"/>
      </patternFill>
    </fill>
    <fill>
      <patternFill patternType="solid">
        <fgColor rgb="FF93C47D"/>
        <bgColor rgb="FF93C47D"/>
      </patternFill>
    </fill>
    <fill>
      <patternFill patternType="solid">
        <fgColor rgb="FF3C78D8"/>
        <bgColor rgb="FF3C78D8"/>
      </patternFill>
    </fill>
    <fill>
      <patternFill patternType="solid">
        <fgColor rgb="FFFF0000"/>
        <bgColor rgb="FFFF0000"/>
      </patternFill>
    </fill>
  </fills>
  <borders count="15">
    <border/>
    <border>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horizontal="center"/>
    </xf>
    <xf borderId="0" fillId="0" fontId="2" numFmtId="14" xfId="0" applyFont="1" applyNumberFormat="1"/>
    <xf borderId="0" fillId="0" fontId="3" numFmtId="0" xfId="0" applyFont="1"/>
    <xf quotePrefix="1" borderId="0" fillId="2" fontId="0" numFmtId="0" xfId="0" applyAlignment="1" applyFill="1" applyFont="1">
      <alignment readingOrder="0" shrinkToFit="0" vertical="bottom" wrapText="0"/>
    </xf>
    <xf borderId="0" fillId="0" fontId="2" numFmtId="164" xfId="0" applyFont="1" applyNumberFormat="1"/>
    <xf borderId="0" fillId="3" fontId="4" numFmtId="0" xfId="0" applyAlignment="1" applyFill="1" applyFont="1">
      <alignment vertical="bottom"/>
    </xf>
    <xf borderId="1" fillId="3" fontId="4" numFmtId="0" xfId="0" applyAlignment="1" applyBorder="1" applyFont="1">
      <alignment shrinkToFit="0" vertical="bottom" wrapText="0"/>
    </xf>
    <xf borderId="0" fillId="3" fontId="4" numFmtId="0" xfId="0" applyAlignment="1" applyFont="1">
      <alignment shrinkToFit="0" vertical="bottom" wrapText="0"/>
    </xf>
    <xf borderId="0" fillId="0" fontId="5" numFmtId="164" xfId="0" applyAlignment="1" applyFont="1" applyNumberFormat="1">
      <alignment horizontal="right" vertical="bottom"/>
    </xf>
    <xf borderId="0" fillId="0" fontId="5" numFmtId="0" xfId="0" applyAlignment="1" applyFont="1">
      <alignment vertical="bottom"/>
    </xf>
    <xf borderId="0" fillId="4" fontId="5" numFmtId="0" xfId="0" applyAlignment="1" applyFill="1" applyFont="1">
      <alignment vertical="bottom"/>
    </xf>
    <xf borderId="0" fillId="0" fontId="5" numFmtId="0" xfId="0" applyAlignment="1" applyFont="1">
      <alignment horizontal="right" vertical="bottom"/>
    </xf>
    <xf borderId="1" fillId="0" fontId="5" numFmtId="0" xfId="0" applyAlignment="1" applyBorder="1" applyFont="1">
      <alignment shrinkToFit="0" vertical="bottom" wrapText="0"/>
    </xf>
    <xf borderId="1" fillId="0" fontId="5" numFmtId="0" xfId="0" applyAlignment="1" applyBorder="1" applyFont="1">
      <alignment vertical="bottom"/>
    </xf>
    <xf borderId="0" fillId="4" fontId="5" numFmtId="164" xfId="0" applyAlignment="1" applyFont="1" applyNumberFormat="1">
      <alignment vertical="bottom"/>
    </xf>
    <xf borderId="0" fillId="0" fontId="5" numFmtId="164" xfId="0" applyAlignment="1" applyFont="1" applyNumberFormat="1">
      <alignment vertical="bottom"/>
    </xf>
    <xf borderId="0" fillId="3" fontId="6" numFmtId="0" xfId="0" applyAlignment="1" applyFont="1">
      <alignment horizontal="center" vertical="bottom"/>
    </xf>
    <xf borderId="0" fillId="5" fontId="7" numFmtId="0" xfId="0" applyAlignment="1" applyFill="1" applyFont="1">
      <alignment horizontal="center" vertical="bottom"/>
    </xf>
    <xf borderId="1" fillId="5" fontId="8" numFmtId="0" xfId="0" applyAlignment="1" applyBorder="1" applyFont="1">
      <alignment horizontal="center" shrinkToFit="0" vertical="bottom" wrapText="0"/>
    </xf>
    <xf borderId="0" fillId="6" fontId="5" numFmtId="0" xfId="0" applyAlignment="1" applyFill="1" applyFont="1">
      <alignment horizontal="center" vertical="bottom"/>
    </xf>
    <xf borderId="0" fillId="7" fontId="5" numFmtId="0" xfId="0" applyAlignment="1" applyFill="1" applyFont="1">
      <alignment horizontal="center" vertical="bottom"/>
    </xf>
    <xf borderId="0" fillId="7" fontId="5" numFmtId="164" xfId="0" applyAlignment="1" applyFont="1" applyNumberFormat="1">
      <alignment horizontal="center" vertical="bottom"/>
    </xf>
    <xf borderId="0" fillId="7" fontId="9" numFmtId="0" xfId="0" applyAlignment="1" applyFont="1">
      <alignment horizontal="center" vertical="bottom"/>
    </xf>
    <xf borderId="0" fillId="4" fontId="5" numFmtId="0" xfId="0" applyAlignment="1" applyFont="1">
      <alignment horizontal="center" vertical="bottom"/>
    </xf>
    <xf borderId="0" fillId="8" fontId="5" numFmtId="0" xfId="0" applyAlignment="1" applyFill="1" applyFont="1">
      <alignment horizontal="center" vertical="bottom"/>
    </xf>
    <xf borderId="1" fillId="7" fontId="5" numFmtId="0" xfId="0" applyAlignment="1" applyBorder="1" applyFont="1">
      <alignment horizontal="center" shrinkToFit="0" vertical="bottom" wrapText="0"/>
    </xf>
    <xf borderId="1" fillId="7" fontId="5" numFmtId="0" xfId="0" applyAlignment="1" applyBorder="1" applyFont="1">
      <alignment vertical="bottom"/>
    </xf>
    <xf borderId="0" fillId="7" fontId="5" numFmtId="0" xfId="0" applyAlignment="1" applyFont="1">
      <alignment horizontal="center" shrinkToFit="0" vertical="bottom" wrapText="0"/>
    </xf>
    <xf borderId="0" fillId="7" fontId="5" numFmtId="0" xfId="0" applyAlignment="1" applyFont="1">
      <alignment vertical="bottom"/>
    </xf>
    <xf borderId="0" fillId="9" fontId="5" numFmtId="0" xfId="0" applyAlignment="1" applyFill="1" applyFont="1">
      <alignment horizontal="center" vertical="bottom"/>
    </xf>
    <xf borderId="0" fillId="0" fontId="5" numFmtId="0" xfId="0" applyAlignment="1" applyFont="1">
      <alignment horizontal="center" vertical="bottom"/>
    </xf>
    <xf borderId="0" fillId="0" fontId="5" numFmtId="164" xfId="0" applyAlignment="1" applyFont="1" applyNumberFormat="1">
      <alignment horizontal="center" vertical="bottom"/>
    </xf>
    <xf borderId="0" fillId="0" fontId="10" numFmtId="0" xfId="0" applyAlignment="1" applyFont="1">
      <alignment horizontal="center" vertical="bottom"/>
    </xf>
    <xf borderId="0" fillId="10" fontId="5" numFmtId="0" xfId="0" applyAlignment="1" applyFill="1" applyFont="1">
      <alignment horizontal="center" vertical="bottom"/>
    </xf>
    <xf borderId="0" fillId="11" fontId="5" numFmtId="0" xfId="0" applyAlignment="1" applyFill="1" applyFont="1">
      <alignment horizontal="center" vertical="bottom"/>
    </xf>
    <xf borderId="0" fillId="12" fontId="5" numFmtId="0" xfId="0" applyAlignment="1" applyFill="1" applyFont="1">
      <alignment horizontal="center" vertical="bottom"/>
    </xf>
    <xf borderId="1" fillId="0" fontId="5" numFmtId="0" xfId="0" applyAlignment="1" applyBorder="1" applyFont="1">
      <alignment horizontal="center" shrinkToFit="0" vertical="bottom" wrapText="0"/>
    </xf>
    <xf borderId="0" fillId="0" fontId="5" numFmtId="0" xfId="0" applyAlignment="1" applyFont="1">
      <alignment horizontal="center" shrinkToFit="0" vertical="bottom" wrapText="0"/>
    </xf>
    <xf borderId="0" fillId="13" fontId="5" numFmtId="0" xfId="0" applyAlignment="1" applyFill="1" applyFont="1">
      <alignment horizontal="center" vertical="bottom"/>
    </xf>
    <xf borderId="0" fillId="4" fontId="11" numFmtId="0" xfId="0" applyAlignment="1" applyFont="1">
      <alignment horizontal="center" vertical="bottom"/>
    </xf>
    <xf borderId="0" fillId="14" fontId="5" numFmtId="0" xfId="0" applyAlignment="1" applyFill="1" applyFont="1">
      <alignment horizontal="center" vertical="bottom"/>
    </xf>
    <xf borderId="0" fillId="15" fontId="5" numFmtId="0" xfId="0" applyAlignment="1" applyFill="1" applyFont="1">
      <alignment horizontal="center" vertical="bottom"/>
    </xf>
    <xf borderId="0" fillId="0" fontId="5" numFmtId="14" xfId="0" applyAlignment="1" applyFont="1" applyNumberFormat="1">
      <alignment horizontal="center" vertical="bottom"/>
    </xf>
    <xf borderId="0" fillId="16" fontId="5" numFmtId="0" xfId="0" applyAlignment="1" applyFill="1" applyFont="1">
      <alignment horizontal="center" vertical="bottom"/>
    </xf>
    <xf borderId="0" fillId="7" fontId="5" numFmtId="14" xfId="0" applyAlignment="1" applyFont="1" applyNumberFormat="1">
      <alignment horizontal="center" vertical="bottom"/>
    </xf>
    <xf borderId="0" fillId="17" fontId="5" numFmtId="0" xfId="0" applyAlignment="1" applyFill="1" applyFont="1">
      <alignment horizontal="center" vertical="bottom"/>
    </xf>
    <xf borderId="0" fillId="18" fontId="5" numFmtId="0" xfId="0" applyAlignment="1" applyFill="1" applyFont="1">
      <alignment horizontal="center" vertical="bottom"/>
    </xf>
    <xf borderId="0" fillId="19" fontId="5" numFmtId="0" xfId="0" applyAlignment="1" applyFill="1" applyFont="1">
      <alignment horizontal="center" vertical="bottom"/>
    </xf>
    <xf borderId="0" fillId="6" fontId="5" numFmtId="0" xfId="0" applyAlignment="1" applyFont="1">
      <alignment horizontal="center" readingOrder="0" vertical="bottom"/>
    </xf>
    <xf borderId="0" fillId="20" fontId="5" numFmtId="0" xfId="0" applyAlignment="1" applyFill="1" applyFont="1">
      <alignment horizontal="center" vertical="bottom"/>
    </xf>
    <xf borderId="0" fillId="6" fontId="5" numFmtId="0" xfId="0" applyAlignment="1" applyFont="1">
      <alignment horizontal="right" vertical="bottom"/>
    </xf>
    <xf borderId="0" fillId="0" fontId="12" numFmtId="0" xfId="0" applyAlignment="1" applyFont="1">
      <alignment vertical="bottom"/>
    </xf>
    <xf borderId="0" fillId="13" fontId="5" numFmtId="0" xfId="0" applyAlignment="1" applyFont="1">
      <alignment vertical="bottom"/>
    </xf>
    <xf borderId="0" fillId="11" fontId="5" numFmtId="0" xfId="0" applyAlignment="1" applyFont="1">
      <alignment vertical="bottom"/>
    </xf>
    <xf borderId="0" fillId="0" fontId="5" numFmtId="14" xfId="0" applyAlignment="1" applyFont="1" applyNumberFormat="1">
      <alignment horizontal="right" vertical="bottom"/>
    </xf>
    <xf borderId="0" fillId="7" fontId="5" numFmtId="164" xfId="0" applyAlignment="1" applyFont="1" applyNumberFormat="1">
      <alignment horizontal="right" vertical="bottom"/>
    </xf>
    <xf borderId="0" fillId="7" fontId="13" numFmtId="0" xfId="0" applyAlignment="1" applyFont="1">
      <alignment vertical="bottom"/>
    </xf>
    <xf borderId="0" fillId="7" fontId="5" numFmtId="0" xfId="0" applyAlignment="1" applyFont="1">
      <alignment horizontal="right" vertical="bottom"/>
    </xf>
    <xf borderId="0" fillId="15" fontId="5" numFmtId="0" xfId="0" applyAlignment="1" applyFont="1">
      <alignment vertical="bottom"/>
    </xf>
    <xf borderId="0" fillId="7" fontId="5" numFmtId="14" xfId="0" applyAlignment="1" applyFont="1" applyNumberFormat="1">
      <alignment horizontal="right" vertical="bottom"/>
    </xf>
    <xf borderId="0" fillId="19" fontId="5" numFmtId="0" xfId="0" applyAlignment="1" applyFont="1">
      <alignment vertical="bottom"/>
    </xf>
    <xf borderId="0" fillId="6" fontId="5" numFmtId="0" xfId="0" applyAlignment="1" applyFont="1">
      <alignment vertical="bottom"/>
    </xf>
    <xf borderId="0" fillId="10" fontId="5" numFmtId="0" xfId="0" applyAlignment="1" applyFont="1">
      <alignment vertical="bottom"/>
    </xf>
    <xf borderId="0" fillId="9" fontId="5" numFmtId="0" xfId="0" applyAlignment="1" applyFont="1">
      <alignment horizontal="right" vertical="bottom"/>
    </xf>
    <xf borderId="0" fillId="18" fontId="5" numFmtId="0" xfId="0" applyAlignment="1" applyFont="1">
      <alignment vertical="bottom"/>
    </xf>
    <xf borderId="0" fillId="8" fontId="5" numFmtId="0" xfId="0" applyAlignment="1" applyFont="1">
      <alignment vertical="bottom"/>
    </xf>
    <xf borderId="0" fillId="17" fontId="5" numFmtId="0" xfId="0" applyAlignment="1" applyFont="1">
      <alignment vertical="bottom"/>
    </xf>
    <xf borderId="1" fillId="7" fontId="5" numFmtId="0" xfId="0" applyAlignment="1" applyBorder="1" applyFont="1">
      <alignment shrinkToFit="0" vertical="bottom" wrapText="0"/>
    </xf>
    <xf borderId="0" fillId="4" fontId="5" numFmtId="0" xfId="0" applyAlignment="1" applyFont="1">
      <alignment horizontal="right" vertical="bottom"/>
    </xf>
    <xf borderId="0" fillId="20" fontId="5" numFmtId="0" xfId="0" applyAlignment="1" applyFont="1">
      <alignment vertical="bottom"/>
    </xf>
    <xf borderId="0" fillId="16" fontId="5" numFmtId="0" xfId="0" applyAlignment="1" applyFont="1">
      <alignment vertical="bottom"/>
    </xf>
    <xf borderId="0" fillId="12" fontId="5" numFmtId="0" xfId="0" applyAlignment="1" applyFont="1">
      <alignment vertical="bottom"/>
    </xf>
    <xf borderId="0" fillId="14" fontId="5" numFmtId="0" xfId="0" applyAlignment="1" applyFont="1">
      <alignment vertical="bottom"/>
    </xf>
    <xf borderId="0" fillId="3" fontId="5" numFmtId="0" xfId="0" applyAlignment="1" applyFont="1">
      <alignment vertical="bottom"/>
    </xf>
    <xf borderId="1" fillId="3" fontId="14" numFmtId="0" xfId="0" applyAlignment="1" applyBorder="1" applyFont="1">
      <alignment horizontal="center" shrinkToFit="0" vertical="bottom" wrapText="0"/>
    </xf>
    <xf borderId="0" fillId="0" fontId="5" numFmtId="0" xfId="0" applyAlignment="1" applyFont="1">
      <alignment readingOrder="0" vertical="bottom"/>
    </xf>
    <xf borderId="0" fillId="0" fontId="15"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2" fillId="21" fontId="16" numFmtId="0" xfId="0" applyAlignment="1" applyBorder="1" applyFill="1" applyFont="1">
      <alignment horizontal="center" vertical="bottom"/>
    </xf>
    <xf borderId="3" fillId="0" fontId="2" numFmtId="0" xfId="0" applyBorder="1" applyFont="1"/>
    <xf borderId="4" fillId="0" fontId="2" numFmtId="0" xfId="0" applyBorder="1" applyFont="1"/>
    <xf borderId="3" fillId="21" fontId="17" numFmtId="0" xfId="0" applyAlignment="1" applyBorder="1" applyFont="1">
      <alignment horizontal="center" vertical="bottom"/>
    </xf>
    <xf borderId="5" fillId="0" fontId="2" numFmtId="0" xfId="0" applyBorder="1" applyFont="1"/>
    <xf borderId="6" fillId="22" fontId="18" numFmtId="0" xfId="0" applyAlignment="1" applyBorder="1" applyFill="1" applyFont="1">
      <alignment horizontal="center" vertical="bottom"/>
    </xf>
    <xf borderId="7" fillId="0" fontId="2" numFmtId="0" xfId="0" applyBorder="1" applyFont="1"/>
    <xf borderId="8" fillId="22" fontId="19" numFmtId="0" xfId="0" applyAlignment="1" applyBorder="1" applyFont="1">
      <alignment horizontal="center" vertical="bottom"/>
    </xf>
    <xf borderId="9" fillId="0" fontId="2" numFmtId="0" xfId="0" applyBorder="1" applyFont="1"/>
    <xf borderId="9" fillId="22" fontId="20" numFmtId="0" xfId="0" applyAlignment="1" applyBorder="1" applyFont="1">
      <alignment horizontal="center" vertical="bottom"/>
    </xf>
    <xf borderId="8" fillId="0" fontId="2" numFmtId="0" xfId="0" applyBorder="1" applyFont="1"/>
    <xf borderId="7" fillId="22" fontId="21" numFmtId="0" xfId="0" applyAlignment="1" applyBorder="1" applyFont="1">
      <alignment horizontal="center" vertical="bottom"/>
    </xf>
    <xf borderId="10" fillId="23" fontId="22" numFmtId="0" xfId="0" applyAlignment="1" applyBorder="1" applyFill="1" applyFont="1">
      <alignment horizontal="center" vertical="bottom"/>
    </xf>
    <xf borderId="11" fillId="23" fontId="22" numFmtId="0" xfId="0" applyAlignment="1" applyBorder="1" applyFont="1">
      <alignment horizontal="center" vertical="bottom"/>
    </xf>
    <xf borderId="12" fillId="23" fontId="23" numFmtId="0" xfId="0" applyAlignment="1" applyBorder="1" applyFont="1">
      <alignment horizontal="center" vertical="bottom"/>
    </xf>
    <xf borderId="12" fillId="23" fontId="22" numFmtId="0" xfId="0" applyAlignment="1" applyBorder="1" applyFont="1">
      <alignment horizontal="center" vertical="bottom"/>
    </xf>
    <xf borderId="12" fillId="24" fontId="5" numFmtId="0" xfId="0" applyAlignment="1" applyBorder="1" applyFill="1" applyFont="1">
      <alignment vertical="bottom"/>
    </xf>
    <xf borderId="13" fillId="24" fontId="24" numFmtId="0" xfId="0" applyAlignment="1" applyBorder="1" applyFont="1">
      <alignment horizontal="center" vertical="bottom"/>
    </xf>
    <xf borderId="14" fillId="25" fontId="4" numFmtId="0" xfId="0" applyAlignment="1" applyBorder="1" applyFill="1" applyFont="1">
      <alignment horizontal="center" vertical="bottom"/>
    </xf>
    <xf borderId="13" fillId="25" fontId="4" numFmtId="0" xfId="0" applyAlignment="1" applyBorder="1" applyFont="1">
      <alignment horizontal="center" vertical="bottom"/>
    </xf>
    <xf borderId="7" fillId="25" fontId="4" numFmtId="0" xfId="0" applyAlignment="1" applyBorder="1" applyFont="1">
      <alignment horizontal="center" vertical="bottom"/>
    </xf>
    <xf borderId="0" fillId="26" fontId="25" numFmtId="0" xfId="0" applyAlignment="1" applyFill="1" applyFont="1">
      <alignment horizontal="center" vertical="bottom"/>
    </xf>
    <xf borderId="0" fillId="26" fontId="5" numFmtId="0" xfId="0" applyAlignment="1" applyFont="1">
      <alignment vertical="bottom"/>
    </xf>
    <xf borderId="0" fillId="26" fontId="5" numFmtId="0" xfId="0" applyAlignment="1" applyFont="1">
      <alignment shrinkToFit="0" vertical="bottom" wrapText="1"/>
    </xf>
    <xf borderId="0" fillId="3" fontId="26" numFmtId="0" xfId="0" applyAlignment="1" applyFont="1">
      <alignment horizontal="center" shrinkToFit="0" vertical="bottom" wrapText="1"/>
    </xf>
    <xf borderId="0" fillId="3" fontId="5" numFmtId="0" xfId="0" applyAlignment="1" applyFont="1">
      <alignment shrinkToFit="0" vertical="bottom" wrapText="1"/>
    </xf>
    <xf borderId="0" fillId="27" fontId="5" numFmtId="0" xfId="0" applyAlignment="1" applyFill="1" applyFont="1">
      <alignment shrinkToFit="0" vertical="bottom" wrapText="1"/>
    </xf>
    <xf borderId="0" fillId="28" fontId="4" numFmtId="0" xfId="0" applyAlignment="1" applyFill="1" applyFont="1">
      <alignment shrinkToFit="0" vertical="bottom" wrapText="1"/>
    </xf>
    <xf borderId="0" fillId="0" fontId="2" numFmtId="0" xfId="0" applyAlignment="1" applyFont="1">
      <alignment shrinkToFit="0" wrapText="1"/>
    </xf>
    <xf borderId="0" fillId="0" fontId="5" numFmtId="9" xfId="0" applyAlignment="1" applyFont="1" applyNumberFormat="1">
      <alignment vertical="bottom"/>
    </xf>
    <xf borderId="0" fillId="0" fontId="2" numFmtId="9" xfId="0" applyAlignment="1" applyFont="1" applyNumberFormat="1">
      <alignment readingOrder="0"/>
    </xf>
    <xf borderId="0" fillId="0" fontId="2" numFmtId="165" xfId="0" applyFont="1" applyNumberFormat="1"/>
    <xf borderId="0" fillId="28" fontId="4"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s://api.typeform.com/responses/files/87c13c0218fc9ff6bb2156c9a2d821cee63eae67bcefe064d9d4acf3457ab883/app.ico" TargetMode="External"/><Relationship Id="rId190" Type="http://schemas.openxmlformats.org/officeDocument/2006/relationships/hyperlink" Target="https://api.typeform.com/responses/files/a399974feb9872e2daabd20815d70c6aac96bc72e93aff4aa285df2f04dd8ea4/IMG_3965.jpg" TargetMode="External"/><Relationship Id="rId42" Type="http://schemas.openxmlformats.org/officeDocument/2006/relationships/hyperlink" Target="https://api.typeform.com/responses/files/1f4f550c7735fd83ccc3185e109eafe0c0c0c024ac6bec13adb7188a38d7e8c3/2776CE57_976F_4C1F_8744_0290887C8A84.jpeg" TargetMode="External"/><Relationship Id="rId41" Type="http://schemas.openxmlformats.org/officeDocument/2006/relationships/hyperlink" Target="https://api.typeform.com/responses/files/80ae77ccfb30a39a82a7890f24ab6735336d0ba5f9b56c4fc01484f947b3bfd1/trim.609879B0_B531_412B_99B2_DD5170AB5C24.MOV" TargetMode="External"/><Relationship Id="rId44" Type="http://schemas.openxmlformats.org/officeDocument/2006/relationships/hyperlink" Target="https://api.typeform.com/responses/files/711b7940d4d8f177d8d3d82a16f98219f2a902b5779bbe96378cb93f202240ff/_mi_report_cart" TargetMode="External"/><Relationship Id="rId194" Type="http://schemas.openxmlformats.org/officeDocument/2006/relationships/hyperlink" Target="https://www.facebook.com/madusu.jabateh.73/" TargetMode="External"/><Relationship Id="rId43" Type="http://schemas.openxmlformats.org/officeDocument/2006/relationships/hyperlink" Target="https://api.typeform.com/responses/files/5fc8db8e786fb60e57a18a80a5c6507c76dccc9ac863ed8ef140b2b3923513e2/real" TargetMode="External"/><Relationship Id="rId193" Type="http://schemas.openxmlformats.org/officeDocument/2006/relationships/hyperlink" Target="https://api.typeform.com/responses/files/1d0b85efd54039fa8efb06491376682d6c6fac1888c2293711331a0a8ff310c3/7579FF0D_B23A_43C3_BB6A_54D0527BED1C.jpeg" TargetMode="External"/><Relationship Id="rId46" Type="http://schemas.openxmlformats.org/officeDocument/2006/relationships/hyperlink" Target="https://api.typeform.com/responses/files/2fe2a83810491e6e49fa4030455d8d7f9b845f75871ba6afb9e9bd7ecce01313/A7B9DE59_DE46_44EE_AE08_D6208F449F3A.png" TargetMode="External"/><Relationship Id="rId192" Type="http://schemas.openxmlformats.org/officeDocument/2006/relationships/hyperlink" Target="https://api.typeform.com/responses/files/8381c932918d206541395259c8fa598b0321ad09eecf03ab13510b5ec2e2d662/IMG_3975.jpg" TargetMode="External"/><Relationship Id="rId45" Type="http://schemas.openxmlformats.org/officeDocument/2006/relationships/hyperlink" Target="https://api.typeform.com/responses/files/fa466b7cc1df39273fb6585913dcbc5e1373345b3216cedccdbb471e9fdc22fe/157A047F_6A95_41E9_A690_7F7DB8023F25.jpeg" TargetMode="External"/><Relationship Id="rId191" Type="http://schemas.openxmlformats.org/officeDocument/2006/relationships/hyperlink" Target="https://api.typeform.com/responses/files/ace72f608045722e75a909adae83886cf4538b78c163440eb9fc6c0e5145026a/Nicole_Molano_transcript.pdf" TargetMode="External"/><Relationship Id="rId48" Type="http://schemas.openxmlformats.org/officeDocument/2006/relationships/hyperlink" Target="https://api.typeform.com/responses/files/010e552fed3d48b78f705abf56b6265ace8f60eaa024dfc1d5fea34d9be751fb/document.pdf" TargetMode="External"/><Relationship Id="rId187" Type="http://schemas.openxmlformats.org/officeDocument/2006/relationships/hyperlink" Target="https://api.typeform.com/responses/files/f7c6909861299b88032e58bda642ac9e9981baf8f514b36308b65fd439b1cd13/IMG_20210204_WA0022.jpg" TargetMode="External"/><Relationship Id="rId47" Type="http://schemas.openxmlformats.org/officeDocument/2006/relationships/hyperlink" Target="https://api.typeform.com/responses/files/f0e817bebf785511ce067d44929d7d0b65342b22c1bc1b954f265a7f6afdabf2/IMG_20201113_WA0013.jpg" TargetMode="External"/><Relationship Id="rId186" Type="http://schemas.openxmlformats.org/officeDocument/2006/relationships/hyperlink" Target="https://api.typeform.com/responses/files/dea53b8dba2748a9e49aab6dfe8985089511ba7a1498d0f6bf8d4e5ddaaec295/Parent.Guardian_Consent_Form__1_.pdf" TargetMode="External"/><Relationship Id="rId185" Type="http://schemas.openxmlformats.org/officeDocument/2006/relationships/hyperlink" Target="https://api.typeform.com/responses/files/b0a0aae87541b9f8134d4561deff49a00f5177f9bea6b34c41fd43583dab247d/Chamely_Lantigua_transcript.pdf" TargetMode="External"/><Relationship Id="rId49" Type="http://schemas.openxmlformats.org/officeDocument/2006/relationships/hyperlink" Target="https://api.typeform.com/responses/files/3b5b73839308f8d8c70e8fba19e0536e87f3f1f6728036ed06cffe0936259b88/Parent.Guardian_Consent_Form.pdf" TargetMode="External"/><Relationship Id="rId184" Type="http://schemas.openxmlformats.org/officeDocument/2006/relationships/hyperlink" Target="https://api.typeform.com/responses/files/89e9bcf2ad58306826c3f51121ed5a1104266e3f15bbb603e9353dc698c4ca2a/5fe2be83_853a_468a_a454_6021ac7ff6f8.jpg" TargetMode="External"/><Relationship Id="rId189" Type="http://schemas.openxmlformats.org/officeDocument/2006/relationships/hyperlink" Target="https://api.typeform.com/responses/files/eb75be805bd2333c217381e731ba8a2a5ae9b9ffca723cec10f0c9fc4e39b186/Please_DocuSign_ParentGuardian_Consent_Form.zip" TargetMode="External"/><Relationship Id="rId188" Type="http://schemas.openxmlformats.org/officeDocument/2006/relationships/hyperlink" Target="https://api.typeform.com/responses/files/97f7b4484f4ca171db6299c76e98acc5c7b82df6ec42611eae7df4eec1e16244/Catalina_Nunez_transcript__1_.pdf" TargetMode="External"/><Relationship Id="rId31" Type="http://schemas.openxmlformats.org/officeDocument/2006/relationships/hyperlink" Target="https://api.typeform.com/responses/files/d516127717687b1b7716e6fb9a866f7ea4dfa03b0e85464003d9b83c37f09f26/5CD4F09B_378F_4FE2_81CD_5571F3712255.jpeg" TargetMode="External"/><Relationship Id="rId30" Type="http://schemas.openxmlformats.org/officeDocument/2006/relationships/hyperlink" Target="https://api.typeform.com/responses/files/d728c090f4d0da37f50fa11b50d89de060af2e3d0702e021f147dc1bbaa1d674/20200831_165712.jpg" TargetMode="External"/><Relationship Id="rId33" Type="http://schemas.openxmlformats.org/officeDocument/2006/relationships/hyperlink" Target="https://api.typeform.com/responses/files/0b18d335cefef11619e16a257c825aba7a7f831163d433cff08dcd4b7cefb686/67A61763_382D_4AD1_8FF5_115310EFA8E6.jpeg" TargetMode="External"/><Relationship Id="rId183" Type="http://schemas.openxmlformats.org/officeDocument/2006/relationships/hyperlink" Target="https://api.typeform.com/responses/files/293bcda8a86b5f7c15d56d9c3d4271855d39e3087f8b8376c5f7250fe1d141f4/Penguins.jpg" TargetMode="External"/><Relationship Id="rId32" Type="http://schemas.openxmlformats.org/officeDocument/2006/relationships/hyperlink" Target="https://api.typeform.com/responses/files/5c5b5dc8d663d4cf9a2796ab4ca8eb34eaa616e66365930cebc750d3caa0d8ad/ACA5B37C_7C10_4584_AF02_C3CF22CE2D8D.jpeg" TargetMode="External"/><Relationship Id="rId182" Type="http://schemas.openxmlformats.org/officeDocument/2006/relationships/hyperlink" Target="https://api.typeform.com/responses/files/8b483b072849c807552ddb5b1993fd9875860780b09860e370669d7c49b0d48b/Hydrangeas.jpg" TargetMode="External"/><Relationship Id="rId35" Type="http://schemas.openxmlformats.org/officeDocument/2006/relationships/hyperlink" Target="https://api.typeform.com/responses/files/d0d56c819a1d45a16c21ff385f4226f41062bbe27014ab1d44b4a3c4becb77ad/20200512_143305.jpg" TargetMode="External"/><Relationship Id="rId181" Type="http://schemas.openxmlformats.org/officeDocument/2006/relationships/hyperlink" Target="http://www.facebook.com/CristalCastillo" TargetMode="External"/><Relationship Id="rId34" Type="http://schemas.openxmlformats.org/officeDocument/2006/relationships/hyperlink" Target="https://api.typeform.com/responses/files/0f0b0a48cd9c0a37f807c8e24b2bb7149c03a4428c3567baeec0d9ecbaebecef/CE81C730_E490_4CD2_9CD0_FB4C630F86FE.jpeg" TargetMode="External"/><Relationship Id="rId180" Type="http://schemas.openxmlformats.org/officeDocument/2006/relationships/hyperlink" Target="https://api.typeform.com/responses/files/41c66852450b7f1aa2e1c6c078208c5585bcfb64cb8f51b3cee2d292da5f5c67/Koala.jpg" TargetMode="External"/><Relationship Id="rId37" Type="http://schemas.openxmlformats.org/officeDocument/2006/relationships/hyperlink" Target="https://api.typeform.com/responses/files/ee6fcf092d233ebb7b164f581663f296ef7a9b1ea1acedde3bffcbcb257706cc/IMG_2397.jpg" TargetMode="External"/><Relationship Id="rId176" Type="http://schemas.openxmlformats.org/officeDocument/2006/relationships/hyperlink" Target="https://api.typeform.com/responses/files/6b2796d7c16f29b6bff0b2d69768da0cfd9ce6a7d60f9daf66bcc681da05d7a8/Parent.Guardian_Consent_Form.pdf" TargetMode="External"/><Relationship Id="rId297" Type="http://schemas.openxmlformats.org/officeDocument/2006/relationships/hyperlink" Target="https://api.typeform.com/responses/files/b51b846a28190bab1129abdaad52657365def8be8a61f0dd2641bd191c2b7c36/Parent.Guardian_Consent_Form.pdf" TargetMode="External"/><Relationship Id="rId36" Type="http://schemas.openxmlformats.org/officeDocument/2006/relationships/hyperlink" Target="https://api.typeform.com/responses/files/388e9c55e1d3eeff8ba9991eedb82f21bb558d1022d8610736e1fba9b51eae64/Screenshot_20200831_140018.png" TargetMode="External"/><Relationship Id="rId175" Type="http://schemas.openxmlformats.org/officeDocument/2006/relationships/hyperlink" Target="https://api.typeform.com/responses/files/ba735486e8a61ae0d68ab5dbbf50d08ca7afb8b26464745308980bb71fe04448/Yaire_Moore_Lopez_transcript__1_.pdf" TargetMode="External"/><Relationship Id="rId296" Type="http://schemas.openxmlformats.org/officeDocument/2006/relationships/hyperlink" Target="https://api.typeform.com/responses/files/6749836919946b12295936b566dc150c3e8f2763156224bc83c6db9f77627277/CHOWDHURY__AHNAF.pdf" TargetMode="External"/><Relationship Id="rId39" Type="http://schemas.openxmlformats.org/officeDocument/2006/relationships/hyperlink" Target="https://api.typeform.com/responses/files/33c6f4819869521e6db20cf2650faca06e325e275dd8da54de4984bace459b75/Dialpad.exe" TargetMode="External"/><Relationship Id="rId174" Type="http://schemas.openxmlformats.org/officeDocument/2006/relationships/hyperlink" Target="https://api.typeform.com/responses/files/220c50988e23bf04e3498cd053585e03fc087dd7526bf8096e885b54e3c55fe8/IMG_5349.jpg" TargetMode="External"/><Relationship Id="rId295" Type="http://schemas.openxmlformats.org/officeDocument/2006/relationships/hyperlink" Target="https://api.typeform.com/responses/files/c99376492f76299ec1741df6e51c11b063150cce2e96732657c69bf96ad20720/File_000__9_.png" TargetMode="External"/><Relationship Id="rId38" Type="http://schemas.openxmlformats.org/officeDocument/2006/relationships/hyperlink" Target="https://api.typeform.com/responses/files/bfc31ab61993daad5a09f2f050648590918f2ea2afc47d128f795187da4eb06a/IMG_2397.jpg" TargetMode="External"/><Relationship Id="rId173" Type="http://schemas.openxmlformats.org/officeDocument/2006/relationships/hyperlink" Target="https://api.typeform.com/responses/files/90c5776376c717b5e873d9d4bf883a89f3c7eb0362a48c85ae9fbaa108b305fc/DBBDA406_0558_4A2C_9CD3_74963F005283.png" TargetMode="External"/><Relationship Id="rId294" Type="http://schemas.openxmlformats.org/officeDocument/2006/relationships/hyperlink" Target="https://api.typeform.com/responses/files/2f3cfa37db3475507a09940caadd183208519e0e8de7285e460184a9006d24b6/Parent.Guardian_Consent_Form.pdf" TargetMode="External"/><Relationship Id="rId179" Type="http://schemas.openxmlformats.org/officeDocument/2006/relationships/hyperlink" Target="https://api.typeform.com/responses/files/a42024acbf98437aa2fd59614c41694a8c5040d879a634c7c6e7ce1e32b212bf/Hasly_Cortes__Parent_Guardian_Consent_Form.pdf" TargetMode="External"/><Relationship Id="rId178" Type="http://schemas.openxmlformats.org/officeDocument/2006/relationships/hyperlink" Target="https://api.typeform.com/responses/files/43fb0d699569f5efabe653b89698c692b26ab36525aa336dea3708a3881dd59e/white_wall_color.jpg" TargetMode="External"/><Relationship Id="rId299" Type="http://schemas.openxmlformats.org/officeDocument/2006/relationships/hyperlink" Target="https://api.typeform.com/responses/files/2e29f356c8850083d3cac7a1078aedcedc22f7fb7ccd0ee3129cdfb6cb1f0b98/Screenshot_2021_02_18_at_12.12.40_PM.png" TargetMode="External"/><Relationship Id="rId177" Type="http://schemas.openxmlformats.org/officeDocument/2006/relationships/hyperlink" Target="https://api.typeform.com/responses/files/4706ca0338af44559d3f652b243b091c442d3262ca85889d82f5f387770d4ecc/147874005_138109718148452_5469809199356471921_n.jpg" TargetMode="External"/><Relationship Id="rId298" Type="http://schemas.openxmlformats.org/officeDocument/2006/relationships/hyperlink" Target="https://api.typeform.com/responses/files/e914bc4176f89767741c8d0535ab34f13411d36bb778397c6fa0ace0d486ebdb/IMG_5149__1_.jpg" TargetMode="External"/><Relationship Id="rId20" Type="http://schemas.openxmlformats.org/officeDocument/2006/relationships/hyperlink" Target="https://api.typeform.com/responses/files/ae750b31a095328eb44e14838f5dfcdbc430465327c51efd95a54efe3735e7ba/Mental_health_SPEAK_Mentorship___One_Pager_2019.pdf" TargetMode="External"/><Relationship Id="rId22" Type="http://schemas.openxmlformats.org/officeDocument/2006/relationships/hyperlink" Target="https://api.typeform.com/responses/files/138a2ae6dcfb3afb5ee5568ad390440b1f23b5f2b4a5eb01621febfc77f0ba1f/Mental_health_SPEAK_Mentorship___One_Pager_2019.pdf" TargetMode="External"/><Relationship Id="rId21" Type="http://schemas.openxmlformats.org/officeDocument/2006/relationships/hyperlink" Target="https://api.typeform.com/responses/files/856ac172d15c0a04132b4962b2846a2ad2a0f305144f76674513990fdf95269c/Mental_health_SPEAK_Mentorship___One_Pager_2019.pdf" TargetMode="External"/><Relationship Id="rId24" Type="http://schemas.openxmlformats.org/officeDocument/2006/relationships/hyperlink" Target="https://api.typeform.com/responses/files/ac3c1b38b407753cf0882fc3751746513f881ca47cc354a94abc3826e6c57d09/IMG_1647.jpg" TargetMode="External"/><Relationship Id="rId23" Type="http://schemas.openxmlformats.org/officeDocument/2006/relationships/hyperlink" Target="https://api.typeform.com/responses/files/f8cf420c8ba3a2aee47cc7d78b94a5880cde205ee8dc390aae17ec929745e572/IMG_1647.jpg" TargetMode="External"/><Relationship Id="rId26" Type="http://schemas.openxmlformats.org/officeDocument/2006/relationships/hyperlink" Target="https://api.typeform.com/responses/files/88a021c823d7a0500fb0b3e180976c4b3419db97c7445cde366b6c00a5798a53/Report_card.pdf" TargetMode="External"/><Relationship Id="rId25" Type="http://schemas.openxmlformats.org/officeDocument/2006/relationships/hyperlink" Target="https://api.typeform.com/responses/files/33e993502117a57e954ff7a55c6b45090ac10d98e5118988da2c94110274aeea/head_picture.jpg" TargetMode="External"/><Relationship Id="rId28" Type="http://schemas.openxmlformats.org/officeDocument/2006/relationships/hyperlink" Target="https://api.typeform.com/responses/files/97eb8d02783974c3cf6583b76efc8c5b8c0f4c65d0a5473fe83be65d3c21dc8b/Screenshoot.png" TargetMode="External"/><Relationship Id="rId27" Type="http://schemas.openxmlformats.org/officeDocument/2006/relationships/hyperlink" Target="https://api.typeform.com/responses/files/ed5448c1bf8a7403fda6b3c8e2c5c6022885bd0df90909545c7e290b937f0d90/IMG_3782.HEIC" TargetMode="External"/><Relationship Id="rId29" Type="http://schemas.openxmlformats.org/officeDocument/2006/relationships/hyperlink" Target="https://api.typeform.com/responses/files/8e10bca70120a356e8c10cd6f3b5c395cde8fd34f1a313c0bd12cbc4090a23ab/20200901_154818.jpg" TargetMode="External"/><Relationship Id="rId11" Type="http://schemas.openxmlformats.org/officeDocument/2006/relationships/hyperlink" Target="https://api.typeform.com/responses/files/ce14cd6ca4d472ad6bda753aeccf4866231deec74fec27ac53dc3bc0dfbd84dc/3_2.jpg" TargetMode="External"/><Relationship Id="rId10" Type="http://schemas.openxmlformats.org/officeDocument/2006/relationships/hyperlink" Target="https://api.typeform.com/responses/files/9624e58c6dc0401eaa312fb521c81e6316b6855ba6958e1cfe5f3f9e16ee9608/2.png" TargetMode="External"/><Relationship Id="rId13" Type="http://schemas.openxmlformats.org/officeDocument/2006/relationships/hyperlink" Target="https://api.typeform.com/responses/files/2a0e04a071a06ead9c3a8cbfc6265b94954b85e299ca4e836973c2aa6a12eedb/Souleymane_Transcript__1_.pdf" TargetMode="External"/><Relationship Id="rId12" Type="http://schemas.openxmlformats.org/officeDocument/2006/relationships/hyperlink" Target="https://api.typeform.com/responses/files/551053fda1bcea5fd6daae69b61d0dd340b502b735c359efd1dff35eaa47e137/3_2.jpg" TargetMode="External"/><Relationship Id="rId15" Type="http://schemas.openxmlformats.org/officeDocument/2006/relationships/hyperlink" Target="https://api.typeform.com/responses/files/6219beeaa1466e285b652cda75a8e9f10d2d5b18fc19b383a5ca36a8b13d6177/IMG_3528.jpg" TargetMode="External"/><Relationship Id="rId198" Type="http://schemas.openxmlformats.org/officeDocument/2006/relationships/hyperlink" Target="https://api.typeform.com/responses/files/22091e130ea1eeb09ebeefb39b765ae788faad2ff197e94a06d15be1b584fd4e/Emely_Nolasco_transcript__1_.pdf" TargetMode="External"/><Relationship Id="rId14" Type="http://schemas.openxmlformats.org/officeDocument/2006/relationships/hyperlink" Target="https://api.typeform.com/responses/files/1bf21b9eddb34597943776b922c187a229d12bdc4369c793b62f596717ac862e/Souleymane_Transcript__1_.pdf" TargetMode="External"/><Relationship Id="rId197" Type="http://schemas.openxmlformats.org/officeDocument/2006/relationships/hyperlink" Target="https://api.typeform.com/responses/files/387118a89a6759d40f559157aaad6044adf9cb3584454250a23ceb166711f003/unnamed.jpg" TargetMode="External"/><Relationship Id="rId17" Type="http://schemas.openxmlformats.org/officeDocument/2006/relationships/hyperlink" Target="https://api.typeform.com/responses/files/419f86a94fa4b7e8f6f2b44b118e550ad42921c8a8ca43a7ca51a422e4933231/IMG_0062.JPG" TargetMode="External"/><Relationship Id="rId196" Type="http://schemas.openxmlformats.org/officeDocument/2006/relationships/hyperlink" Target="https://api.typeform.com/responses/files/31b3abc28ff767bc34d73ec2d996f075639f4ecf96220698b6853418122bc50e/Parent.Guardian_Consent_Form.docx" TargetMode="External"/><Relationship Id="rId16" Type="http://schemas.openxmlformats.org/officeDocument/2006/relationships/hyperlink" Target="https://api.typeform.com/responses/files/6562dc78f17484efdd248448a50a78f42aa39c31ba87065b248b176692ccc22b/IMG_3551.jpg" TargetMode="External"/><Relationship Id="rId195" Type="http://schemas.openxmlformats.org/officeDocument/2006/relationships/hyperlink" Target="https://api.typeform.com/responses/files/f6d3c5c5f98a7768d0ccc23d4a92d024fd8198798cbfeca88e67c584d45d7a66/Madusu_Jabateh_transcript.pdf" TargetMode="External"/><Relationship Id="rId19" Type="http://schemas.openxmlformats.org/officeDocument/2006/relationships/hyperlink" Target="https://api.typeform.com/responses/files/e408d63bb8137d5523320bb901562851f4e0c6781af310af1aadea54d54e3199/Mental_health_SPEAK_Mentorship___One_Pager_2019.pdf" TargetMode="External"/><Relationship Id="rId18" Type="http://schemas.openxmlformats.org/officeDocument/2006/relationships/hyperlink" Target="https://api.typeform.com/responses/files/418752406b2e78346b04b52e767fb45f5b0c0758d21272da1626d8dd14666fb4/ACFrOgA7y6gPHRyis3eUYdueubyLnN2vqy2HXZvAh_lMrRXYdlgtgD5nU06NdUcwIiG4qfPqeZuDA7VN5FzibTAEopB_oh_xPtYrisHmMSqUFOkQYubERHqMMBi_TP3hWW0T3mdke3Xp6pxLkdP6.pdf" TargetMode="External"/><Relationship Id="rId199" Type="http://schemas.openxmlformats.org/officeDocument/2006/relationships/hyperlink" Target="https://api.typeform.com/responses/files/29137f1a743834c7be5a7e558d19ad7fc7d7354421c30f819bc2f64158ad88c4/unnamed.jpg" TargetMode="External"/><Relationship Id="rId84" Type="http://schemas.openxmlformats.org/officeDocument/2006/relationships/hyperlink" Target="https://api.typeform.com/responses/files/7602dc0b7118fec82dbc4b03907ae99cf8640b5c740053992f4b004386de703f/IMG_5624.jpg" TargetMode="External"/><Relationship Id="rId83" Type="http://schemas.openxmlformats.org/officeDocument/2006/relationships/hyperlink" Target="https://api.typeform.com/responses/files/7336414e00611d67707cc2048443c857f90d43c0d4abdd5dc36472a57f235d69/IMG_5624.jpg" TargetMode="External"/><Relationship Id="rId86" Type="http://schemas.openxmlformats.org/officeDocument/2006/relationships/hyperlink" Target="https://api.typeform.com/responses/files/ab4930e700b6a3bcb33f0a9aba6ccef9bd2e8a47b2e5b92d1f259ba8a59f9b9b/2021_01_05.jpg" TargetMode="External"/><Relationship Id="rId85" Type="http://schemas.openxmlformats.org/officeDocument/2006/relationships/hyperlink" Target="https://api.typeform.com/responses/files/32526b5744e7c06ca83598353c0dbf27128cc97bd9607c7c89e78971919d7e0d/IMG_5624.jpg" TargetMode="External"/><Relationship Id="rId88" Type="http://schemas.openxmlformats.org/officeDocument/2006/relationships/hyperlink" Target="https://api.typeform.com/responses/files/41b24b3c8fe00c3b439fb6737ccbb525d8e9af008c7ea80c074c2dd2f1bfc939/Parent.Guardian_Consent_Form.pdf" TargetMode="External"/><Relationship Id="rId150" Type="http://schemas.openxmlformats.org/officeDocument/2006/relationships/hyperlink" Target="https://api.typeform.com/responses/files/72aa422bb638b715fb63c7ffe11e360d98eaed3a4d4ab5ab655cdb1ee4307937/Screenshot__9_.png" TargetMode="External"/><Relationship Id="rId271" Type="http://schemas.openxmlformats.org/officeDocument/2006/relationships/hyperlink" Target="https://api.typeform.com/responses/files/dc688bf0baaa36ed614ab05529aade5a9225bd32cea605815ddc8081be9772c0/Rakdh_Alzukary_report_card.pdf" TargetMode="External"/><Relationship Id="rId87" Type="http://schemas.openxmlformats.org/officeDocument/2006/relationships/hyperlink" Target="https://api.typeform.com/responses/files/ec4acf142ed24225f22d4518cab9e5dee94eb5e7b36948b5f291e4e7314cc958/Parent.Guardian_Consent_Form.pdf" TargetMode="External"/><Relationship Id="rId270" Type="http://schemas.openxmlformats.org/officeDocument/2006/relationships/hyperlink" Target="https://api.typeform.com/responses/files/aacd7eaa2618bf2664d2a724dadf2096b4b4b665c64bfbbebda4334c33a6c0fb/Rakdh_s_Head_image.jpg" TargetMode="External"/><Relationship Id="rId89" Type="http://schemas.openxmlformats.org/officeDocument/2006/relationships/hyperlink" Target="https://api.typeform.com/responses/files/68c88480279ac767196dc024728b493cebdd9ce13b5035d96487f2def8359bbf/Parent.Guardian_Consent_Form__1_.pdf" TargetMode="External"/><Relationship Id="rId80" Type="http://schemas.openxmlformats.org/officeDocument/2006/relationships/hyperlink" Target="https://api.typeform.com/responses/files/2dbbb96c70a10d0a5b08ea3ecc4b5b27fa3a4b5913bc1c74e7b4684c3d0c8d96/SAMPLE_INTERN_HEADSHOT.jpg" TargetMode="External"/><Relationship Id="rId82" Type="http://schemas.openxmlformats.org/officeDocument/2006/relationships/hyperlink" Target="https://api.typeform.com/responses/files/06fd37a359d2036a6685c2faf23dbf8b409d8d4afdc0399a2f2e872784dc2b51/Parent.Guardian_Consent_Form__1_.pdf" TargetMode="External"/><Relationship Id="rId81" Type="http://schemas.openxmlformats.org/officeDocument/2006/relationships/hyperlink" Target="https://api.typeform.com/responses/files/b061f9f27892368ff0c6770ae7002b0baf0bb9c5f158b91deaaa49a7954a0277/SAMPLE_INTERN_HEADSHOT.jpg" TargetMode="External"/><Relationship Id="rId1" Type="http://schemas.openxmlformats.org/officeDocument/2006/relationships/hyperlink" Target="https://api.typeform.com/responses/files/378ac85d79de37f366acf39c3b510311fac26119569e7dab02782cd67d31afd4/IMG_2522__1_.jpg" TargetMode="External"/><Relationship Id="rId2" Type="http://schemas.openxmlformats.org/officeDocument/2006/relationships/hyperlink" Target="https://api.typeform.com/responses/files/ad7e379963a836df3143d7d370b8852a8ac91290cee84a1868cca0edc61ee87a/IMG_2522__1_.jpg" TargetMode="External"/><Relationship Id="rId3" Type="http://schemas.openxmlformats.org/officeDocument/2006/relationships/hyperlink" Target="https://api.typeform.com/responses/files/fccca8b736ae78349fe2331f17452bd62df820a0fa82b424f1a5768940974849/Tim___Payroll.PNG" TargetMode="External"/><Relationship Id="rId149" Type="http://schemas.openxmlformats.org/officeDocument/2006/relationships/hyperlink" Target="https://api.typeform.com/responses/files/576f06b2154c016662fef9fdaa0292e24e3ea06dd3d244a3be38c6f07f40ab68/Magby_Orellana__updated_trans.pdf" TargetMode="External"/><Relationship Id="rId4" Type="http://schemas.openxmlformats.org/officeDocument/2006/relationships/hyperlink" Target="https://api.typeform.com/responses/files/2d1be795f57365c5b2166706bff4f0138564530d04709475891d77674191d065/Tim___Payroll.PNG" TargetMode="External"/><Relationship Id="rId148" Type="http://schemas.openxmlformats.org/officeDocument/2006/relationships/hyperlink" Target="https://api.typeform.com/responses/files/f3a28c31c7bf199bcf36630289a399d36b2c3b6b4d821f0784893e1992e0a7cc/SPEAKHIRE_Mail___Invitation__Sample_Intern_1_Sample_Intern_2_Sample_Champion_Internshi...___Wed_Feb_3__2021_11_30am___12_15pm__EST___info_speakhire.org_.pdf" TargetMode="External"/><Relationship Id="rId269" Type="http://schemas.openxmlformats.org/officeDocument/2006/relationships/hyperlink" Target="https://api.typeform.com/responses/files/f065be5d6f78d6ba6480ded5e3dd2355690757863d05cc998df25b13836e7e5f/image.jpg" TargetMode="External"/><Relationship Id="rId9" Type="http://schemas.openxmlformats.org/officeDocument/2006/relationships/hyperlink" Target="https://api.typeform.com/responses/files/41db90e0bfdd6041a550116da08befdd8bb81fa16d4534ee3d1ece1c46fbb901/2.png" TargetMode="External"/><Relationship Id="rId143" Type="http://schemas.openxmlformats.org/officeDocument/2006/relationships/hyperlink" Target="https://api.typeform.com/responses/files/1694e46649639f6d6579a1c95704e5e911576248dfdda7123f8853b783dc0325/Magby_Orellana_Consent_Form.pdf" TargetMode="External"/><Relationship Id="rId264" Type="http://schemas.openxmlformats.org/officeDocument/2006/relationships/hyperlink" Target="https://api.typeform.com/responses/files/ff8eea83d8944a81790e32ec19021d5451055cf15967653365a04ada5fce6ab4/Copy_of_File_001.jpeg" TargetMode="External"/><Relationship Id="rId142" Type="http://schemas.openxmlformats.org/officeDocument/2006/relationships/hyperlink" Target="https://api.typeform.com/responses/files/0dcec1d67e536d7aa06940683d6834a78aeb3af35937c9b91353f8c4ca0ebec9/Magby_Orellana_Transcript.pdf" TargetMode="External"/><Relationship Id="rId263" Type="http://schemas.openxmlformats.org/officeDocument/2006/relationships/hyperlink" Target="https://api.typeform.com/responses/files/6c14927a890ee4df6ee211de1ee04e5c4103997dfbdaf0e1e49b43373742a53c/Parent.Guardian_Consent_Form.pdf" TargetMode="External"/><Relationship Id="rId141" Type="http://schemas.openxmlformats.org/officeDocument/2006/relationships/hyperlink" Target="https://api.typeform.com/responses/files/f69f06cc80e0efc813698e767af1e581f2a31ea00642049ee4a62f89cb6de613/IMG_0062__1_.JPG" TargetMode="External"/><Relationship Id="rId262" Type="http://schemas.openxmlformats.org/officeDocument/2006/relationships/hyperlink" Target="https://api.typeform.com/responses/files/0bf2cae1813492fa8da9f69a76b2f93acfddda4e6c8d76970f42ebb8c4ed5ccf/62ED3448_AEC6_4016_A875_5BE60F134E13.png" TargetMode="External"/><Relationship Id="rId140" Type="http://schemas.openxmlformats.org/officeDocument/2006/relationships/hyperlink" Target="https://api.typeform.com/responses/files/47977d3a30c33662f88ed699b4dbaceb0c76180b0a63d70bdb2baa9bc4be33ed/Screen_Shot_2021_01_13_at_4.42.22_PM___amelia_geary.png" TargetMode="External"/><Relationship Id="rId261" Type="http://schemas.openxmlformats.org/officeDocument/2006/relationships/hyperlink" Target="https://api.typeform.com/responses/files/ad5749fefe85811c30d9ec857cba35531756ff0c516be5fd83c8f3dccac489ff/FAB68A3B_1CE4_463C_B062_7674A8242F24.jpeg" TargetMode="External"/><Relationship Id="rId382" Type="http://schemas.openxmlformats.org/officeDocument/2006/relationships/drawing" Target="../drawings/drawing1.xml"/><Relationship Id="rId5" Type="http://schemas.openxmlformats.org/officeDocument/2006/relationships/hyperlink" Target="https://api.typeform.com/responses/files/d96f3739c47192e46f098d8373239548bd3a3b5f64051f7835c3804285f1f249/AF725D6C_97F2_4834_8349_10EB7C091906.jpeg" TargetMode="External"/><Relationship Id="rId147" Type="http://schemas.openxmlformats.org/officeDocument/2006/relationships/hyperlink" Target="https://api.typeform.com/responses/files/b0bae4cb618a9477b4e32753645e33dd9e394cd5a1f811fff439ac5014d1848a/Maria.jpg" TargetMode="External"/><Relationship Id="rId268" Type="http://schemas.openxmlformats.org/officeDocument/2006/relationships/hyperlink" Target="https://api.typeform.com/responses/files/45ad06f4314c2bd95d586efd34d042e107ae6899f6e925f9c549663968360caf/image.jpg" TargetMode="External"/><Relationship Id="rId6" Type="http://schemas.openxmlformats.org/officeDocument/2006/relationships/hyperlink" Target="https://api.typeform.com/responses/files/8d233144b8b30ed6f4a33f3771d418440a30d5756e5f4470fa0fb54f239eb120/B83ED53E_2829_4485_A7C9_1504B4687A41.jpeg" TargetMode="External"/><Relationship Id="rId146" Type="http://schemas.openxmlformats.org/officeDocument/2006/relationships/hyperlink" Target="https://api.typeform.com/responses/files/f7c47ca794b31961d4c5129b771370630f2fdd271755f4419591346d911d02d6/Parent.Guardian_Consent_Form.docx" TargetMode="External"/><Relationship Id="rId267" Type="http://schemas.openxmlformats.org/officeDocument/2006/relationships/hyperlink" Target="https://api.typeform.com/responses/files/457944848aead042cf9fec9c26900711a73d30654fce4b6bd72ad4d60b6c7afd/0BB33485_81D2_4A40_ACE3_CB49C296284C.jpeg" TargetMode="External"/><Relationship Id="rId7" Type="http://schemas.openxmlformats.org/officeDocument/2006/relationships/hyperlink" Target="https://api.typeform.com/responses/files/8ba90e3287cc8278f1cf2cf045237c90dead8c2a98e3b3f98217aaa2d985aa00/BA002BDB_DA97_48EA_A228_BF4E3FC88253.jpeg" TargetMode="External"/><Relationship Id="rId145" Type="http://schemas.openxmlformats.org/officeDocument/2006/relationships/hyperlink" Target="https://api.typeform.com/responses/files/884b359bcddf90894d4c9e5b961a364fc4ca19c9a9db24a9ae4a2dd1305cfff2/Melany_Ortiz__trans.pdf" TargetMode="External"/><Relationship Id="rId266" Type="http://schemas.openxmlformats.org/officeDocument/2006/relationships/hyperlink" Target="https://api.typeform.com/responses/files/3bdc376750f4ad2e099a504a89822646bd9bbefd2c45de5a0a7aee289e3d09a6/Parent.Guardian_Consent_Form.docx" TargetMode="External"/><Relationship Id="rId8" Type="http://schemas.openxmlformats.org/officeDocument/2006/relationships/hyperlink" Target="https://api.typeform.com/responses/files/4634c920bc981004dfbee7a43417ee936145c3b64e2c175f8d473dd28a810cfe/95BCA862_DB87_42FC_B122_D4E7B00423B5.jpeg" TargetMode="External"/><Relationship Id="rId144" Type="http://schemas.openxmlformats.org/officeDocument/2006/relationships/hyperlink" Target="https://api.typeform.com/responses/files/c5bc8aa47f7876f39e6fdd5b45238d2df489458f94bb8c3e0bf7e3390956802e/20210129_153929.jpg" TargetMode="External"/><Relationship Id="rId265" Type="http://schemas.openxmlformats.org/officeDocument/2006/relationships/hyperlink" Target="https://api.typeform.com/responses/files/fc5d1a113c1a6a6b892c60ef051765b1e9d332f1e2003654439c13d42ea37fae/Screen_Shot_2021_02_17_at_12.14.39_PM.png" TargetMode="External"/><Relationship Id="rId73" Type="http://schemas.openxmlformats.org/officeDocument/2006/relationships/hyperlink" Target="https://api.typeform.com/responses/files/aa77e0ab109a96bd12d3e1fb0bb344c571af7daa1dac2d97c2f4c11ce9d3775f/Parent.Guardian_Consent_Form__1_.pdf" TargetMode="External"/><Relationship Id="rId72" Type="http://schemas.openxmlformats.org/officeDocument/2006/relationships/hyperlink" Target="https://api.typeform.com/responses/files/9f08bafd75c8b0b7dc1b233d77831240932807efe466cf6f803ab0cc61a2d33c/Parent.Guardian_Consent_Form.pdf" TargetMode="External"/><Relationship Id="rId75" Type="http://schemas.openxmlformats.org/officeDocument/2006/relationships/hyperlink" Target="https://api.typeform.com/responses/files/ef4dd72dadc7cbe8ffe7dbb9916da718d983ae51ac1d405ea901b14df241be97/Screen_Shot_2021_01_05_at_12.57.30_PM.png" TargetMode="External"/><Relationship Id="rId74" Type="http://schemas.openxmlformats.org/officeDocument/2006/relationships/hyperlink" Target="https://api.typeform.com/responses/files/070e0895accdfed9eb134549694aae2a0809bc0b59667a389d36e89a49bb5213/136112770_252269789578366_1021331761401551895_n.jpg" TargetMode="External"/><Relationship Id="rId77" Type="http://schemas.openxmlformats.org/officeDocument/2006/relationships/hyperlink" Target="https://api.typeform.com/responses/files/25426a67351c64c2b3748524d5b85605060ea90352e3d90fb6a744b26dac67ac/Screen_Shot_2020_11_17_at_11.26.01_AM.png" TargetMode="External"/><Relationship Id="rId260" Type="http://schemas.openxmlformats.org/officeDocument/2006/relationships/hyperlink" Target="https://api.typeform.com/responses/files/66d1c8f7ad59189d7afb9cbaa6616a206de3639ba02c400520e50ad8ea4c271f/perant_consent.pdf" TargetMode="External"/><Relationship Id="rId381" Type="http://schemas.openxmlformats.org/officeDocument/2006/relationships/hyperlink" Target="https://api.typeform.com/responses/files/863e2b876117cdb11c7d921dd41dc8217f4180159226623c48d1de56acd8e1f8/Parent.Guardian_Consent_Form.pdf" TargetMode="External"/><Relationship Id="rId76" Type="http://schemas.openxmlformats.org/officeDocument/2006/relationships/hyperlink" Target="https://api.typeform.com/responses/files/bceafb525ffbad2e7e9301279fa778e2be8b55c8d374b2d75e310999247412ce/136112770_252269789578366_1021331761401551895_n.jpg" TargetMode="External"/><Relationship Id="rId380" Type="http://schemas.openxmlformats.org/officeDocument/2006/relationships/hyperlink" Target="https://api.typeform.com/responses/files/0ed4281fa91f1ebdee030d913afab87d957bf854ddaa4aa7f38d19792fde4f96/Rankin.Iyana_transcript.pdf" TargetMode="External"/><Relationship Id="rId79" Type="http://schemas.openxmlformats.org/officeDocument/2006/relationships/hyperlink" Target="https://api.typeform.com/responses/files/90ddd9dd88a835cf5e214b7da7224ffc32183e88a7483fc5b7db746071dafb05/Screen_Shot_2020_11_10_at_12.02.11_PM.png" TargetMode="External"/><Relationship Id="rId78" Type="http://schemas.openxmlformats.org/officeDocument/2006/relationships/hyperlink" Target="https://api.typeform.com/responses/files/9e0e8b6318516c0df3a628c8230f304d2cf1674f2c3c8c5fe6af77d3a9997675/Screen_Shot_2020_11_10_at_12.02.11_PM.png" TargetMode="External"/><Relationship Id="rId71" Type="http://schemas.openxmlformats.org/officeDocument/2006/relationships/hyperlink" Target="https://api.typeform.com/responses/files/0449376e7300282d14fb929b043aef2131d87d7e56383cf94ea33e829cc5c784/SAMPLE_INTERN_HEADSHOT.jpg" TargetMode="External"/><Relationship Id="rId70" Type="http://schemas.openxmlformats.org/officeDocument/2006/relationships/hyperlink" Target="https://api.typeform.com/responses/files/15bd0e1293c23e856e5bbba5937caf6319b8b285b24dd79314e24fd822ccecc2/37A9F79B_C243_448E_B70C_D28BFF2FFB5D.png" TargetMode="External"/><Relationship Id="rId139" Type="http://schemas.openxmlformats.org/officeDocument/2006/relationships/hyperlink" Target="https://api.typeform.com/responses/files/4ec8b31fafe37315f1cf007ec268d5d26ee96524a5d09b13cb1f32291e44bae6/Screen_Shot_2021_01_13_at_4.42.22_PM___amelia_geary.png" TargetMode="External"/><Relationship Id="rId138" Type="http://schemas.openxmlformats.org/officeDocument/2006/relationships/hyperlink" Target="https://api.typeform.com/responses/files/8704dab4b4547e33a1cbc4cd89d9e595bcd45495d2413eb6d05b76f1732720a7/Screen_Shot_2021_01_13_at_4.42.22_PM___amelia_geary.png" TargetMode="External"/><Relationship Id="rId259" Type="http://schemas.openxmlformats.org/officeDocument/2006/relationships/hyperlink" Target="https://api.typeform.com/responses/files/2e3c75ad98607ffd690a5bba2ec42b13345a275cdbc27a8615b3374ce88dee05/ReportCard.pdf" TargetMode="External"/><Relationship Id="rId137" Type="http://schemas.openxmlformats.org/officeDocument/2006/relationships/hyperlink" Target="https://api.typeform.com/responses/files/389e76c24b61a84aa2dff9c06e3fb8c2296dcd2e368b14219c23f85b32636cd9/Screen_Shot_2021_01_13_at_4.42.22_PM___amelia_geary.png" TargetMode="External"/><Relationship Id="rId258" Type="http://schemas.openxmlformats.org/officeDocument/2006/relationships/hyperlink" Target="https://api.typeform.com/responses/files/6cc2ef4cbdd1867e42c4d996bde2701fbd113e555d18a799d6d03e05fda0eed9/20210217_114920.jpg" TargetMode="External"/><Relationship Id="rId379" Type="http://schemas.openxmlformats.org/officeDocument/2006/relationships/hyperlink" Target="https://api.typeform.com/responses/files/8001a7da8198137bd04aeb5f4692bcbce6416a178b3fbaa9a2b899c96fca6e1e/IMG_20210312_083458.jpg" TargetMode="External"/><Relationship Id="rId132" Type="http://schemas.openxmlformats.org/officeDocument/2006/relationships/hyperlink" Target="https://api.typeform.com/responses/files/c2d70f08ece9fa8ea236531cd5af6836af387df3bbbb67b89e0720426388dbf4/Maria.jpg" TargetMode="External"/><Relationship Id="rId253" Type="http://schemas.openxmlformats.org/officeDocument/2006/relationships/hyperlink" Target="https://api.typeform.com/responses/files/17810d6855ddf6e9d5b8ae45f68e056371372e15cf5d4ae61698196359b87f09/ReportCard__5_.pdf" TargetMode="External"/><Relationship Id="rId374" Type="http://schemas.openxmlformats.org/officeDocument/2006/relationships/hyperlink" Target="https://api.typeform.com/responses/files/73c4e1bac17fa69d360aa680e276773c353090879dd6bf285b8e7a3ea81a58bd/ReportCard__3_.pdf" TargetMode="External"/><Relationship Id="rId131" Type="http://schemas.openxmlformats.org/officeDocument/2006/relationships/hyperlink" Target="https://api.typeform.com/responses/files/de829adf4eaa418a7caaf5e63ea0d284efc68d87ce9c0e25d18370eca5f6e03d/F0D081B5_D8C1_4F39_B53F_A79E1CC83262.jpeg" TargetMode="External"/><Relationship Id="rId252" Type="http://schemas.openxmlformats.org/officeDocument/2006/relationships/hyperlink" Target="https://api.typeform.com/responses/files/b9eee22701ec0139f0efdc2f12c5ffcce08de787b269031c347e25decb48b79d/File_000.jpeg" TargetMode="External"/><Relationship Id="rId373" Type="http://schemas.openxmlformats.org/officeDocument/2006/relationships/hyperlink" Target="https://api.typeform.com/responses/files/9344e4318e936bc078d02ef171c795cdb417b2183b3af74d243e8974e7ab0d6b/Snapchat_880339627.jpg" TargetMode="External"/><Relationship Id="rId130" Type="http://schemas.openxmlformats.org/officeDocument/2006/relationships/hyperlink" Target="https://api.typeform.com/responses/files/7ce3784013d8048198f94cb11467df3209ac479f69ea8849b1e2cefa3299dd3c/18A1282B_1478_4FA9_B00B_CCA9E4217484.jpeg" TargetMode="External"/><Relationship Id="rId251" Type="http://schemas.openxmlformats.org/officeDocument/2006/relationships/hyperlink" Target="https://api.typeform.com/responses/files/195ed2932ef25e77579bfb547aa33e623fdcf281c1e14d48692bb38c61c4d7f4/Parent.Guardian_Consent_Form.pdf" TargetMode="External"/><Relationship Id="rId372" Type="http://schemas.openxmlformats.org/officeDocument/2006/relationships/hyperlink" Target="https://api.typeform.com/responses/files/aa6f2becf62efba680be026397f06875df64dfc1b32f1d93678e0da439391836/Copy_of_Parent.Guardian_Consent_Form.docx" TargetMode="External"/><Relationship Id="rId250" Type="http://schemas.openxmlformats.org/officeDocument/2006/relationships/hyperlink" Target="https://api.typeform.com/responses/files/3f70421d38c627acc93c96a10e153fe17295e88a09c832324a519710d2f83974/Screen_Shot_2021_02_15_at_11.31.26_AM.png" TargetMode="External"/><Relationship Id="rId371" Type="http://schemas.openxmlformats.org/officeDocument/2006/relationships/hyperlink" Target="https://api.typeform.com/responses/files/34cdb4f131c7aed6d27057e8940685b133f3b7ab668d9dac0063ba830a1bdbef/ReportCard.pdf" TargetMode="External"/><Relationship Id="rId136" Type="http://schemas.openxmlformats.org/officeDocument/2006/relationships/hyperlink" Target="https://api.typeform.com/responses/files/00518279cea8193d3bbf7c1c90897035d0775fa998830063ce06b6efaee1a08e/Screen_Shot_2021_01_13_at_4.42.22_PM___amelia_geary.png" TargetMode="External"/><Relationship Id="rId257" Type="http://schemas.openxmlformats.org/officeDocument/2006/relationships/hyperlink" Target="https://api.typeform.com/responses/files/fd35f0b3f2306bcbd429b3d394eca987a4a36795d8974b48e23a7051771e7236/Bailey_Parent_Consent.gdoc" TargetMode="External"/><Relationship Id="rId378" Type="http://schemas.openxmlformats.org/officeDocument/2006/relationships/hyperlink" Target="https://api.typeform.com/responses/files/71ba623cf6ed8c66aee302aa705be0af51177730ae1f8f0b0c1124980217667d/parent.docx" TargetMode="External"/><Relationship Id="rId135" Type="http://schemas.openxmlformats.org/officeDocument/2006/relationships/hyperlink" Target="https://api.typeform.com/responses/files/514f30726b32a8034bb9fa8514b34ec11eabcf1798e3776b0d7349f45d7d0b4a/NLC_Fellows_Mentorship.png" TargetMode="External"/><Relationship Id="rId256" Type="http://schemas.openxmlformats.org/officeDocument/2006/relationships/hyperlink" Target="https://api.typeform.com/responses/files/de34ed7cac4e9f29c608227e4525297fbdff6a59987531529b88098a68820580/E69EBD9A_F23B_4142_B54A_015E7954A75C.jpeg" TargetMode="External"/><Relationship Id="rId377" Type="http://schemas.openxmlformats.org/officeDocument/2006/relationships/hyperlink" Target="https://api.typeform.com/responses/files/c51fed8ce4f4a2c9659c945479e25cd6b6c29c3b59fa9428498b4cd07c4ced3a/ReportCard__3___1_.pdf" TargetMode="External"/><Relationship Id="rId134" Type="http://schemas.openxmlformats.org/officeDocument/2006/relationships/hyperlink" Target="https://api.typeform.com/responses/files/ae7c9f881ae48c8aed0af4125ccb33e055d4647c0b11c5fa58d84bc093a67b8f/Dialpad.exe" TargetMode="External"/><Relationship Id="rId255" Type="http://schemas.openxmlformats.org/officeDocument/2006/relationships/hyperlink" Target="https://api.typeform.com/responses/files/06f53e2bfeb9f29b42fca52714633072ce0635163969fa46ce3c951f48d0f075/FFCB72C3_B26D_4335_A65E_D8E69EABC526.jpeg" TargetMode="External"/><Relationship Id="rId376" Type="http://schemas.openxmlformats.org/officeDocument/2006/relationships/hyperlink" Target="https://api.typeform.com/responses/files/97824fa09efa8ffac67d4bcc2e7229a5bb9bfc8d95f3c732c32d5b1501038f5f/157726559_1512396095637845_587213178243130950_n.jpg" TargetMode="External"/><Relationship Id="rId133" Type="http://schemas.openxmlformats.org/officeDocument/2006/relationships/hyperlink" Target="https://api.typeform.com/responses/files/2fdd56272078edc0f561aee608f3dbe787bf2d74777c15ff81e9d7f435955c5e/Maria.jpg" TargetMode="External"/><Relationship Id="rId254" Type="http://schemas.openxmlformats.org/officeDocument/2006/relationships/hyperlink" Target="https://api.typeform.com/responses/files/99437e6eb82e5daad4faa1000f6c8e99d2fe0067a1591cf2a49fc2f6817e6801/Vales_parent_consent_form_.docx" TargetMode="External"/><Relationship Id="rId375" Type="http://schemas.openxmlformats.org/officeDocument/2006/relationships/hyperlink" Target="https://api.typeform.com/responses/files/83052a8f1a470f772279901604d63e6f9fcf129d9ef2e9225a639c8c1128f62e/Parent.Guardian_Consent_Form.docx" TargetMode="External"/><Relationship Id="rId62" Type="http://schemas.openxmlformats.org/officeDocument/2006/relationships/hyperlink" Target="https://api.typeform.com/responses/files/5467754f8c60ad03173a7d9502166eb4d5732d185c5da96534cbca74fc7c7c9d/F4B3BBC9_1AAC_448E_A78F_E288F3A89A3F.jpeg" TargetMode="External"/><Relationship Id="rId61" Type="http://schemas.openxmlformats.org/officeDocument/2006/relationships/hyperlink" Target="https://api.typeform.com/responses/files/15d487b1dc4c24e4699292555f96bc555160e7d4ec00c5e6224454e014c19b84/601680E5_7684_42E9_AD06_479532D13435.jpeg" TargetMode="External"/><Relationship Id="rId64" Type="http://schemas.openxmlformats.org/officeDocument/2006/relationships/hyperlink" Target="https://api.typeform.com/responses/files/669f2f4859e238631cf274dd9921be86663ccfb55098f43ed19474fb27327955/74E2BBD7_889A_4719_8370_4EE6F8C74954.jpeg" TargetMode="External"/><Relationship Id="rId63" Type="http://schemas.openxmlformats.org/officeDocument/2006/relationships/hyperlink" Target="https://api.typeform.com/responses/files/d4e44ea818943fea556eb240f1a0a8bc4ace268c7e246124feb02f5771202993/08F375AB_EB04_4FA5_A1E1_B599B1A65E06.png" TargetMode="External"/><Relationship Id="rId66" Type="http://schemas.openxmlformats.org/officeDocument/2006/relationships/hyperlink" Target="https://api.typeform.com/responses/files/cfa17283b6b59161fee11e00e4462bf7cf4922cbaf29be2cf64a7a70c874c8db/unnamed.png" TargetMode="External"/><Relationship Id="rId172" Type="http://schemas.openxmlformats.org/officeDocument/2006/relationships/hyperlink" Target="https://api.typeform.com/responses/files/f936b7532711f8bb7349f201166bf7ae55982c2d6a419812f21cb6016a4ded27/386CC739_5471_4000_AF72_B59C51770502.png" TargetMode="External"/><Relationship Id="rId293" Type="http://schemas.openxmlformats.org/officeDocument/2006/relationships/hyperlink" Target="https://api.typeform.com/responses/files/da4f48d6e73f989dae9e3ac6ffe5de59c69bcd88e12d574fd64a293b10cf6d05/Jiaying_Zhu__Transcript.pdf" TargetMode="External"/><Relationship Id="rId65" Type="http://schemas.openxmlformats.org/officeDocument/2006/relationships/hyperlink" Target="https://api.typeform.com/responses/files/519e8277e2348c50686b5abc0dafc1b68452f382541a7a6a59bcb7f8d4a4b600/unnamed.jpg" TargetMode="External"/><Relationship Id="rId171" Type="http://schemas.openxmlformats.org/officeDocument/2006/relationships/hyperlink" Target="https://api.typeform.com/responses/files/00cc55842cd5877cecbe2a5643ecd0d078bae5c02a4de6195fba340d744dc681/8987AF21_B68A_48FB_897A_3F37AB9101D1.jpeg" TargetMode="External"/><Relationship Id="rId292" Type="http://schemas.openxmlformats.org/officeDocument/2006/relationships/hyperlink" Target="https://www.instagram.com/_jiaaa_" TargetMode="External"/><Relationship Id="rId68" Type="http://schemas.openxmlformats.org/officeDocument/2006/relationships/hyperlink" Target="https://api.typeform.com/responses/files/422a2b632375c231a2a2fe65695efcc3125c95d20a2a73a07527f1a069b25c3b/47438BE9_62BD_4AF6_9781_C912B407CF38.jpeg" TargetMode="External"/><Relationship Id="rId170" Type="http://schemas.openxmlformats.org/officeDocument/2006/relationships/hyperlink" Target="https://api.typeform.com/responses/files/202a06a98a2c4258297c0fdf41adb026acf3d80df96f738e5333bb1915f7121b/D27ED312_79F3_4487_A6E9_1738C602307F.png" TargetMode="External"/><Relationship Id="rId291" Type="http://schemas.openxmlformats.org/officeDocument/2006/relationships/hyperlink" Target="https://api.typeform.com/responses/files/601cb8b4457689bbcc949c0715ff4ac47d847c9da217da635bc2c5abe871b891/WechatIMG309.jpeg" TargetMode="External"/><Relationship Id="rId67" Type="http://schemas.openxmlformats.org/officeDocument/2006/relationships/hyperlink" Target="https://api.typeform.com/responses/files/f6ef8e2dcf21fb79614b4edc5066b6d1d5a2ba1674d4a22d39a585d43f3908c1/unnamed.png" TargetMode="External"/><Relationship Id="rId290" Type="http://schemas.openxmlformats.org/officeDocument/2006/relationships/hyperlink" Target="https://api.typeform.com/responses/files/dcb9d6e13cc463ee2883938b1fecfc33226ebfd13c24985db5f9c2d97666ae18/Parent.Guardian_Consent_Form.pdf" TargetMode="External"/><Relationship Id="rId60" Type="http://schemas.openxmlformats.org/officeDocument/2006/relationships/hyperlink" Target="https://api.typeform.com/responses/files/6f540bcf6a7fb264f216965ecf6111a95b95f9f76a0c80faa6a1bfa56becd74b/F89FD9F3_98E7_4862_A702_A9C9AA8AAE1B.png" TargetMode="External"/><Relationship Id="rId165" Type="http://schemas.openxmlformats.org/officeDocument/2006/relationships/hyperlink" Target="https://api.typeform.com/responses/files/bc5fd1e2a67bb2f6459334262f44125ffa50289fe59b008e454454f1e2706adf/4.0_schools.jpg" TargetMode="External"/><Relationship Id="rId286" Type="http://schemas.openxmlformats.org/officeDocument/2006/relationships/hyperlink" Target="https://api.typeform.com/responses/files/e0821c0a955ce60c4ca1130d18f501ed188e62ee7ceafcd2fa277d3b0438564c/37B9A8BC_4F71_44B7_B7CA_B255E38921E9.png" TargetMode="External"/><Relationship Id="rId69" Type="http://schemas.openxmlformats.org/officeDocument/2006/relationships/hyperlink" Target="https://api.typeform.com/responses/files/aa2bdc80acb4271a6c1a77cd4681ed8d89693cfa892a451ae3a101729583cf67/DD261C98_4EF9_428A_B9C4_81251F321787.png" TargetMode="External"/><Relationship Id="rId164" Type="http://schemas.openxmlformats.org/officeDocument/2006/relationships/hyperlink" Target="https://api.typeform.com/responses/files/5e77c0ea0d51d9848c998a40f272fc19298e0ff8bf889a095b642b1b0788a1f0/E60AE632_815F_450C_A459_3B5AEC8D4FC2.jpeg" TargetMode="External"/><Relationship Id="rId285" Type="http://schemas.openxmlformats.org/officeDocument/2006/relationships/hyperlink" Target="https://api.typeform.com/responses/files/f88cc42e18b916ab2000572e561bacdcbb18716cdde8dab77acfca4b26d37185/4F803221_4C91_4948_8BDC_EFC4AD175028.jpeg" TargetMode="External"/><Relationship Id="rId163" Type="http://schemas.openxmlformats.org/officeDocument/2006/relationships/hyperlink" Target="https://api.typeform.com/responses/files/4ea5a991508f2e5350720e955328869c8c779def4ae513e747b8a717bca2fb45/Dalissa_Cabrera_transcript.pdf" TargetMode="External"/><Relationship Id="rId284" Type="http://schemas.openxmlformats.org/officeDocument/2006/relationships/hyperlink" Target="https://api.typeform.com/responses/files/ad0c768d3e76d808a22a60f2c5a6b99b1d095857672d4bd1546d4b7d32690f9e/Parent.Guardian_Consent_Form__1_.pdf" TargetMode="External"/><Relationship Id="rId162" Type="http://schemas.openxmlformats.org/officeDocument/2006/relationships/hyperlink" Target="https://api.typeform.com/responses/files/5f1e78d62e2789a2dd5c5216e5a14f1ea4d42b6a57d7a50525c65c8352816604/332FEA55_66DF_4651_A47C_7081FFD5DD42.jpeg" TargetMode="External"/><Relationship Id="rId283" Type="http://schemas.openxmlformats.org/officeDocument/2006/relationships/hyperlink" Target="https://api.typeform.com/responses/files/4ad9b5784c25e312c7963c5b1a80bf691f453a74946e1bb2c227daab9fee5907/Transcriptevaluation_12___RISE.pages" TargetMode="External"/><Relationship Id="rId169" Type="http://schemas.openxmlformats.org/officeDocument/2006/relationships/hyperlink" Target="https://api.typeform.com/responses/files/125f0fd5b714e00d2ce75327a3ea7a8faa8f8b755e4d7ff5b2a12c4f7c554df1/9F50CF0A_1276_4576_947F_2A3E50F91E08.png" TargetMode="External"/><Relationship Id="rId168" Type="http://schemas.openxmlformats.org/officeDocument/2006/relationships/hyperlink" Target="https://api.typeform.com/responses/files/bbec5ae73b65540c49c6baf92aae0805c52e551c72f4e41ee77d40f99949cda0/image.jpg" TargetMode="External"/><Relationship Id="rId289" Type="http://schemas.openxmlformats.org/officeDocument/2006/relationships/hyperlink" Target="https://api.typeform.com/responses/files/bb2727ac599e9e57587891d6ad6ab8e057d2512688ad138fe0315415957c1834/Screen_Shot_2021_02_15_at_11.36.27.png" TargetMode="External"/><Relationship Id="rId167" Type="http://schemas.openxmlformats.org/officeDocument/2006/relationships/hyperlink" Target="https://api.typeform.com/responses/files/2855af5c9ee4e513818b385aaf74e86915fe08de3490e95e904be4510c5c254a/4.0_schools.jpg" TargetMode="External"/><Relationship Id="rId288" Type="http://schemas.openxmlformats.org/officeDocument/2006/relationships/hyperlink" Target="https://api.typeform.com/responses/files/9db6eda6e9fdc780f756c66682d513853c9481d7e0b165ea621fb7e9e2bf4feb/IMG_1554.JPG" TargetMode="External"/><Relationship Id="rId166" Type="http://schemas.openxmlformats.org/officeDocument/2006/relationships/hyperlink" Target="https://api.typeform.com/responses/files/e9a991b712921b91590ce2734247dbfc551a70032c5038019079c03b539a3495/4.0_schools.jpg" TargetMode="External"/><Relationship Id="rId287" Type="http://schemas.openxmlformats.org/officeDocument/2006/relationships/hyperlink" Target="https://api.typeform.com/responses/files/74821fa79b7c1f6c00ddb63c7260b09a96704b945e3ed21e0f4a64fe3bec9bdf/Parent.Guardian_Consent_Form.pdf" TargetMode="External"/><Relationship Id="rId51" Type="http://schemas.openxmlformats.org/officeDocument/2006/relationships/hyperlink" Target="https://api.typeform.com/responses/files/6014336d2c75f8516a0d0aa4a04d63fff844278f8df20fbc51d044b08201455e/1E22736D_B6D3_4C51_9E88_E5C4B56938B3.png" TargetMode="External"/><Relationship Id="rId50" Type="http://schemas.openxmlformats.org/officeDocument/2006/relationships/hyperlink" Target="https://api.typeform.com/responses/files/0331894ba963dc2be18514285e1e11cbfbd8bf0951b86f88e24e22f0bcc27266/13BAD64E_5815_42ED_957A_01030AD1DBEC.jpeg" TargetMode="External"/><Relationship Id="rId53" Type="http://schemas.openxmlformats.org/officeDocument/2006/relationships/hyperlink" Target="https://api.typeform.com/responses/files/314959863946fc2baeb5fcd21ca194b62dee7882dddafa753c2384f0a15d315f/Saidatou_Diallo.pdf" TargetMode="External"/><Relationship Id="rId52" Type="http://schemas.openxmlformats.org/officeDocument/2006/relationships/hyperlink" Target="https://api.typeform.com/responses/files/2d82cfb62d55e100ab976a4323e08374f0e7dbfc8009107b4f0fef85ca281216/228CFA4E_35D0_40E5_BDE9_59688BF59772.png" TargetMode="External"/><Relationship Id="rId55" Type="http://schemas.openxmlformats.org/officeDocument/2006/relationships/hyperlink" Target="https://api.typeform.com/responses/files/d44d122a7b6683a70bd8f0557565ca05f8e8146dd993140d32482fff9d34656b/Saidatou_Diallo.pdf" TargetMode="External"/><Relationship Id="rId161" Type="http://schemas.openxmlformats.org/officeDocument/2006/relationships/hyperlink" Target="https://api.typeform.com/responses/files/fcc749c9efc4d580b6d9f59be476cf66369becb792194890cdd9d1cdb0c1707d/35A3FF3A_2BEF_4184_A21D_4019AAD1AB0B.jpeg" TargetMode="External"/><Relationship Id="rId282" Type="http://schemas.openxmlformats.org/officeDocument/2006/relationships/hyperlink" Target="https://api.typeform.com/responses/files/bf90e381fe9457d349004594b6896c37d75d966021aef5fa30a61e658a4e9e2d/IMG_7215.JPG" TargetMode="External"/><Relationship Id="rId54" Type="http://schemas.openxmlformats.org/officeDocument/2006/relationships/hyperlink" Target="https://api.typeform.com/responses/files/f559a72f1dd44eee2ab2d34dc4bd05a2132e5df8d397946b67a2de175cfa0e98/Saidatou_Diallo.pdf" TargetMode="External"/><Relationship Id="rId160" Type="http://schemas.openxmlformats.org/officeDocument/2006/relationships/hyperlink" Target="https://api.typeform.com/responses/files/e47211e9f4303f12f798a8735c6bdd1f63867111cb4c69c1d0b7881515dfff13/Trisha_Landolt_transcript.pdf" TargetMode="External"/><Relationship Id="rId281" Type="http://schemas.openxmlformats.org/officeDocument/2006/relationships/hyperlink" Target="https://api.typeform.com/responses/files/b646d7144d01ca31821f5f82f6e73d719bdc7ccf873685df7bbbccdd011c6796/Parent.Guardian_Consent_Form.pdf" TargetMode="External"/><Relationship Id="rId57" Type="http://schemas.openxmlformats.org/officeDocument/2006/relationships/hyperlink" Target="https://api.typeform.com/responses/files/8aaae98bb59c328b8546ba65640272a341995f38f7a07bd90fad2d2a23f27eff/03EBF45B_93D7_4504_A51D_8C165BFC7DEF.png" TargetMode="External"/><Relationship Id="rId280" Type="http://schemas.openxmlformats.org/officeDocument/2006/relationships/hyperlink" Target="https://api.typeform.com/responses/files/9395015bbaae27bee2ea3dd9aab015fe19151a6b4c0e83e340fccd7dd0f3fd16/Screenshot_2021_02_19_at_11.28.18_AM.png" TargetMode="External"/><Relationship Id="rId56" Type="http://schemas.openxmlformats.org/officeDocument/2006/relationships/hyperlink" Target="https://api.typeform.com/responses/files/0147ff7ef35d5970dc036f40f0392861115462400d775e0faf19674d1950e7ff/104E172B_C905_4EF4_A225_F9E3E5C6F6C6.png" TargetMode="External"/><Relationship Id="rId159" Type="http://schemas.openxmlformats.org/officeDocument/2006/relationships/hyperlink" Target="https://api.typeform.com/responses/files/774b878dbf9e1af1432527c0246d22e0458d83f0055f6140fb28b8c508724966/0F03BEE3_B1A7_4634_B8F7_8296EAC2F756.jpeg" TargetMode="External"/><Relationship Id="rId59" Type="http://schemas.openxmlformats.org/officeDocument/2006/relationships/hyperlink" Target="https://api.typeform.com/responses/files/52f007cf2fccc357cab507c4c79c498b6b31e2ac7b2b013894945c205c85cfc0/2A9E48EE_D051_411A_80D1_E2CDBA1A5C1E.jpeg" TargetMode="External"/><Relationship Id="rId154" Type="http://schemas.openxmlformats.org/officeDocument/2006/relationships/hyperlink" Target="https://api.typeform.com/responses/files/b383f88012e3df1ff7404b5f821d9beeb67613996536c60000cfaae7decd06ec/Maria_De_La_Cruz_Manzueta_transcript.pdf" TargetMode="External"/><Relationship Id="rId275" Type="http://schemas.openxmlformats.org/officeDocument/2006/relationships/hyperlink" Target="https://api.typeform.com/responses/files/1686ff6ab2ac583d558af492fa5f3c81efc4c99de8617d3852430b224ffdfbbf/Parent.Guardian_Consent_Form_2.pdf" TargetMode="External"/><Relationship Id="rId58" Type="http://schemas.openxmlformats.org/officeDocument/2006/relationships/hyperlink" Target="https://api.typeform.com/responses/files/023b8f6b3fbb18fb441d6e321f553409e80d0dd5cb6bffacee9e696fce33a0c8/6E9BF3BD_F080_4297_9788_4C333CE7040C.png" TargetMode="External"/><Relationship Id="rId153" Type="http://schemas.openxmlformats.org/officeDocument/2006/relationships/hyperlink" Target="https://api.typeform.com/responses/files/9a54017e4b44111e9c51e20e8d31d6fae97022f48dba50c89a9dcc84fb76adb5/received_2595554557191624.jpeg" TargetMode="External"/><Relationship Id="rId274" Type="http://schemas.openxmlformats.org/officeDocument/2006/relationships/hyperlink" Target="https://api.typeform.com/responses/files/bf1c6815c822892bbee50770d3925b93f617f20bded6bb0e0d689d45c80bef18/Sosa.Jeimery_transcript.pdf" TargetMode="External"/><Relationship Id="rId152" Type="http://schemas.openxmlformats.org/officeDocument/2006/relationships/hyperlink" Target="https://api.typeform.com/responses/files/1efe8bf6f80e40e2be1b186c5cfd707277d3c27a7e4cb528196a17c2ad359574/Parent.Guardian_Consent_Form__2_.pdf" TargetMode="External"/><Relationship Id="rId273" Type="http://schemas.openxmlformats.org/officeDocument/2006/relationships/hyperlink" Target="https://api.typeform.com/responses/files/a878bf2720c8cac5c6dbc018c996e0b775144a99d0e5a5f464b13660ef3a321c/IMG_8864.jpg" TargetMode="External"/><Relationship Id="rId151" Type="http://schemas.openxmlformats.org/officeDocument/2006/relationships/hyperlink" Target="https://api.typeform.com/responses/files/d6648f92abb01be60fb2a8f25ac82c4d1340f91da69eda5c89686f53ed8f5000/Screenshot__10_.png" TargetMode="External"/><Relationship Id="rId272" Type="http://schemas.openxmlformats.org/officeDocument/2006/relationships/hyperlink" Target="https://api.typeform.com/responses/files/0bf74a6043761e04e1fe6e0799fd68b7b3b168c5c2703e88ee5d539f95becacb/Parent.Guardian_Consent_Form__1_.pdf" TargetMode="External"/><Relationship Id="rId158" Type="http://schemas.openxmlformats.org/officeDocument/2006/relationships/hyperlink" Target="https://api.typeform.com/responses/files/b95b32b86e1c201d42b83b6bd6ba3b150f2fba54767d4a3ed641cdd0d5636105/Parent.Guardian_Consent_Form_Hatouma.docx" TargetMode="External"/><Relationship Id="rId279" Type="http://schemas.openxmlformats.org/officeDocument/2006/relationships/hyperlink" Target="https://api.typeform.com/responses/files/ece5c1c722d7c7351e1ccb544e0614191e33a45adf048a1cafa8d2e0ba4ccc78/Screenshot_2021_02_19_at_12.16.51_PM.png" TargetMode="External"/><Relationship Id="rId157" Type="http://schemas.openxmlformats.org/officeDocument/2006/relationships/hyperlink" Target="https://api.typeform.com/responses/files/99bd86d7cdd1fa5bb3592ed85b1076b8beb0cc2ea7cbef76c264f20dd00f2be6/Hatouma_Doucoure___trans.pdf" TargetMode="External"/><Relationship Id="rId278" Type="http://schemas.openxmlformats.org/officeDocument/2006/relationships/hyperlink" Target="https://api.typeform.com/responses/files/2a398e1faf9491f8fbc76725ab7f2b5e4b297ce145939186ab8c18d81d5b7ba0/SPEAKHIRE_Parent.Guardian_Consent_Form.pdf___Lumin_Pdf___Google_Chrome_2_16_2021_3_48_00_PM.png" TargetMode="External"/><Relationship Id="rId156" Type="http://schemas.openxmlformats.org/officeDocument/2006/relationships/hyperlink" Target="https://api.typeform.com/responses/files/82cb7957d12cce7f5bdfa110de56b298dbc1677010a3ee4d726f32db360c2098/WIN_20210204_12_37_31_Pro.jpg" TargetMode="External"/><Relationship Id="rId277" Type="http://schemas.openxmlformats.org/officeDocument/2006/relationships/hyperlink" Target="https://api.typeform.com/responses/files/baad87b6af6e1d7f2e582aaa7ac45be714db17c67e14856ec1c77d8cec57ede4/Transcript_Review_Form___j.montalvan2018_flushinginternational.org___Flushing_International_High_School_Mail___Google_Chrome_2_16_2021_2_21_26_PM.png" TargetMode="External"/><Relationship Id="rId155" Type="http://schemas.openxmlformats.org/officeDocument/2006/relationships/hyperlink" Target="https://api.typeform.com/responses/files/c04b08da1c4839827ef33c8707327b7e78485f10ad50f157a522505c6eb118bb/Parent.Guardian_Consent_Form.pdf" TargetMode="External"/><Relationship Id="rId276" Type="http://schemas.openxmlformats.org/officeDocument/2006/relationships/hyperlink" Target="https://api.typeform.com/responses/files/1379a2670f337db64bde8f2952b7433cd54e3c4d1adffd882f67854e80c16874/150219799_1353444635026222_7529510060019594823_n.jpg" TargetMode="External"/><Relationship Id="rId107" Type="http://schemas.openxmlformats.org/officeDocument/2006/relationships/hyperlink" Target="https://api.typeform.com/responses/files/8b65217b688b8b60149522f333ddd6d76a84a9c00440437b41fb83774cd3d161/Photo_on_1_5_21_at_11.34_AM.jpg" TargetMode="External"/><Relationship Id="rId228" Type="http://schemas.openxmlformats.org/officeDocument/2006/relationships/hyperlink" Target="https://api.typeform.com/responses/files/7b8e549ca0eceb1739c11688a72c1f7e790ee1a433796a12e627a871b4cc83f6/Frankford_HS.png" TargetMode="External"/><Relationship Id="rId349" Type="http://schemas.openxmlformats.org/officeDocument/2006/relationships/hyperlink" Target="https://api.typeform.com/responses/files/99546b5aee45358f9fb1fd070c7a186774109621bdcb62e091147910250dcddc/1CA81D6D_E095_4667_A038_315CFDF2535E.jpeg" TargetMode="External"/><Relationship Id="rId106" Type="http://schemas.openxmlformats.org/officeDocument/2006/relationships/hyperlink" Target="https://api.typeform.com/responses/files/44227130ec96c56bc028a14e94947763aab4255f0a381b224e14f6e9623b82a2/Parent.Guardian_Consent_Form__2_.pdf" TargetMode="External"/><Relationship Id="rId227" Type="http://schemas.openxmlformats.org/officeDocument/2006/relationships/hyperlink" Target="https://api.typeform.com/responses/files/d4a80a31fa72c2520805ef5899ff438411efaa41921727154baae194ab8b431b/Frankford_HS.png" TargetMode="External"/><Relationship Id="rId348" Type="http://schemas.openxmlformats.org/officeDocument/2006/relationships/hyperlink" Target="https://api.typeform.com/responses/files/5f5c47c0a9307e4f2f06ad239c8cf9f749fe65e48afac357d61d6cdd4f68b9f3/809DF963_AC8F_454A_9223_0AD4A67FC12B.jpeg" TargetMode="External"/><Relationship Id="rId105" Type="http://schemas.openxmlformats.org/officeDocument/2006/relationships/hyperlink" Target="https://api.typeform.com/responses/files/8dca5abf2639f2d0e5ecfa1536bca9fae7cfd10a16d12b3d8e7974d17934c7a2/Binta_Diallo_Transcript__1_.pdf" TargetMode="External"/><Relationship Id="rId226" Type="http://schemas.openxmlformats.org/officeDocument/2006/relationships/hyperlink" Target="https://api.typeform.com/responses/files/53ff0f649c14f020a4bb0f8fa7d03b3e29885c1e1812548f95ba0d4490a6017c/Frankford_HS.png" TargetMode="External"/><Relationship Id="rId347" Type="http://schemas.openxmlformats.org/officeDocument/2006/relationships/hyperlink" Target="https://api.typeform.com/responses/files/49186b9901c4cfa232404af869ec657831e4721d350de5d7ee8384290cc93b72/AE717DC3_A0E7_4AF2_984F_182E35EA8B76.jpeg" TargetMode="External"/><Relationship Id="rId104" Type="http://schemas.openxmlformats.org/officeDocument/2006/relationships/hyperlink" Target="https://api.typeform.com/responses/files/609f10fcbe28b6a0826e5a64642e629a6782e0f7d0ff0c8f624893a79ffaecd0/Screen_Shot_2021_01_06_at_2.17.54_PM.png" TargetMode="External"/><Relationship Id="rId225" Type="http://schemas.openxmlformats.org/officeDocument/2006/relationships/hyperlink" Target="https://api.typeform.com/responses/files/49e8a73f5ae76fae14eb5c3b69bef231110131477b41424047c4ffdcc41f3e94/Akhmad___Josie___.jpg" TargetMode="External"/><Relationship Id="rId346" Type="http://schemas.openxmlformats.org/officeDocument/2006/relationships/hyperlink" Target="https://api.typeform.com/responses/files/0004c9459fca4fecf646c1d1f068bb0fd71dc77b7344c9680e34ceb451bf786e/78F0AF18_956A_4777_8000_2B23ABF2D62A.jpeg" TargetMode="External"/><Relationship Id="rId109" Type="http://schemas.openxmlformats.org/officeDocument/2006/relationships/hyperlink" Target="https://api.typeform.com/responses/files/d2565c6da90892793e5cc864d3d0098cccf1e5e17deb2f36329299ef690c541c/Oskarina_Cepeda_of_Parent.Guardian_Consent_Form.docx" TargetMode="External"/><Relationship Id="rId108" Type="http://schemas.openxmlformats.org/officeDocument/2006/relationships/hyperlink" Target="https://api.typeform.com/responses/files/03cd734053adaccf6cbba6d962211162700266d90d369c5eae4f9a699d63012a/Oskarina_C..pdf" TargetMode="External"/><Relationship Id="rId229" Type="http://schemas.openxmlformats.org/officeDocument/2006/relationships/hyperlink" Target="https://api.typeform.com/responses/files/ca1c24f4d9b291b2148e55ad70d07e685ded9cbe6b17f29481ad93e4c29deda4/Frankford_HS.png" TargetMode="External"/><Relationship Id="rId220" Type="http://schemas.openxmlformats.org/officeDocument/2006/relationships/hyperlink" Target="https://api.typeform.com/responses/files/5e2d89391495716996be58afee0c414e88b9716a62ae201773a67adaa46bb6a0/Parent.Guardian_Consent_Form.pdf" TargetMode="External"/><Relationship Id="rId341" Type="http://schemas.openxmlformats.org/officeDocument/2006/relationships/hyperlink" Target="https://api.typeform.com/responses/files/52b07c9cd461a73968821f8d83e50db1136b7dc55ece69edca94c2d3852b2867/86C1F1C4_D51D_4CDB_9DAE_DBD7C88F84E4.jpeg" TargetMode="External"/><Relationship Id="rId340" Type="http://schemas.openxmlformats.org/officeDocument/2006/relationships/hyperlink" Target="https://api.typeform.com/responses/files/cc9fd513643d5e24342c2a2c203b6a6e8a045d640524d3977c33178e6e272ad2/7E66E117_E167_4C19_97BA_A38E6EE594B4.jpeg" TargetMode="External"/><Relationship Id="rId103" Type="http://schemas.openxmlformats.org/officeDocument/2006/relationships/hyperlink" Target="https://api.typeform.com/responses/files/8206ee082f2f3df587f22e7051566083c9253dd4e7fc7cda5b8984b09670791c/Fototeca_de_Photo_Booth.zip" TargetMode="External"/><Relationship Id="rId224" Type="http://schemas.openxmlformats.org/officeDocument/2006/relationships/hyperlink" Target="https://api.typeform.com/responses/files/b4f5914fcd41ad3539d918b9e6a5945be4af06958f56868fcedb675d7ae92c7c/Akhmad___Josie___.jpg" TargetMode="External"/><Relationship Id="rId345" Type="http://schemas.openxmlformats.org/officeDocument/2006/relationships/hyperlink" Target="https://api.typeform.com/responses/files/38fa4ec241fe33bf52b2fe738743c58bcfb89f8b1056fe8bd790462617c77e1f/Parent.Guardian_Consent_Form.pdf" TargetMode="External"/><Relationship Id="rId102" Type="http://schemas.openxmlformats.org/officeDocument/2006/relationships/hyperlink" Target="https://api.typeform.com/responses/files/73bf80b3720b0fde3e92dea2b07d49377ca06bf047a0598bcb122e046ad19ef4/Photos_Library.photoslibrary.zip" TargetMode="External"/><Relationship Id="rId223" Type="http://schemas.openxmlformats.org/officeDocument/2006/relationships/hyperlink" Target="https://api.typeform.com/responses/files/3cce5b9bc8c7245249b0560c9ad9c0ce332f5c9b87ad9b9f2b61755ae96b715a/Screenshot_2021_02_10_at_8.52.38_PM.png" TargetMode="External"/><Relationship Id="rId344" Type="http://schemas.openxmlformats.org/officeDocument/2006/relationships/hyperlink" Target="https://api.typeform.com/responses/files/e48a953af01816a18d4cfb62c34b60f4c8cbf01b4c65bd1a55ebcc23c2c1f893/Transcriptevaluation_12__templet_.docx" TargetMode="External"/><Relationship Id="rId101" Type="http://schemas.openxmlformats.org/officeDocument/2006/relationships/hyperlink" Target="https://api.typeform.com/responses/files/1f3d1b262456feba764bb8488b5bdae6860fdedbe0a7c8f987c6e4358bbf1d16/IMG_0036.jpg" TargetMode="External"/><Relationship Id="rId222" Type="http://schemas.openxmlformats.org/officeDocument/2006/relationships/hyperlink" Target="https://api.typeform.com/responses/files/76315fb129f72862e52567c87d5adcd1199a519267aea7c0484d113276aaaffb/Screenshot_2021_02_09_at_10.16.20_PM.png" TargetMode="External"/><Relationship Id="rId343" Type="http://schemas.openxmlformats.org/officeDocument/2006/relationships/hyperlink" Target="https://api.typeform.com/responses/files/e0e84c8d37e8f5fc5eaf8fc40d2201a8358aedc71dd28e6ba8aedc3a032e1452/IMG_6684.jpg" TargetMode="External"/><Relationship Id="rId100" Type="http://schemas.openxmlformats.org/officeDocument/2006/relationships/hyperlink" Target="https://api.typeform.com/responses/files/c3ef6b351da98d77165ea332f6283e4de6ac32f65673b70dda1f03708b537736/Screenshot__5_.png" TargetMode="External"/><Relationship Id="rId221" Type="http://schemas.openxmlformats.org/officeDocument/2006/relationships/hyperlink" Target="https://api.typeform.com/responses/files/024f69e36e94972471bcdf8f8b6bbf14e57e629719b308e7d4e2f978cf374066/unnamed.jpg" TargetMode="External"/><Relationship Id="rId342" Type="http://schemas.openxmlformats.org/officeDocument/2006/relationships/hyperlink" Target="https://api.typeform.com/responses/files/cea8e48fb14e17fccbb8d6bc7caad0f6298b242b533698f015732548f7e34648/Parent.Guardian_Consent_Form.pdf" TargetMode="External"/><Relationship Id="rId217" Type="http://schemas.openxmlformats.org/officeDocument/2006/relationships/hyperlink" Target="https://api.typeform.com/responses/files/5bd35bf8b883fad5052b11f535e1c9e946a8a944f273b111ba7bbddc8bf7ac12/Parent_Guardian_Consent_.pdf" TargetMode="External"/><Relationship Id="rId338" Type="http://schemas.openxmlformats.org/officeDocument/2006/relationships/hyperlink" Target="https://api.typeform.com/responses/files/e337a902391cc4458c60f8faff7fc7441a1d95c66a4d5e9004a0b4683b874629/ReportCard.pdf" TargetMode="External"/><Relationship Id="rId216" Type="http://schemas.openxmlformats.org/officeDocument/2006/relationships/hyperlink" Target="https://api.typeform.com/responses/files/f4497e70e533e266d24698a1ad8a42a53c65fb6ba236d87b4b1754288b2a851f/FE02853B_886A_4FD8_BB34_704A9CB526E0.jpeg" TargetMode="External"/><Relationship Id="rId337" Type="http://schemas.openxmlformats.org/officeDocument/2006/relationships/hyperlink" Target="https://api.typeform.com/responses/files/1473977a507d81ab531805074ed5e8f4d53b0e5357ed13b150c81489eed32aa7/Image_1.jpg" TargetMode="External"/><Relationship Id="rId215" Type="http://schemas.openxmlformats.org/officeDocument/2006/relationships/hyperlink" Target="https://api.typeform.com/responses/files/398eeccd16c285055d787b5ea2d8942e058fac61cdbc3fbb084c9ea109ac55ed/3174CBC6_CE0C_40B9_BA4B_046800D5A453.jpeg" TargetMode="External"/><Relationship Id="rId336" Type="http://schemas.openxmlformats.org/officeDocument/2006/relationships/hyperlink" Target="https://api.typeform.com/responses/files/6bd05cda480f9fe3515deae32a3a9429988a3badb42b2ec11699a1927ba72503/IMG_0939.HEIC" TargetMode="External"/><Relationship Id="rId214" Type="http://schemas.openxmlformats.org/officeDocument/2006/relationships/hyperlink" Target="https://api.typeform.com/responses/files/8ddf144874952270d9cc48b336b0e57dec584d3b6ec5eab8a672178d00240348/image.png" TargetMode="External"/><Relationship Id="rId335" Type="http://schemas.openxmlformats.org/officeDocument/2006/relationships/hyperlink" Target="https://api.typeform.com/responses/files/cfb5196833d8050987ff6d11c2ed4625c4ec8d419c5f91777d4ca8af3c543917/IMG_7B5F4D4125E6_1.jpeg" TargetMode="External"/><Relationship Id="rId219" Type="http://schemas.openxmlformats.org/officeDocument/2006/relationships/hyperlink" Target="https://api.typeform.com/responses/files/ee2d86ce38ded7fa59107d98c92c7d3a4f738efb7f1b3f89b42176cf2288c513/IMG_9710.jpg" TargetMode="External"/><Relationship Id="rId218" Type="http://schemas.openxmlformats.org/officeDocument/2006/relationships/hyperlink" Target="https://api.typeform.com/responses/files/e7fcce5ceeb424924318cd784a5202fe13bfafde4913c56d03eb22caa3324658/IMG_9707.jpg" TargetMode="External"/><Relationship Id="rId339" Type="http://schemas.openxmlformats.org/officeDocument/2006/relationships/hyperlink" Target="https://api.typeform.com/responses/files/f49af84f05071d4fafdb38ba12a85a51b3a8d409ad91766affc9d7f94ca961f7/Copy_of_Parent.Guardian_Consent_Form.docx.pdf" TargetMode="External"/><Relationship Id="rId330" Type="http://schemas.openxmlformats.org/officeDocument/2006/relationships/hyperlink" Target="https://api.typeform.com/responses/files/3fd0dce1ba19047b1ab283d50c73d2bdd9c8f1563fc9647f688d631d1fa29659/Parent.Guardian_Consent_Form.pdf" TargetMode="External"/><Relationship Id="rId213" Type="http://schemas.openxmlformats.org/officeDocument/2006/relationships/hyperlink" Target="https://api.typeform.com/responses/files/9f3cbabc0c4a38637ae91c07642cf4bcfb5d052939d5462f9f30d39563552dc4/image.png" TargetMode="External"/><Relationship Id="rId334" Type="http://schemas.openxmlformats.org/officeDocument/2006/relationships/hyperlink" Target="https://api.typeform.com/responses/files/b6cb0b3031653c8de115eb45c1f6fa8965f6d615b3f07bcbee11440862a4f095/IMG_0325.JPG" TargetMode="External"/><Relationship Id="rId212" Type="http://schemas.openxmlformats.org/officeDocument/2006/relationships/hyperlink" Target="https://api.typeform.com/responses/files/4723c1f1d83403d2a8fe31d6c7404b8f3e816046c70e761be77d5e0e063d8c61/IMG_1342.jpg" TargetMode="External"/><Relationship Id="rId333" Type="http://schemas.openxmlformats.org/officeDocument/2006/relationships/hyperlink" Target="https://api.typeform.com/responses/files/614879565aab335faf1cb2c16070acfc21b61c83539494d22c5c41513d85f5d7/20210225_155530.jpg" TargetMode="External"/><Relationship Id="rId211" Type="http://schemas.openxmlformats.org/officeDocument/2006/relationships/hyperlink" Target="https://api.typeform.com/responses/files/784699069bfb4c3aa301a56a4fbbf6875f2e13c1d6214f71b9e4a171e6ca4dae/Parent.Guardian_Consent_Form__1_.docx" TargetMode="External"/><Relationship Id="rId332" Type="http://schemas.openxmlformats.org/officeDocument/2006/relationships/hyperlink" Target="https://api.typeform.com/responses/files/89bf9752fffe2b11c19e1560b9c4833390540aaee8d9877bc08ee57cd59bf2c0/Screenshot_20210225_150710_Gmail.jpg" TargetMode="External"/><Relationship Id="rId210" Type="http://schemas.openxmlformats.org/officeDocument/2006/relationships/hyperlink" Target="https://api.typeform.com/responses/files/eef1630a003090bffec9e94c14a0e1c2e2f5f7c8076a3c5e2a06081e500e59df/Mamadu_Drame_transcript.pdf" TargetMode="External"/><Relationship Id="rId331" Type="http://schemas.openxmlformats.org/officeDocument/2006/relationships/hyperlink" Target="https://api.typeform.com/responses/files/601d5d29836d6b880d76b95aa291faceb7e9dae32c9181b39468d4b85f3febb7/20210225_145927.jpg" TargetMode="External"/><Relationship Id="rId370" Type="http://schemas.openxmlformats.org/officeDocument/2006/relationships/hyperlink" Target="https://api.typeform.com/responses/files/397e062703b2604460e26824cee83fe2bc4c80ef9e1d4dd062b50ad18c5a2384/user.JPG" TargetMode="External"/><Relationship Id="rId129" Type="http://schemas.openxmlformats.org/officeDocument/2006/relationships/hyperlink" Target="https://api.typeform.com/responses/files/fa6502db7df89d045a7ac23a316348dc7ae4326b1ad9cd92249733e63e9adeda/EC3BCAD4_FDD9_49B7_9251_8FB304E92B95.jpeg" TargetMode="External"/><Relationship Id="rId128" Type="http://schemas.openxmlformats.org/officeDocument/2006/relationships/hyperlink" Target="https://api.typeform.com/responses/files/9907cd4fb8a7fcea98fdd2012e4f4abd14b11a78a977ae46cec0f509154d0c97/image.jpg" TargetMode="External"/><Relationship Id="rId249" Type="http://schemas.openxmlformats.org/officeDocument/2006/relationships/hyperlink" Target="https://api.typeform.com/responses/files/ef8031b80c67933e9ebf1632ec83108714e77f13f3fd4e6f545f36dca97f170d/IMG_4778.jpg" TargetMode="External"/><Relationship Id="rId127" Type="http://schemas.openxmlformats.org/officeDocument/2006/relationships/hyperlink" Target="https://api.typeform.com/responses/files/35d3281d7da475e871923d93f23d6676cdebe2211e63958774f04f0657050d4e/image.jpg" TargetMode="External"/><Relationship Id="rId248" Type="http://schemas.openxmlformats.org/officeDocument/2006/relationships/hyperlink" Target="https://api.typeform.com/responses/files/c75635107b7329ba386f29018800150f27f2ee90d84d1fbb8fd4b2c453d54f9a/Speakhire_Consent_Form_Devin_Rhodie.docx" TargetMode="External"/><Relationship Id="rId369" Type="http://schemas.openxmlformats.org/officeDocument/2006/relationships/hyperlink" Target="https://api.typeform.com/responses/files/de229956c1c978a7f06609066cd78832229e7b246e04ab59417ab3abcc1397ff/Copy_of_Parent.Guardian_Consent_Form.docx" TargetMode="External"/><Relationship Id="rId126" Type="http://schemas.openxmlformats.org/officeDocument/2006/relationships/hyperlink" Target="https://api.typeform.com/responses/files/700c9ff9d0cc07af66259808f8f491a57e27ae1e72f1c4d530e2d5357ca4f914/image.jpg" TargetMode="External"/><Relationship Id="rId247" Type="http://schemas.openxmlformats.org/officeDocument/2006/relationships/hyperlink" Target="https://api.typeform.com/responses/files/4b6cc99cf6a145ec78e5625b7f1e7555263272f026517178d8f7e256c91976d4/RhodieMP3reportcard.pdf" TargetMode="External"/><Relationship Id="rId368" Type="http://schemas.openxmlformats.org/officeDocument/2006/relationships/hyperlink" Target="https://api.typeform.com/responses/files/27d679d4f5c3d49cad9f3705a8b69cfeaf7d485044e5362878a71ed5caf69cad/IMG_0149.jpeg" TargetMode="External"/><Relationship Id="rId121" Type="http://schemas.openxmlformats.org/officeDocument/2006/relationships/hyperlink" Target="https://api.typeform.com/responses/files/2c059bbef523ac9e44efe61ded7e0d43792cb42d8bf2747e119914f67ef35c6d/Parent.Guardian_Consent_Form.pdf" TargetMode="External"/><Relationship Id="rId242" Type="http://schemas.openxmlformats.org/officeDocument/2006/relationships/hyperlink" Target="https://api.typeform.com/responses/files/cd9465e715dd774d857ae1ccd74cb7c817b26b94badf41daefd1dd4c16369b74/Parent.Guardian_Consent_Form.pdf" TargetMode="External"/><Relationship Id="rId363" Type="http://schemas.openxmlformats.org/officeDocument/2006/relationships/hyperlink" Target="https://api.typeform.com/responses/files/ae77bf7c5aa87b2a18ad3c233a3e47bef9bac44f302b653a9c8785c068132a96/Copy_of_Parent.Guardian_Consent_Form.pdf" TargetMode="External"/><Relationship Id="rId120" Type="http://schemas.openxmlformats.org/officeDocument/2006/relationships/hyperlink" Target="https://api.typeform.com/responses/files/05ae7113f54d206a6b4a9fcdfca319e0c3e52c4c599369b2c6ced70ef8b36475/Zabdy_Orellana_Consent_Form.pdf" TargetMode="External"/><Relationship Id="rId241" Type="http://schemas.openxmlformats.org/officeDocument/2006/relationships/hyperlink" Target="https://api.typeform.com/responses/files/cbb59369580a1aebf97e1db18bd866bfc59ac72cc42567331069d5bb7d2a4793/Transcriptevaluation_12___RISE.docx" TargetMode="External"/><Relationship Id="rId362" Type="http://schemas.openxmlformats.org/officeDocument/2006/relationships/hyperlink" Target="https://api.typeform.com/responses/files/43a8af63336ddd3ca9542cc1e188141e00572b46c8254a5695700efeeedcb6d0/ReportCard__3_.pdf" TargetMode="External"/><Relationship Id="rId240" Type="http://schemas.openxmlformats.org/officeDocument/2006/relationships/hyperlink" Target="https://api.typeform.com/responses/files/8f34d21045e2ba1e85d10b08faf5fbcb7be633655d65ee46ba648f004d51d40f/portrait_.jpg" TargetMode="External"/><Relationship Id="rId361" Type="http://schemas.openxmlformats.org/officeDocument/2006/relationships/hyperlink" Target="https://api.typeform.com/responses/files/9670570123b7d204f0db08c5f6631ed5b1436ab97ebef8e3c19098f606ee6fe5/IMG_3882.PNG" TargetMode="External"/><Relationship Id="rId360" Type="http://schemas.openxmlformats.org/officeDocument/2006/relationships/hyperlink" Target="https://api.typeform.com/responses/files/32fb6f4da636bbf108b911925019d591e60cce5d9c2a44762b9312a53490b011/539AC81A_74AE_4951_A89D_2EA94B2343DD.png" TargetMode="External"/><Relationship Id="rId125" Type="http://schemas.openxmlformats.org/officeDocument/2006/relationships/hyperlink" Target="https://api.typeform.com/responses/files/c244b2600b972e2435dcbcdb817ee819d861d68d287dc268a3d09491e17d8067/Frankford_HS.png" TargetMode="External"/><Relationship Id="rId246" Type="http://schemas.openxmlformats.org/officeDocument/2006/relationships/hyperlink" Target="https://api.typeform.com/responses/files/c2df23c6cd81b223e377de9f8c22c04e000b5ab91d37a94bb2d448f1d99b12d3/IMG_2782.jpeg" TargetMode="External"/><Relationship Id="rId367" Type="http://schemas.openxmlformats.org/officeDocument/2006/relationships/hyperlink" Target="https://api.typeform.com/responses/files/28342b7f074547efb355aa8b1fa81b5df9f44603c68f4583aca15a41e88de97d/1CB0231E_572B_49EC_8A54_4D68423A0571.jpeg" TargetMode="External"/><Relationship Id="rId124" Type="http://schemas.openxmlformats.org/officeDocument/2006/relationships/hyperlink" Target="https://api.typeform.com/responses/files/f5d05ca6659475829b69e273b51fc649958ab669bd08607a91392c8fde52893b/ELHS_Circle_Logo_Updated_part2.png" TargetMode="External"/><Relationship Id="rId245" Type="http://schemas.openxmlformats.org/officeDocument/2006/relationships/hyperlink" Target="https://api.typeform.com/responses/files/ffad25fc77474ac1075443431786472956825b61fbd983e98586483d16d1192a/Parent.Guardian_Consent_Form.pdf" TargetMode="External"/><Relationship Id="rId366" Type="http://schemas.openxmlformats.org/officeDocument/2006/relationships/hyperlink" Target="https://api.typeform.com/responses/files/7a4ed73ed0601116dffd1a5914ffa2e6b113859c3b8a5b2c715acda75bb23ee7/Parent.Guardian_Consent_Form.docx" TargetMode="External"/><Relationship Id="rId123" Type="http://schemas.openxmlformats.org/officeDocument/2006/relationships/hyperlink" Target="https://api.typeform.com/responses/files/50f4663d9a3cc3dfbfbf837f75cbd3c84b45bd94d9e8b6c1000e09b0ac993606/ELHS_Circle_Logo_Updated_part2.png" TargetMode="External"/><Relationship Id="rId244" Type="http://schemas.openxmlformats.org/officeDocument/2006/relationships/hyperlink" Target="https://api.typeform.com/responses/files/e041b808fa6fb491bf7e98c2cd18c6d7ad38a314da7b4d4bf495c0a74fb9a40e/Transcriptevaluation_11__templet_.docx" TargetMode="External"/><Relationship Id="rId365" Type="http://schemas.openxmlformats.org/officeDocument/2006/relationships/hyperlink" Target="https://api.typeform.com/responses/files/76cc60b3b4c6d525bdada41f926c9483d8217a6119b6c9b41fe1f5566bf42b62/abd8a9a92f50d51b95c90aa465848765.jpg" TargetMode="External"/><Relationship Id="rId122" Type="http://schemas.openxmlformats.org/officeDocument/2006/relationships/hyperlink" Target="https://api.typeform.com/responses/files/2730986e295800da1721322737b762cf5edf327ae1379392855d40706c08dd4d/Parent.Guardian_Consent_Form.pdf" TargetMode="External"/><Relationship Id="rId243" Type="http://schemas.openxmlformats.org/officeDocument/2006/relationships/hyperlink" Target="https://api.typeform.com/responses/files/b647bfd1573e4671dc38cfefeee91c022152cd4a9e81cbb13cb12238f23ec019/IMG_8220.JPG" TargetMode="External"/><Relationship Id="rId364" Type="http://schemas.openxmlformats.org/officeDocument/2006/relationships/hyperlink" Target="https://api.typeform.com/responses/files/173f06ee57802334df52f297c25a7b3128fe84aed5b052ca2f86547485f35f00/154815544_288807082670423_5909238493511609801_n.jpg" TargetMode="External"/><Relationship Id="rId95" Type="http://schemas.openxmlformats.org/officeDocument/2006/relationships/hyperlink" Target="https://api.typeform.com/responses/files/42e63b13b34e9f44f5cae84a6ec4ad72771090249170afc3cfa496e04eec8feb/IMG_20210105_WA0011_2.jpg" TargetMode="External"/><Relationship Id="rId94" Type="http://schemas.openxmlformats.org/officeDocument/2006/relationships/hyperlink" Target="https://api.typeform.com/responses/files/9372c26355172e8714a481d571d25268247d20c63f3d331c8f3ca5c4c8994b83/Parent.Guardian_Consent_Form.pdf" TargetMode="External"/><Relationship Id="rId97" Type="http://schemas.openxmlformats.org/officeDocument/2006/relationships/hyperlink" Target="https://api.typeform.com/responses/files/010ebf2981f7bb9799d24d8bfad1a49a8f3437b2e839321196e534b62b70d53d/Parent.Guardian_Consent_Form.pdf" TargetMode="External"/><Relationship Id="rId96" Type="http://schemas.openxmlformats.org/officeDocument/2006/relationships/hyperlink" Target="https://api.typeform.com/responses/files/3eb148dedeed84248c185173b24615eefadc64398c149c84ab550e2d452543ed/Report_card_or_transcript__1_.pdf" TargetMode="External"/><Relationship Id="rId99" Type="http://schemas.openxmlformats.org/officeDocument/2006/relationships/hyperlink" Target="https://api.typeform.com/responses/files/17251c86a51981a0117c6ab228f683451dd17dee7aa89590ed967128724cbd6b/Screenshot__4_.png" TargetMode="External"/><Relationship Id="rId98" Type="http://schemas.openxmlformats.org/officeDocument/2006/relationships/hyperlink" Target="https://api.typeform.com/responses/files/86f71ea1d56e97a65959c4d418dd33e6ac214d5470b807e3e651c3395e8d9ea2/ivania.jpg" TargetMode="External"/><Relationship Id="rId91" Type="http://schemas.openxmlformats.org/officeDocument/2006/relationships/hyperlink" Target="https://api.typeform.com/responses/files/f2549ba6e16e46801a83d1ad168511ba702b64c973a9d3ae5e287bbdf920ff50/Parent.Guardian_Consent_Form__1_.pdf" TargetMode="External"/><Relationship Id="rId90" Type="http://schemas.openxmlformats.org/officeDocument/2006/relationships/hyperlink" Target="https://api.typeform.com/responses/files/c71a4bb36de2859e1ad1919a4b9923705f9a7babb84f2332b0d176c2a5626619/Parent.Guardian_Consent_Form__1_.pdf" TargetMode="External"/><Relationship Id="rId93" Type="http://schemas.openxmlformats.org/officeDocument/2006/relationships/hyperlink" Target="https://api.typeform.com/responses/files/0089b59a256d7ea2bad33c6f46959927725e70f940f707e85c0675c3a99fab18/Report_card_or_transcript.pdf" TargetMode="External"/><Relationship Id="rId92" Type="http://schemas.openxmlformats.org/officeDocument/2006/relationships/hyperlink" Target="https://api.typeform.com/responses/files/8645527f50c972bd006cbdf71a3af3992a55bd90acd00fecfc9a6fa75e513d35/Snapchat_463340470_2.jpg" TargetMode="External"/><Relationship Id="rId118" Type="http://schemas.openxmlformats.org/officeDocument/2006/relationships/hyperlink" Target="https://api.typeform.com/responses/files/26a08be6ae92d928d4a4488df0b0afe0aff572ee0e1ba6e4ca840aba377aeae2/Magby_Orellana_PCF___SAMPLE.pdf" TargetMode="External"/><Relationship Id="rId239" Type="http://schemas.openxmlformats.org/officeDocument/2006/relationships/hyperlink" Target="https://api.typeform.com/responses/files/3adc7c471ab53953b9c0eb318e20e31bf732a08ae8bc2a704f3b7dd74709600e/SPEAKHIRE_Parent.Guardian_Consent_Form.pdf" TargetMode="External"/><Relationship Id="rId117" Type="http://schemas.openxmlformats.org/officeDocument/2006/relationships/hyperlink" Target="https://api.typeform.com/responses/files/177ad1746dcbdbbd81a460447d136ec23c996f8d5f9f0c10f6dd37c224c631b9/Screen_Shot_2021_01_25_at_12.00.25_PM.png" TargetMode="External"/><Relationship Id="rId238" Type="http://schemas.openxmlformats.org/officeDocument/2006/relationships/hyperlink" Target="https://api.typeform.com/responses/files/f9a3a679bf506608c0b878329b75155a30e964700a45fa23dfb929d796dc6946/Screenshot_2021_02_15_at_11.23.52_PM.png" TargetMode="External"/><Relationship Id="rId359" Type="http://schemas.openxmlformats.org/officeDocument/2006/relationships/hyperlink" Target="https://api.typeform.com/responses/files/075419cbb3dab4708e342c4d594b00ea880cfd96e84bd1c9ae11f4325999e3c2/5F9A66B0_E592_44A2_873D_34C193C64F7A.png" TargetMode="External"/><Relationship Id="rId116" Type="http://schemas.openxmlformats.org/officeDocument/2006/relationships/hyperlink" Target="https://api.typeform.com/responses/files/de3e3d83a7737e112ebdaeb0a22238ab87c74a8d962f2db41dbd4697d11e8be3/Screen_Shot_2021_01_25_at_12.00.25_PM.png" TargetMode="External"/><Relationship Id="rId237" Type="http://schemas.openxmlformats.org/officeDocument/2006/relationships/hyperlink" Target="https://api.typeform.com/responses/files/669a970d5562ff60f3afd7d8bae680556d9110bdcc2c66697ace0921306b3788/IMG_4677.JPG" TargetMode="External"/><Relationship Id="rId358" Type="http://schemas.openxmlformats.org/officeDocument/2006/relationships/hyperlink" Target="https://api.typeform.com/responses/files/e6360d2d4dad0865dedfedd652bc76b0c8d0779d2353a4410d3121d5222b2299/9BD86A89_8599_4E11_A29C_BC613155E2F5.jpeg" TargetMode="External"/><Relationship Id="rId115" Type="http://schemas.openxmlformats.org/officeDocument/2006/relationships/hyperlink" Target="https://api.typeform.com/responses/files/f14e5d9b3755e38035e5be47d227381fd6fdff9e1e6ebe75b57e00b955e5cbde/20210109_112735.jpg" TargetMode="External"/><Relationship Id="rId236" Type="http://schemas.openxmlformats.org/officeDocument/2006/relationships/hyperlink" Target="https://api.typeform.com/responses/files/fe5c0b1e991591475bb05ffe326d37b537b675a64cd5fa4e93425d9f756dd739/5BCF6E84_DCBA_48E1_BA8E_A8044F293FBF.png" TargetMode="External"/><Relationship Id="rId357" Type="http://schemas.openxmlformats.org/officeDocument/2006/relationships/hyperlink" Target="https://api.typeform.com/responses/files/c23ec68fba82d3c6466e651b456fed07902777d65820b35161ed09e503c5612c/B245673A_2D5D_4C49_8801_B291EBFD2CAF.png" TargetMode="External"/><Relationship Id="rId119" Type="http://schemas.openxmlformats.org/officeDocument/2006/relationships/hyperlink" Target="https://api.typeform.com/responses/files/cba3080fe70de92f32ff93a1265f189716d50d52ad3916590b3a8d9c6ad27da0/hh_.jpeg" TargetMode="External"/><Relationship Id="rId110" Type="http://schemas.openxmlformats.org/officeDocument/2006/relationships/hyperlink" Target="https://api.typeform.com/responses/files/ad4efc0cb36a8559d67505b4164f496c73f38230745d272ff1bd6b9f32e7bc43/37B26ACE_5B4A_4C5D_8DB4_F60E9FB9347C.jpeg" TargetMode="External"/><Relationship Id="rId231" Type="http://schemas.openxmlformats.org/officeDocument/2006/relationships/hyperlink" Target="https://www.facebook.com/Johnfree.Carrasco.28" TargetMode="External"/><Relationship Id="rId352" Type="http://schemas.openxmlformats.org/officeDocument/2006/relationships/hyperlink" Target="https://api.typeform.com/responses/files/fdedaa24a7c5efd93e224f3c94794250376aee10ed7e67ce9988ed2ee37cd9e3/20210217_112652.jpg" TargetMode="External"/><Relationship Id="rId230" Type="http://schemas.openxmlformats.org/officeDocument/2006/relationships/hyperlink" Target="https://api.typeform.com/responses/files/15a200011cbcc2d650e887f06108e78b5496dd61840e244cee884842df779e09/IMG_4786.jpg" TargetMode="External"/><Relationship Id="rId351" Type="http://schemas.openxmlformats.org/officeDocument/2006/relationships/hyperlink" Target="https://api.typeform.com/responses/files/a1c13d549a647612f50b88b9e3137b6092de4c83672589a3fe369a296a3306e6/2668E690_25CA_4E0D_A33B_702485613A61.jpeg" TargetMode="External"/><Relationship Id="rId350" Type="http://schemas.openxmlformats.org/officeDocument/2006/relationships/hyperlink" Target="https://api.typeform.com/responses/files/fb0fc8b59474a3c2839495994fd9529b52ec258b75da595a200e63ff23c11656/1A3A1884_7B5A_46E3_AD47_D397C5690BC5.jpeg" TargetMode="External"/><Relationship Id="rId114" Type="http://schemas.openxmlformats.org/officeDocument/2006/relationships/hyperlink" Target="https://api.typeform.com/responses/files/a3b3b5628f3957a582b12a0f2aabe4b4ea2a8874e60226a7117ce362b5689f89/20210108_210146.jpg" TargetMode="External"/><Relationship Id="rId235" Type="http://schemas.openxmlformats.org/officeDocument/2006/relationships/hyperlink" Target="https://api.typeform.com/responses/files/e738e5aad24b473255dac380a347d03e7503bbf72a7cadd69908cce218fa4389/2CF7E464_DB00_4B34_9616_3494C067BA42.png" TargetMode="External"/><Relationship Id="rId356" Type="http://schemas.openxmlformats.org/officeDocument/2006/relationships/hyperlink" Target="https://api.typeform.com/responses/files/79a3a6de310436a32d92b4282289726982fcdb3fa6e8a9e0ae1fb0ef1db87eb7/4F244641_A47B_486B_B6CC_43AF449F2528.png" TargetMode="External"/><Relationship Id="rId113" Type="http://schemas.openxmlformats.org/officeDocument/2006/relationships/hyperlink" Target="https://api.typeform.com/responses/files/27d7ba70ae37c8a1b12a66765237a799993e52434868fa9b476fb73ec277c699/20210108_204325.jpg" TargetMode="External"/><Relationship Id="rId234" Type="http://schemas.openxmlformats.org/officeDocument/2006/relationships/hyperlink" Target="https://api.typeform.com/responses/files/7277a8592610fee3dd7c62913d9337ec7e96bd0b9db9cb4a1706a85f47193c61/75791248_21BC_4FDF_81B6_7F551F1C83B6.jpeg" TargetMode="External"/><Relationship Id="rId355" Type="http://schemas.openxmlformats.org/officeDocument/2006/relationships/hyperlink" Target="https://api.typeform.com/responses/files/14c1249a5320f78cef10e127a77ad60f790bcfa29dd4154681d0906945cfb7b4/image.jpg" TargetMode="External"/><Relationship Id="rId112" Type="http://schemas.openxmlformats.org/officeDocument/2006/relationships/hyperlink" Target="https://api.typeform.com/responses/files/e8d43e61da58b7fc63559e34a88190cd3e03b80e541c943766b4576047303278/Parent.Guardian_Consent_Form.pdf" TargetMode="External"/><Relationship Id="rId233" Type="http://schemas.openxmlformats.org/officeDocument/2006/relationships/hyperlink" Target="https://api.typeform.com/responses/files/c2390490d1c68f753d7d9cc2103f09cd18ef8227d064253ee079c49dbd024dac/IMG_4798.jpg" TargetMode="External"/><Relationship Id="rId354" Type="http://schemas.openxmlformats.org/officeDocument/2006/relationships/hyperlink" Target="https://api.typeform.com/responses/files/4f5871ba9447e2b75d9765b5b3298bbcbd98fe2aff5d10822cf6fe0afc9045dd/Parent.Guardian_Consent_Form_1done_.pdf" TargetMode="External"/><Relationship Id="rId111" Type="http://schemas.openxmlformats.org/officeDocument/2006/relationships/hyperlink" Target="https://api.typeform.com/responses/files/7cec63e4a85e10bf373f575296035f7712e5ca443c8502d2f72674ee4b82d7a7/Licsy.pdf" TargetMode="External"/><Relationship Id="rId232" Type="http://schemas.openxmlformats.org/officeDocument/2006/relationships/hyperlink" Target="https://api.typeform.com/responses/files/4dca7c625552a197b2ae0f2cda4cb021ab406901dab93f5e3d081ed1725a3d10/Johnfree_Carrasco_transcript__1_.pdf" TargetMode="External"/><Relationship Id="rId353" Type="http://schemas.openxmlformats.org/officeDocument/2006/relationships/hyperlink" Target="https://api.typeform.com/responses/files/65ea0fb40303e3c9d17337dde4c0a10e0ffce6168797386a244379e9ab0bd39a/Progress_Report_for_Allan_Gonzalez_2021_02_25_19_55__1_.pdf" TargetMode="External"/><Relationship Id="rId305" Type="http://schemas.openxmlformats.org/officeDocument/2006/relationships/hyperlink" Target="https://api.typeform.com/responses/files/55c5234d964aba97d6e39824205f0117a8a8ad120ce19114983688feb35eb181/ReportCard__1_.pdf" TargetMode="External"/><Relationship Id="rId304" Type="http://schemas.openxmlformats.org/officeDocument/2006/relationships/hyperlink" Target="https://api.typeform.com/responses/files/f03f7db48af763755b05bfdbb93e7438a6329d44e9868baf65c40370bf4b5531/IMG_2521.JPG" TargetMode="External"/><Relationship Id="rId303" Type="http://schemas.openxmlformats.org/officeDocument/2006/relationships/hyperlink" Target="https://api.typeform.com/responses/files/30455fd90ad44f82c47352b586a6e4835e1a4e628396baf442d2d5f44536c9e3/Parent.Guardian_Consent_Form.pdf" TargetMode="External"/><Relationship Id="rId302" Type="http://schemas.openxmlformats.org/officeDocument/2006/relationships/hyperlink" Target="https://api.typeform.com/responses/files/dceb91c15d539d99043d7ba2bb3dfab8b8ec1254988d86121d7abd690f43bb2c/e316d77a_3426_47c6_b2b2_683a49154e5c.jpeg" TargetMode="External"/><Relationship Id="rId309" Type="http://schemas.openxmlformats.org/officeDocument/2006/relationships/hyperlink" Target="https://api.typeform.com/responses/files/70a73f77b874f25e7a5ea5da279427cff3e77b6ef4771130e0b52f199718c0a1/Parent.Guardian_Consent_Form.pdf" TargetMode="External"/><Relationship Id="rId308" Type="http://schemas.openxmlformats.org/officeDocument/2006/relationships/hyperlink" Target="https://api.typeform.com/responses/files/9e6ad4d5931fd58348ad31cfbdd1120c658430dbea85bdd8cf51e7d8c8a3f0d5/Transcriptevaluation_11__templet___1_.docx" TargetMode="External"/><Relationship Id="rId307" Type="http://schemas.openxmlformats.org/officeDocument/2006/relationships/hyperlink" Target="https://api.typeform.com/responses/files/178aefa67391dee90ec5759aaa5abf2b660632d22639cbeb42b8e5b1a5e2ef6b/IMG_5012.PNG" TargetMode="External"/><Relationship Id="rId306" Type="http://schemas.openxmlformats.org/officeDocument/2006/relationships/hyperlink" Target="https://api.typeform.com/responses/files/efa0f3c4bcd86137261f9d21fac1d47462b37048d7217c6dfa5bda3b504c0827/Copy_of_Parent.Guardian_Consent_Form.docx" TargetMode="External"/><Relationship Id="rId301" Type="http://schemas.openxmlformats.org/officeDocument/2006/relationships/hyperlink" Target="https://api.typeform.com/responses/files/eb78f08bedbf5689b18befc3c0d691bdfffccf48b21bc1921899380f249c9989/e950e6d9_bc61_4145_a755_26792b201c76.jpeg" TargetMode="External"/><Relationship Id="rId300" Type="http://schemas.openxmlformats.org/officeDocument/2006/relationships/hyperlink" Target="https://api.typeform.com/responses/files/15e896ad80c631ab0330ffdb6369b0a173639ea6df31a670636ceb0edf747a95/Screenshot_2021_02_18_at_10.40.27_PM.png" TargetMode="External"/><Relationship Id="rId206" Type="http://schemas.openxmlformats.org/officeDocument/2006/relationships/hyperlink" Target="https://api.typeform.com/responses/files/0ee6c79e567ea7b0e6294e0da8c8c1f370aab148d8a6a32faedefb2d94d4cac7/IMG_1492__1_.jpg" TargetMode="External"/><Relationship Id="rId327" Type="http://schemas.openxmlformats.org/officeDocument/2006/relationships/hyperlink" Target="https://api.typeform.com/responses/files/02efb263a0bf742352c4e7e06114a311431757db57bc4a8e39e6287fc6dbdfcd/Copy_of_Parent.Guardian_Consent_Form__1_.pdf" TargetMode="External"/><Relationship Id="rId205" Type="http://schemas.openxmlformats.org/officeDocument/2006/relationships/hyperlink" Target="https://api.typeform.com/responses/files/d0f72797d175b657d4b3b257aa7625bf1c953d79f556766d84974d32cf2bb195/Parent.Guardian_Consent_Form__1_.pdf" TargetMode="External"/><Relationship Id="rId326" Type="http://schemas.openxmlformats.org/officeDocument/2006/relationships/hyperlink" Target="https://api.typeform.com/responses/files/03b41749f2e8593eb84565bfd85661d4b3ec64e9b826728aabc6b96571e3d980/ReportCard.pdf" TargetMode="External"/><Relationship Id="rId204" Type="http://schemas.openxmlformats.org/officeDocument/2006/relationships/hyperlink" Target="https://api.typeform.com/responses/files/f61db2ff232a239ab9d6be812f1b85b3c2d3d3722676a7aa7550ebb08362f108/Fernanda_Marte_transcript.pdf" TargetMode="External"/><Relationship Id="rId325" Type="http://schemas.openxmlformats.org/officeDocument/2006/relationships/hyperlink" Target="https://api.typeform.com/responses/files/aca265c697c6db44183453567ae86671e08bc9377374020ef527c01e25bf02be/IMG_0582.jpg" TargetMode="External"/><Relationship Id="rId203" Type="http://schemas.openxmlformats.org/officeDocument/2006/relationships/hyperlink" Target="https://api.typeform.com/responses/files/2dd7ecc2d674ba070533c8b24961bfc9571f0d4f4ced1c89056088a1e6d3a032/WhatsApp_Image_2021_02_09_at_10.47.21_AM.jpeg" TargetMode="External"/><Relationship Id="rId324" Type="http://schemas.openxmlformats.org/officeDocument/2006/relationships/hyperlink" Target="https://api.typeform.com/responses/files/0976dfd860a502cae64fd6c4a46260093985b887fb72b3b9514a6bad7ac02284/Parent_Guardian_Consent_Form.docx" TargetMode="External"/><Relationship Id="rId209" Type="http://schemas.openxmlformats.org/officeDocument/2006/relationships/hyperlink" Target="https://api.typeform.com/responses/files/afaea4b53839a4309185df57d07f3dd8bd6a851b63993e7fb179294aded580fb/File_000__2_.jpeg" TargetMode="External"/><Relationship Id="rId208" Type="http://schemas.openxmlformats.org/officeDocument/2006/relationships/hyperlink" Target="https://api.typeform.com/responses/files/b271906d9a9b08a1141a65de2f397f779839b0bc0131fc39124e0de0d83e4a3e/Screenshot_2021_02_09_at_12.21.04_PM.png" TargetMode="External"/><Relationship Id="rId329" Type="http://schemas.openxmlformats.org/officeDocument/2006/relationships/hyperlink" Target="https://api.typeform.com/responses/files/20e5f2d6372c3148ad24bbcbc3290040e90211c2cdb8668ecca4a5eb7f1c8611/Progress_Report_for_Angely_Lizheng_2021_02_25_19_58.pdf" TargetMode="External"/><Relationship Id="rId207" Type="http://schemas.openxmlformats.org/officeDocument/2006/relationships/hyperlink" Target="https://api.typeform.com/responses/files/065929c9804eb2516cb353ad77c4801c339beaf70f8d2dd4168b8667056560e7/IMG_1518__1_.jpg" TargetMode="External"/><Relationship Id="rId328" Type="http://schemas.openxmlformats.org/officeDocument/2006/relationships/hyperlink" Target="https://api.typeform.com/responses/files/016acdf0ea6c5f7484d9b99468116c0dd9c48f85f78408636e0a92e3d2bb7436/AD10AC5A_BABB_41AE_A0A9_D930F912C929.jpeg" TargetMode="External"/><Relationship Id="rId202" Type="http://schemas.openxmlformats.org/officeDocument/2006/relationships/hyperlink" Target="https://api.typeform.com/responses/files/48e2cf2f732737651c06bde15cc509f5b1255ab05efc7611636fa72f93211bf5/Parent.Guardian_Consent_Form.docx" TargetMode="External"/><Relationship Id="rId323" Type="http://schemas.openxmlformats.org/officeDocument/2006/relationships/hyperlink" Target="https://api.typeform.com/responses/files/15f27d07cd1a3724c5f2bb2f68eb71a015269797179c2fee2d157dd167dda9df/MP3_Report_Card.pdf" TargetMode="External"/><Relationship Id="rId201" Type="http://schemas.openxmlformats.org/officeDocument/2006/relationships/hyperlink" Target="https://api.typeform.com/responses/files/57d1e8690f8761dd05ccb735da40e784f80cd3fcc023b4858f8578a703087f1d/Adama_Bah__trans.pdf" TargetMode="External"/><Relationship Id="rId322" Type="http://schemas.openxmlformats.org/officeDocument/2006/relationships/hyperlink" Target="https://api.typeform.com/responses/files/25c1c3bf8276f5b97eca1e8e5a3650923afe07ad774e8b96be359fd4cf434ed2/20210225_151001.jpg" TargetMode="External"/><Relationship Id="rId200" Type="http://schemas.openxmlformats.org/officeDocument/2006/relationships/hyperlink" Target="https://api.typeform.com/responses/files/fb1dd99079adc5ab5d45491a1874cb4ca71a9536995db6ac6822805c93bb96e6/IMG_0142.jpg" TargetMode="External"/><Relationship Id="rId321" Type="http://schemas.openxmlformats.org/officeDocument/2006/relationships/hyperlink" Target="https://api.typeform.com/responses/files/d5e4a305730c413595c3406aca3c1647395ff22141fa5be5f228922c31b88428/Parent.Guardian_Consent_Form__1___1_.pdf" TargetMode="External"/><Relationship Id="rId320" Type="http://schemas.openxmlformats.org/officeDocument/2006/relationships/hyperlink" Target="https://api.typeform.com/responses/files/e9cef60b0fdbe4d950f1c47f4d0d896b1b2409202894c4541071675e0bec81dc/11__dragged_.pdf" TargetMode="External"/><Relationship Id="rId316" Type="http://schemas.openxmlformats.org/officeDocument/2006/relationships/hyperlink" Target="https://api.typeform.com/responses/files/880b84ea99013b43f0ef6f5907f46896febf11578813cd413d1a99a132e5a280/IMG_2342.PNG" TargetMode="External"/><Relationship Id="rId315" Type="http://schemas.openxmlformats.org/officeDocument/2006/relationships/hyperlink" Target="https://api.typeform.com/responses/files/f32fb821d8d359057ca6e2cc330821dc1e0f9c285c9e80542a2193943d845bc7/Copy_of_Parent.Guardian_Consent_Form.pdf" TargetMode="External"/><Relationship Id="rId314" Type="http://schemas.openxmlformats.org/officeDocument/2006/relationships/hyperlink" Target="https://api.typeform.com/responses/files/795df0c13e8677c5913663e98a3ba6ac966197f45c28cd07c22aebb6ea775c3b/ReportCard.pdf" TargetMode="External"/><Relationship Id="rId313" Type="http://schemas.openxmlformats.org/officeDocument/2006/relationships/hyperlink" Target="https://api.typeform.com/responses/files/d65797c78a9235218b97f7e4dd9616947542470e909562fddeed8cd57b131af9/my_picture.jpg" TargetMode="External"/><Relationship Id="rId319" Type="http://schemas.openxmlformats.org/officeDocument/2006/relationships/hyperlink" Target="https://api.typeform.com/responses/files/71589aadcc0e8e256d3d4e1e3f88ace5b95cc2741154b17341472875845bf575/received_851734565630434.jpeg" TargetMode="External"/><Relationship Id="rId318" Type="http://schemas.openxmlformats.org/officeDocument/2006/relationships/hyperlink" Target="https://api.typeform.com/responses/files/11e587beee75bc9aaa141d5d90bac24b4b440a6c3e87aec49960e4cea7c1d100/Copy_of_Parent.Guardian_Consent_Form_Dante_Matthews_.pdf" TargetMode="External"/><Relationship Id="rId317" Type="http://schemas.openxmlformats.org/officeDocument/2006/relationships/hyperlink" Target="https://api.typeform.com/responses/files/ac86e7330c27134323392d6798bae7df779c6dc430065d22c6e2375d0dd69fae/ReportCard__2_.pdf" TargetMode="External"/><Relationship Id="rId312" Type="http://schemas.openxmlformats.org/officeDocument/2006/relationships/hyperlink" Target="https://api.typeform.com/responses/files/a293a389c1668b17c1f8ccef5dd95fb5de3ba2609a095a7129154b1562cda5e3/Parent.Guardian_Consent_Form.pdf" TargetMode="External"/><Relationship Id="rId311" Type="http://schemas.openxmlformats.org/officeDocument/2006/relationships/hyperlink" Target="https://api.typeform.com/responses/files/9ed87f12b8aa98e29ac8367dfef691a28e738a86af9057421daacdec938cef33/B7412100_E36A_4A4D_A0E1_B4939F6D890E.jpeg" TargetMode="External"/><Relationship Id="rId310" Type="http://schemas.openxmlformats.org/officeDocument/2006/relationships/hyperlink" Target="https://api.typeform.com/responses/files/5296137f1e121355393012ebbc671bdf98a882ead7705b93978c3f1934a96a08/A49BA226_8EC2_4D2A_BE67_0FB99A2F624F.jpe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oRXBZMkr6LZqfhEw-LK209MORV7N2vYv" TargetMode="External"/><Relationship Id="rId190" Type="http://schemas.openxmlformats.org/officeDocument/2006/relationships/hyperlink" Target="https://drive.google.com/open?id=1kAR3g2Fl4jeil8zGOjYqf9U78kKTfFJU" TargetMode="External"/><Relationship Id="rId42" Type="http://schemas.openxmlformats.org/officeDocument/2006/relationships/hyperlink" Target="https://drive.google.com/open?id=1xZSUZRMXCuDD0FmLG9D0q590cMsMtuxq" TargetMode="External"/><Relationship Id="rId41" Type="http://schemas.openxmlformats.org/officeDocument/2006/relationships/hyperlink" Target="https://drive.google.com/open?id=1vOLvGRUx-iScRgsP7OSn8R3VW2yiDSFJ" TargetMode="External"/><Relationship Id="rId44" Type="http://schemas.openxmlformats.org/officeDocument/2006/relationships/hyperlink" Target="https://drive.google.com/open?id=1m9-Dmf7ooHbHGdFAt8bq2_FbS3AXJN28" TargetMode="External"/><Relationship Id="rId194" Type="http://schemas.openxmlformats.org/officeDocument/2006/relationships/hyperlink" Target="https://drive.google.com/open?id=1eZiJkslH40xw9IhAWgP0YvlUysmFkT6C" TargetMode="External"/><Relationship Id="rId43" Type="http://schemas.openxmlformats.org/officeDocument/2006/relationships/hyperlink" Target="https://drive.google.com/open?id=1NvQxBo6WFZ7dPbyruVJy2uqrHQrmDLVc" TargetMode="External"/><Relationship Id="rId193" Type="http://schemas.openxmlformats.org/officeDocument/2006/relationships/hyperlink" Target="https://drive.google.com/open?id=1Pp_gAZgqLl_uEkFbsmfKDYNpDi2Nqx7t" TargetMode="External"/><Relationship Id="rId46" Type="http://schemas.openxmlformats.org/officeDocument/2006/relationships/hyperlink" Target="https://drive.google.com/open?id=1XR30vLzgDQNwiIQGHP6YbIJ0UXuvXzY_" TargetMode="External"/><Relationship Id="rId192" Type="http://schemas.openxmlformats.org/officeDocument/2006/relationships/hyperlink" Target="https://drive.google.com/open?id=1akHHRwyIrI0kCCzTHKXOA01-rRkWDntD" TargetMode="External"/><Relationship Id="rId45" Type="http://schemas.openxmlformats.org/officeDocument/2006/relationships/hyperlink" Target="https://drive.google.com/open?id=1Jj6UGs9ElJcO4FD0GOXl4szI8cAteyr5" TargetMode="External"/><Relationship Id="rId191" Type="http://schemas.openxmlformats.org/officeDocument/2006/relationships/hyperlink" Target="https://drive.google.com/open?id=1G7uH9EdLGuGLkBs3IpehDln3xnAsrK4t" TargetMode="External"/><Relationship Id="rId48" Type="http://schemas.openxmlformats.org/officeDocument/2006/relationships/hyperlink" Target="https://drive.google.com/open?id=1mfQGiGN1xUpyWHkT3wc0U4wbF5clkLAX" TargetMode="External"/><Relationship Id="rId187" Type="http://schemas.openxmlformats.org/officeDocument/2006/relationships/hyperlink" Target="https://drive.google.com/open?id=1yvrQt03t2t8eMGac2p72KEyWRXb40TT9" TargetMode="External"/><Relationship Id="rId47" Type="http://schemas.openxmlformats.org/officeDocument/2006/relationships/hyperlink" Target="https://drive.google.com/open?id=1lAZrj2S5MWyeaSPRNP0bePT0NXh-jUbx" TargetMode="External"/><Relationship Id="rId186" Type="http://schemas.openxmlformats.org/officeDocument/2006/relationships/hyperlink" Target="https://drive.google.com/open?id=138eH7-DGHFiHC733yfoHBGDwAGpjRXhN" TargetMode="External"/><Relationship Id="rId185" Type="http://schemas.openxmlformats.org/officeDocument/2006/relationships/hyperlink" Target="https://drive.google.com/open?id=1_7bQ3PhSsMtmaKfgS00uuyOmkOY-oXH-" TargetMode="External"/><Relationship Id="rId49" Type="http://schemas.openxmlformats.org/officeDocument/2006/relationships/hyperlink" Target="https://drive.google.com/open?id=1xWYai-vKRZnUWFoYHzBagW98m7NaX8c7" TargetMode="External"/><Relationship Id="rId184" Type="http://schemas.openxmlformats.org/officeDocument/2006/relationships/hyperlink" Target="https://drive.google.com/open?id=1WfU_PIWRd5tBFGh9_muczPMhv2_ENl6D" TargetMode="External"/><Relationship Id="rId189" Type="http://schemas.openxmlformats.org/officeDocument/2006/relationships/hyperlink" Target="https://drive.google.com/open?id=1kR3wXqXXhNOb6hs6aUr__4r1d1etvCe6" TargetMode="External"/><Relationship Id="rId188" Type="http://schemas.openxmlformats.org/officeDocument/2006/relationships/hyperlink" Target="https://drive.google.com/open?id=1nyeUxa-xEp6euPYoTIAUWcfk1zccGIN2" TargetMode="External"/><Relationship Id="rId31" Type="http://schemas.openxmlformats.org/officeDocument/2006/relationships/hyperlink" Target="https://drive.google.com/open?id=1z2nvb-xgwcx0oAl3GTBzGlgIs49CFst4" TargetMode="External"/><Relationship Id="rId30" Type="http://schemas.openxmlformats.org/officeDocument/2006/relationships/hyperlink" Target="https://drive.google.com/open?id=1N7kcTKYX2sPrGX8ESaeCKmOiDiAL8Ka8" TargetMode="External"/><Relationship Id="rId33" Type="http://schemas.openxmlformats.org/officeDocument/2006/relationships/hyperlink" Target="https://drive.google.com/open?id=1ybXcXTUdFwrVPtmZM04FAJn4zVRDhJ3W" TargetMode="External"/><Relationship Id="rId183" Type="http://schemas.openxmlformats.org/officeDocument/2006/relationships/hyperlink" Target="https://drive.google.com/open?id=1l_RwUOXiF3uqJOgYLLsnYOSIDy-GTth4" TargetMode="External"/><Relationship Id="rId32" Type="http://schemas.openxmlformats.org/officeDocument/2006/relationships/hyperlink" Target="https://drive.google.com/open?id=1ylOl4BhwIzlA6dkkcLcY50G1c6-KZtr3" TargetMode="External"/><Relationship Id="rId182" Type="http://schemas.openxmlformats.org/officeDocument/2006/relationships/hyperlink" Target="https://drive.google.com/open?id=1yROJw68QAFV12rPLTskHMgNtmk83QNS8" TargetMode="External"/><Relationship Id="rId35" Type="http://schemas.openxmlformats.org/officeDocument/2006/relationships/hyperlink" Target="https://drive.google.com/open?id=1T6ytVru_v5goB_ExhhJD3FkXq2J4Jnhr" TargetMode="External"/><Relationship Id="rId181" Type="http://schemas.openxmlformats.org/officeDocument/2006/relationships/hyperlink" Target="https://drive.google.com/open?id=1IZwru0B8qEjb2EvML_amM-x6vHN5RvQA" TargetMode="External"/><Relationship Id="rId34" Type="http://schemas.openxmlformats.org/officeDocument/2006/relationships/hyperlink" Target="https://drive.google.com/open?id=1IFy96H8yR8amGjr-agzuE2yGlm9OH_gj" TargetMode="External"/><Relationship Id="rId180" Type="http://schemas.openxmlformats.org/officeDocument/2006/relationships/hyperlink" Target="https://drive.google.com/open?id=1EdMtzLtNYcvvT9ccEJ1MLm4-xBO-NWvT" TargetMode="External"/><Relationship Id="rId37" Type="http://schemas.openxmlformats.org/officeDocument/2006/relationships/hyperlink" Target="https://drive.google.com/open?id=11m-eFgoycOKFnLVK-R1hQxdyQWsOGLFX" TargetMode="External"/><Relationship Id="rId176" Type="http://schemas.openxmlformats.org/officeDocument/2006/relationships/hyperlink" Target="https://drive.google.com/open?id=10uy15WtTykemZltT1F5cMwVjmedxjCWn" TargetMode="External"/><Relationship Id="rId36" Type="http://schemas.openxmlformats.org/officeDocument/2006/relationships/hyperlink" Target="https://drive.google.com/open?id=1z8SeFbE61coMrlnKk65EqaFTz_4KgPwh" TargetMode="External"/><Relationship Id="rId175" Type="http://schemas.openxmlformats.org/officeDocument/2006/relationships/hyperlink" Target="https://drive.google.com/open?id=14_rWR4TNsjXR8L2VKPIsC5CHCmw7rKPF" TargetMode="External"/><Relationship Id="rId39" Type="http://schemas.openxmlformats.org/officeDocument/2006/relationships/hyperlink" Target="https://drive.google.com/open?id=1OuT5kFbgMZUOZL2_29W9aCAhDR5xejoM" TargetMode="External"/><Relationship Id="rId174" Type="http://schemas.openxmlformats.org/officeDocument/2006/relationships/hyperlink" Target="https://drive.google.com/open?id=1ubmW-nMtujrFnXNTTFdTCxgKSVF2MuDA" TargetMode="External"/><Relationship Id="rId38" Type="http://schemas.openxmlformats.org/officeDocument/2006/relationships/hyperlink" Target="https://drive.google.com/open?id=1ks5DTaURkcJKjvlXixjircWQe9XCBcKP" TargetMode="External"/><Relationship Id="rId173" Type="http://schemas.openxmlformats.org/officeDocument/2006/relationships/hyperlink" Target="https://drive.google.com/open?id=1Zs7JtFH_21ZCmwjl2fOeL8o9FmuBB74E" TargetMode="External"/><Relationship Id="rId179" Type="http://schemas.openxmlformats.org/officeDocument/2006/relationships/hyperlink" Target="https://drive.google.com/open?id=1CA4EvaCipxsFgQvg1isU0d_vtAYvZSQH" TargetMode="External"/><Relationship Id="rId178" Type="http://schemas.openxmlformats.org/officeDocument/2006/relationships/hyperlink" Target="https://drive.google.com/open?id=1y2Ccp-Zvh-iAXwp9wAbhyTMxT5yThO4_" TargetMode="External"/><Relationship Id="rId177" Type="http://schemas.openxmlformats.org/officeDocument/2006/relationships/hyperlink" Target="https://drive.google.com/open?id=1PKJsi-d5yxwuilPPC1n6oPvYHr9sR0SI" TargetMode="External"/><Relationship Id="rId20" Type="http://schemas.openxmlformats.org/officeDocument/2006/relationships/hyperlink" Target="https://drive.google.com/open?id=1h0lJy9Sof3KkgLQvupelEA7vZd-9FCAD" TargetMode="External"/><Relationship Id="rId22" Type="http://schemas.openxmlformats.org/officeDocument/2006/relationships/hyperlink" Target="https://drive.google.com/open?id=1I6Y1wi9Yy3TcuUPMvtKGUbh38JFNW6vP" TargetMode="External"/><Relationship Id="rId21" Type="http://schemas.openxmlformats.org/officeDocument/2006/relationships/hyperlink" Target="https://drive.google.com/open?id=1f8qByFye_Xy_d_krKczGeInRt6Y43EPZ" TargetMode="External"/><Relationship Id="rId24" Type="http://schemas.openxmlformats.org/officeDocument/2006/relationships/hyperlink" Target="https://drive.google.com/open?id=1lsgek3c6W5JPGA0ujJ6PDwarjXmPWogA" TargetMode="External"/><Relationship Id="rId23" Type="http://schemas.openxmlformats.org/officeDocument/2006/relationships/hyperlink" Target="https://drive.google.com/open?id=1tbIIZarr1pOAI2CgpLvSO9oW3jsleSCI" TargetMode="External"/><Relationship Id="rId26" Type="http://schemas.openxmlformats.org/officeDocument/2006/relationships/hyperlink" Target="https://drive.google.com/open?id=1NFKnduC6yaTB5_iGTEku9sUb7377xIXa" TargetMode="External"/><Relationship Id="rId25" Type="http://schemas.openxmlformats.org/officeDocument/2006/relationships/hyperlink" Target="https://drive.google.com/open?id=17vGPX1Y64FTGU0bVU38CQDHOM6WC6TCH" TargetMode="External"/><Relationship Id="rId28" Type="http://schemas.openxmlformats.org/officeDocument/2006/relationships/hyperlink" Target="https://drive.google.com/open?id=1oNbp0rx17x-ULSm26qOze4__er6oHd-R" TargetMode="External"/><Relationship Id="rId27" Type="http://schemas.openxmlformats.org/officeDocument/2006/relationships/hyperlink" Target="https://drive.google.com/open?id=1fEW2NsF1_aONlDST6ZLvKNyadLaU-kV_" TargetMode="External"/><Relationship Id="rId29" Type="http://schemas.openxmlformats.org/officeDocument/2006/relationships/hyperlink" Target="https://drive.google.com/open?id=11yu4bf6NKTlkN6e1nDNmqE19wuhtLERL" TargetMode="External"/><Relationship Id="rId11" Type="http://schemas.openxmlformats.org/officeDocument/2006/relationships/hyperlink" Target="https://drive.google.com/open?id=1gg6vc4Oi8WQ0eVkw_JzLLr3baDz9yf8N" TargetMode="External"/><Relationship Id="rId10" Type="http://schemas.openxmlformats.org/officeDocument/2006/relationships/hyperlink" Target="https://drive.google.com/open?id=1HW6HXanATpVYhMEYSC5TBAoP8FJpsHwd" TargetMode="External"/><Relationship Id="rId13" Type="http://schemas.openxmlformats.org/officeDocument/2006/relationships/hyperlink" Target="https://drive.google.com/open?id=1FWHPiiM1z5QKHA9vBRdp2sNOu52dTAIj" TargetMode="External"/><Relationship Id="rId12" Type="http://schemas.openxmlformats.org/officeDocument/2006/relationships/hyperlink" Target="https://drive.google.com/open?id=1NvgpblEbeFiQezh0Gs7MHpbpdScjvTrS" TargetMode="External"/><Relationship Id="rId15" Type="http://schemas.openxmlformats.org/officeDocument/2006/relationships/hyperlink" Target="https://drive.google.com/open?id=1xvVWePHd3_vffq6eOhTflGA73EctbU_b" TargetMode="External"/><Relationship Id="rId198" Type="http://schemas.openxmlformats.org/officeDocument/2006/relationships/hyperlink" Target="https://drive.google.com/open?id=15p3Zm3W3AWiI5BvFm_lc7LeLBH8EPRnV" TargetMode="External"/><Relationship Id="rId14" Type="http://schemas.openxmlformats.org/officeDocument/2006/relationships/hyperlink" Target="https://drive.google.com/open?id=1C--u9nktKwElRst4GNkNrFWGQOcZCuCt" TargetMode="External"/><Relationship Id="rId197" Type="http://schemas.openxmlformats.org/officeDocument/2006/relationships/hyperlink" Target="https://drive.google.com/open?id=1phcMLDcNkzgYeBPNV98mqhLTQo5IrGl9" TargetMode="External"/><Relationship Id="rId17" Type="http://schemas.openxmlformats.org/officeDocument/2006/relationships/hyperlink" Target="https://drive.google.com/open?id=1AMjr4N7R0LxtwBhtz--NtIjAkMYT2RAQ" TargetMode="External"/><Relationship Id="rId196" Type="http://schemas.openxmlformats.org/officeDocument/2006/relationships/hyperlink" Target="https://drive.google.com/open?id=1lOBDjvuIEjk1l7U6_DSeRIouQMEfUnpu" TargetMode="External"/><Relationship Id="rId16" Type="http://schemas.openxmlformats.org/officeDocument/2006/relationships/hyperlink" Target="https://drive.google.com/open?id=1RqiZCuLVNpYqeGgoy8nNH4R1CTe0XhFT" TargetMode="External"/><Relationship Id="rId195" Type="http://schemas.openxmlformats.org/officeDocument/2006/relationships/hyperlink" Target="https://drive.google.com/open?id=1FWohQi8igGGd_G3iuPqybPYXiD5R6vTj" TargetMode="External"/><Relationship Id="rId19" Type="http://schemas.openxmlformats.org/officeDocument/2006/relationships/hyperlink" Target="https://drive.google.com/open?id=1VYNwo8H0_zaewjdGw19gu-PBboCYiz1W" TargetMode="External"/><Relationship Id="rId18" Type="http://schemas.openxmlformats.org/officeDocument/2006/relationships/hyperlink" Target="https://drive.google.com/open?id=1fvFeSblXgk60N8oRSX7oWG64PN-pBpYL" TargetMode="External"/><Relationship Id="rId199" Type="http://schemas.openxmlformats.org/officeDocument/2006/relationships/hyperlink" Target="https://drive.google.com/open?id=1izsFEVytx5b45mkNe_HfYHh3WSryIlNc" TargetMode="External"/><Relationship Id="rId84" Type="http://schemas.openxmlformats.org/officeDocument/2006/relationships/hyperlink" Target="https://drive.google.com/open?id=1P7u7xRPjYl9-0a56A3L6sVQzQQHB14cI" TargetMode="External"/><Relationship Id="rId83" Type="http://schemas.openxmlformats.org/officeDocument/2006/relationships/hyperlink" Target="https://drive.google.com/open?id=11ZsnB2KQ5hm-Rj3p2uPvdzGdkucchsIE" TargetMode="External"/><Relationship Id="rId86" Type="http://schemas.openxmlformats.org/officeDocument/2006/relationships/hyperlink" Target="https://drive.google.com/open?id=1o8vwqW7M3uxg-xyor407ZU3qNV89UKZK" TargetMode="External"/><Relationship Id="rId85" Type="http://schemas.openxmlformats.org/officeDocument/2006/relationships/hyperlink" Target="https://drive.google.com/open?id=1QMhHsrIJVwrWNWlLjsxFAHH_GEzGS87c" TargetMode="External"/><Relationship Id="rId88" Type="http://schemas.openxmlformats.org/officeDocument/2006/relationships/hyperlink" Target="https://drive.google.com/open?id=1Y6dk4bP4kp1dUmMTrvJbnrCOkad7kRwG" TargetMode="External"/><Relationship Id="rId150" Type="http://schemas.openxmlformats.org/officeDocument/2006/relationships/hyperlink" Target="https://drive.google.com/open?id=1b01Cq6iJoG9Q11lOlIz8sroVG-D9F59U" TargetMode="External"/><Relationship Id="rId87" Type="http://schemas.openxmlformats.org/officeDocument/2006/relationships/hyperlink" Target="https://drive.google.com/open?id=1ePP8kJTbDKqHS7N8hbZxOgm1Kd7wR_nM" TargetMode="External"/><Relationship Id="rId89" Type="http://schemas.openxmlformats.org/officeDocument/2006/relationships/hyperlink" Target="https://drive.google.com/open?id=1eOd0oezwPKJsLmAVVbWNQNjXrFog1H87" TargetMode="External"/><Relationship Id="rId80" Type="http://schemas.openxmlformats.org/officeDocument/2006/relationships/hyperlink" Target="https://drive.google.com/open?id=12Z_hy2gGldmGhJuS-7yBRg_99cew7Ele" TargetMode="External"/><Relationship Id="rId82" Type="http://schemas.openxmlformats.org/officeDocument/2006/relationships/hyperlink" Target="https://drive.google.com/open?id=1FaGYFA1E5P-LXQ1g_hQPBb1wGmDtWjOu" TargetMode="External"/><Relationship Id="rId81" Type="http://schemas.openxmlformats.org/officeDocument/2006/relationships/hyperlink" Target="https://drive.google.com/open?id=1LHBt-kwk9Ut5BZDr7nuxv5euZyVxuUQG" TargetMode="External"/><Relationship Id="rId1" Type="http://schemas.openxmlformats.org/officeDocument/2006/relationships/hyperlink" Target="https://drive.google.com/open?id=13XOZoDdPpUMYFZiHEedyAG_ef_mF8QQs" TargetMode="External"/><Relationship Id="rId2" Type="http://schemas.openxmlformats.org/officeDocument/2006/relationships/hyperlink" Target="https://drive.google.com/open?id=1Bfg4ISxylFwmDz0lUifP5bkZ4WcSZD74" TargetMode="External"/><Relationship Id="rId3" Type="http://schemas.openxmlformats.org/officeDocument/2006/relationships/hyperlink" Target="https://drive.google.com/open?id=1gW-Wo58Nlq3hi2hJXNpcPwduBdolpwI3" TargetMode="External"/><Relationship Id="rId149" Type="http://schemas.openxmlformats.org/officeDocument/2006/relationships/hyperlink" Target="https://drive.google.com/open?id=1T5Id40iJEfF--r1YpDwMmQVPDrjX3R9I" TargetMode="External"/><Relationship Id="rId4" Type="http://schemas.openxmlformats.org/officeDocument/2006/relationships/hyperlink" Target="https://drive.google.com/open?id=1C2WkvLVI_p6N8FIMVXfgJFnqN8Va4foR" TargetMode="External"/><Relationship Id="rId148" Type="http://schemas.openxmlformats.org/officeDocument/2006/relationships/hyperlink" Target="https://drive.google.com/open?id=1VZsPdMmZzfxsEtQ42jkeCR_po1gj1Rxc" TargetMode="External"/><Relationship Id="rId9" Type="http://schemas.openxmlformats.org/officeDocument/2006/relationships/hyperlink" Target="https://drive.google.com/open?id=1BaYqLMjZzPFCzK03ULql_o1XCSXqhy21" TargetMode="External"/><Relationship Id="rId143" Type="http://schemas.openxmlformats.org/officeDocument/2006/relationships/hyperlink" Target="https://drive.google.com/open?id=1OizHHQj9H0lWnO41JMW7zqSkvOED0TAe" TargetMode="External"/><Relationship Id="rId142" Type="http://schemas.openxmlformats.org/officeDocument/2006/relationships/hyperlink" Target="https://drive.google.com/open?id=1CV1kU-_3ZfzRBQQ_rOorX7lngjnsk5Qt" TargetMode="External"/><Relationship Id="rId141" Type="http://schemas.openxmlformats.org/officeDocument/2006/relationships/hyperlink" Target="https://drive.google.com/open?id=15WJpzCHp9NYMCHcK9TfYjGwO0J0k1Qgv" TargetMode="External"/><Relationship Id="rId140" Type="http://schemas.openxmlformats.org/officeDocument/2006/relationships/hyperlink" Target="https://drive.google.com/open?id=1AOJurqAeZ2tSKuUf1xiZMZ3OCmxideVe" TargetMode="External"/><Relationship Id="rId5" Type="http://schemas.openxmlformats.org/officeDocument/2006/relationships/hyperlink" Target="https://drive.google.com/open?id=1z1qyAChHi9tD5A04TnXj_LSK1yhVC_Qr" TargetMode="External"/><Relationship Id="rId147" Type="http://schemas.openxmlformats.org/officeDocument/2006/relationships/hyperlink" Target="https://drive.google.com/open?id=14qpd0v7B7t8NMyNLNjoBlKHFpcKlkz2N" TargetMode="External"/><Relationship Id="rId6" Type="http://schemas.openxmlformats.org/officeDocument/2006/relationships/hyperlink" Target="https://drive.google.com/open?id=1_n_524degxecIAXrZAzkJ4xgg6_MNWN6" TargetMode="External"/><Relationship Id="rId146" Type="http://schemas.openxmlformats.org/officeDocument/2006/relationships/hyperlink" Target="https://drive.google.com/open?id=1RUBluZbfD8ouP367P2Kiy8MF8HSMArLv" TargetMode="External"/><Relationship Id="rId7" Type="http://schemas.openxmlformats.org/officeDocument/2006/relationships/hyperlink" Target="https://drive.google.com/open?id=1DZ1ktpVUd6klNymGgWp0oF0aV79G4cGL" TargetMode="External"/><Relationship Id="rId145" Type="http://schemas.openxmlformats.org/officeDocument/2006/relationships/hyperlink" Target="https://drive.google.com/open?id=1qQOuwSVdKhWloc3esP4YFdNSnMRqPJYK" TargetMode="External"/><Relationship Id="rId8" Type="http://schemas.openxmlformats.org/officeDocument/2006/relationships/hyperlink" Target="https://drive.google.com/open?id=1NJESZThczrLk0O4hs1AkglA46Ada6g46" TargetMode="External"/><Relationship Id="rId144" Type="http://schemas.openxmlformats.org/officeDocument/2006/relationships/hyperlink" Target="https://drive.google.com/open?id=11if8-BX1u794pyvO2gAPbq839OLQnr6J" TargetMode="External"/><Relationship Id="rId73" Type="http://schemas.openxmlformats.org/officeDocument/2006/relationships/hyperlink" Target="https://drive.google.com/open?id=1Af5KxHAAc5PlelawudedBvk_5aAGASuw" TargetMode="External"/><Relationship Id="rId72" Type="http://schemas.openxmlformats.org/officeDocument/2006/relationships/hyperlink" Target="https://drive.google.com/open?id=1r-kDbD7gy3mELH_P7lz0n0QHKZaVSaRX" TargetMode="External"/><Relationship Id="rId75" Type="http://schemas.openxmlformats.org/officeDocument/2006/relationships/hyperlink" Target="https://drive.google.com/open?id=1fq_4IlCsXVlQoOTy5GKXN0lW4X-JhYAR" TargetMode="External"/><Relationship Id="rId74" Type="http://schemas.openxmlformats.org/officeDocument/2006/relationships/hyperlink" Target="https://drive.google.com/open?id=1phtdKldVdZGNbkTjEz4uj0h_xk9jzo2D" TargetMode="External"/><Relationship Id="rId77" Type="http://schemas.openxmlformats.org/officeDocument/2006/relationships/hyperlink" Target="https://drive.google.com/open?id=1fHvIoKa5PzzFaWlzMRpvg3VMAoQQMl3x" TargetMode="External"/><Relationship Id="rId76" Type="http://schemas.openxmlformats.org/officeDocument/2006/relationships/hyperlink" Target="https://drive.google.com/open?id=1DfBa6L-jO9vTcMBKWdrDutGuZcSWCSYL" TargetMode="External"/><Relationship Id="rId79" Type="http://schemas.openxmlformats.org/officeDocument/2006/relationships/hyperlink" Target="https://drive.google.com/open?id=1z_l2LI4lehjLJsvp8GwwQQFzZDaFgKoY" TargetMode="External"/><Relationship Id="rId78" Type="http://schemas.openxmlformats.org/officeDocument/2006/relationships/hyperlink" Target="https://drive.google.com/open?id=1CjB3B4Jr-7h9Bd-u-AMyPBQnUz_s8qdP" TargetMode="External"/><Relationship Id="rId71" Type="http://schemas.openxmlformats.org/officeDocument/2006/relationships/hyperlink" Target="https://drive.google.com/open?id=1BnZz4WAEJgVHW9qOVqhXHQS8_CvZP08Y" TargetMode="External"/><Relationship Id="rId70" Type="http://schemas.openxmlformats.org/officeDocument/2006/relationships/hyperlink" Target="https://drive.google.com/open?id=1YmVO--UafD7hfVPiSYuulN6FPNlYjj_Y" TargetMode="External"/><Relationship Id="rId139" Type="http://schemas.openxmlformats.org/officeDocument/2006/relationships/hyperlink" Target="https://drive.google.com/open?id=1cI7DqyQogqhyQjaiEtpwCzVsfeXfU-p6" TargetMode="External"/><Relationship Id="rId138" Type="http://schemas.openxmlformats.org/officeDocument/2006/relationships/hyperlink" Target="https://drive.google.com/open?id=1zhzIfUrsV-KwWR6esNDj6sY0D5JYysqk" TargetMode="External"/><Relationship Id="rId137" Type="http://schemas.openxmlformats.org/officeDocument/2006/relationships/hyperlink" Target="https://drive.google.com/open?id=1BbISYdfFWveJdcpg4_ffRnFnlg0v41l5" TargetMode="External"/><Relationship Id="rId132" Type="http://schemas.openxmlformats.org/officeDocument/2006/relationships/hyperlink" Target="https://drive.google.com/open?id=1acppzbY5Zdd7NU13YNjW6OVu-9Peu0AL" TargetMode="External"/><Relationship Id="rId131" Type="http://schemas.openxmlformats.org/officeDocument/2006/relationships/hyperlink" Target="https://drive.google.com/open?id=1WEGgIIm9LdQTzEV8lN88dsoeTywloFsD" TargetMode="External"/><Relationship Id="rId130" Type="http://schemas.openxmlformats.org/officeDocument/2006/relationships/hyperlink" Target="https://drive.google.com/open?id=1i2ke7uQzE-AhyxSeLjZIYeWDAtu8kqx9" TargetMode="External"/><Relationship Id="rId136" Type="http://schemas.openxmlformats.org/officeDocument/2006/relationships/hyperlink" Target="https://drive.google.com/open?id=17-H-LdkODtZlcfjHFKI2doPzqTi5VaB7" TargetMode="External"/><Relationship Id="rId135" Type="http://schemas.openxmlformats.org/officeDocument/2006/relationships/hyperlink" Target="https://drive.google.com/open?id=17DV9oRG_VKrIYDMoYaLTTa1CHmtSBK1R" TargetMode="External"/><Relationship Id="rId134" Type="http://schemas.openxmlformats.org/officeDocument/2006/relationships/hyperlink" Target="https://drive.google.com/open?id=1QCG4I3ib4wDbNAeRmhx3wKNHIb6y6myb" TargetMode="External"/><Relationship Id="rId133" Type="http://schemas.openxmlformats.org/officeDocument/2006/relationships/hyperlink" Target="https://drive.google.com/open?id=1TbNl2nz7gNV3qNrfZChZ3Y9a4C9k15Om" TargetMode="External"/><Relationship Id="rId62" Type="http://schemas.openxmlformats.org/officeDocument/2006/relationships/hyperlink" Target="https://drive.google.com/open?id=1Fdj9936RxQcQTi-Nyx_3cX_4F0L0t73p" TargetMode="External"/><Relationship Id="rId61" Type="http://schemas.openxmlformats.org/officeDocument/2006/relationships/hyperlink" Target="https://drive.google.com/open?id=1fsTQJ2nT1ZjgTWaa34TsW7Tu4im6_mFq" TargetMode="External"/><Relationship Id="rId64" Type="http://schemas.openxmlformats.org/officeDocument/2006/relationships/hyperlink" Target="https://drive.google.com/open?id=1LyOrJZBTCqE6wpDDuL2PVR4M1A0TMNvT" TargetMode="External"/><Relationship Id="rId63" Type="http://schemas.openxmlformats.org/officeDocument/2006/relationships/hyperlink" Target="https://drive.google.com/open?id=1kbXSkusebocaWUCFiosOoX9e8ivKTzTt" TargetMode="External"/><Relationship Id="rId66" Type="http://schemas.openxmlformats.org/officeDocument/2006/relationships/hyperlink" Target="https://drive.google.com/open?id=1sTxyDQguPRYm_B4mRH4XPnpkexxp2y9f" TargetMode="External"/><Relationship Id="rId172" Type="http://schemas.openxmlformats.org/officeDocument/2006/relationships/hyperlink" Target="http://facebook.com/sayyora.khadjimatova.9" TargetMode="External"/><Relationship Id="rId65" Type="http://schemas.openxmlformats.org/officeDocument/2006/relationships/hyperlink" Target="https://drive.google.com/open?id=1casidgVALNKr9GN6gMDK48bPQv5F5MZP" TargetMode="External"/><Relationship Id="rId171" Type="http://schemas.openxmlformats.org/officeDocument/2006/relationships/hyperlink" Target="https://drive.google.com/open?id=1_jZeCt032Dalo-Hkqgc-Kod6zaO1uZnc" TargetMode="External"/><Relationship Id="rId68" Type="http://schemas.openxmlformats.org/officeDocument/2006/relationships/hyperlink" Target="https://drive.google.com/open?id=1JV7ozQZxqsfJee92P49fuqliomJASy6v" TargetMode="External"/><Relationship Id="rId170" Type="http://schemas.openxmlformats.org/officeDocument/2006/relationships/hyperlink" Target="https://drive.google.com/open?id=1F0hpubZVkHuspcVahQGp3WO0uSzv8BPH" TargetMode="External"/><Relationship Id="rId67" Type="http://schemas.openxmlformats.org/officeDocument/2006/relationships/hyperlink" Target="https://drive.google.com/open?id=1EjCib8qRqDbJ3PTlnNckdyjHq6WxCgfN" TargetMode="External"/><Relationship Id="rId60" Type="http://schemas.openxmlformats.org/officeDocument/2006/relationships/hyperlink" Target="https://drive.google.com/open?id=1Ftcj7-Otc9o3vN8_z3zyGTrlxL650D97" TargetMode="External"/><Relationship Id="rId165" Type="http://schemas.openxmlformats.org/officeDocument/2006/relationships/hyperlink" Target="https://drive.google.com/open?id=1tlqw_DDvmzNO7UpD4Ep1OBb9cULTObqV" TargetMode="External"/><Relationship Id="rId69" Type="http://schemas.openxmlformats.org/officeDocument/2006/relationships/hyperlink" Target="https://drive.google.com/open?id=1d9vT5j0T5MDsgjEqLUCti7qugOlVPy9m" TargetMode="External"/><Relationship Id="rId164" Type="http://schemas.openxmlformats.org/officeDocument/2006/relationships/hyperlink" Target="https://drive.google.com/open?id=168WGF9RYee3_2PUjjy5IEGaTzKH0wl9H" TargetMode="External"/><Relationship Id="rId163" Type="http://schemas.openxmlformats.org/officeDocument/2006/relationships/hyperlink" Target="https://drive.google.com/open?id=1lrX5Vi4LTcI5Jq85J6E78BSV0inJX9gW" TargetMode="External"/><Relationship Id="rId162" Type="http://schemas.openxmlformats.org/officeDocument/2006/relationships/hyperlink" Target="https://drive.google.com/open?id=1rrUSWC76332aZFN_SRFCo5u8R9zlq_I4" TargetMode="External"/><Relationship Id="rId169" Type="http://schemas.openxmlformats.org/officeDocument/2006/relationships/hyperlink" Target="https://drive.google.com/open?id=1eIXmopZ_xNo57FnA6GZDTPFw7UmuhXVZ" TargetMode="External"/><Relationship Id="rId168" Type="http://schemas.openxmlformats.org/officeDocument/2006/relationships/hyperlink" Target="https://drive.google.com/open?id=1bJIBZxyhArQDbo4ii-2zumSMkwlJKH-0" TargetMode="External"/><Relationship Id="rId167" Type="http://schemas.openxmlformats.org/officeDocument/2006/relationships/hyperlink" Target="https://drive.google.com/open?id=11KKJ3pQ9QWSj6pZVjU0wSGhr-jz3Rzxz" TargetMode="External"/><Relationship Id="rId166" Type="http://schemas.openxmlformats.org/officeDocument/2006/relationships/hyperlink" Target="https://drive.google.com/open?id=1JvPQE5hu64PhsfBnXyUaouZrvuMAfWsw" TargetMode="External"/><Relationship Id="rId51" Type="http://schemas.openxmlformats.org/officeDocument/2006/relationships/hyperlink" Target="https://drive.google.com/open?id=1nrUlHcYHrDbyecClWXZ0lt4YILzwgubm" TargetMode="External"/><Relationship Id="rId50" Type="http://schemas.openxmlformats.org/officeDocument/2006/relationships/hyperlink" Target="https://drive.google.com/open?id=1bDPWiu5tG_11QcXScgXPsyGwvFyb0HmK" TargetMode="External"/><Relationship Id="rId53" Type="http://schemas.openxmlformats.org/officeDocument/2006/relationships/hyperlink" Target="https://drive.google.com/open?id=1rGKTS3sESUKOSIsn0FkE2hMFZYW4PMmb" TargetMode="External"/><Relationship Id="rId52" Type="http://schemas.openxmlformats.org/officeDocument/2006/relationships/hyperlink" Target="https://drive.google.com/open?id=1Da6Mw8bLdpAqyGR4Ivnd7qJGpufxMgT-" TargetMode="External"/><Relationship Id="rId55" Type="http://schemas.openxmlformats.org/officeDocument/2006/relationships/hyperlink" Target="https://drive.google.com/open?id=1KQ7okoD6cP1Zevcn_14jqJ2EyzBKPyLh" TargetMode="External"/><Relationship Id="rId161" Type="http://schemas.openxmlformats.org/officeDocument/2006/relationships/hyperlink" Target="https://drive.google.com/open?id=1ZBI5uNH8uNVb6yTAD5XA-kmrwuBtHZgj" TargetMode="External"/><Relationship Id="rId54" Type="http://schemas.openxmlformats.org/officeDocument/2006/relationships/hyperlink" Target="https://drive.google.com/open?id=1p7MHNVoO4u8x2sL2-bK9o-DxFapObZXg" TargetMode="External"/><Relationship Id="rId160" Type="http://schemas.openxmlformats.org/officeDocument/2006/relationships/hyperlink" Target="https://drive.google.com/open?id=1tr4kuz50hZ93AbFAkokzGUBsLfgL2EWR" TargetMode="External"/><Relationship Id="rId57" Type="http://schemas.openxmlformats.org/officeDocument/2006/relationships/hyperlink" Target="https://drive.google.com/open?id=1FmQn3dxxVYPLmlnuaqk_yUkw34wMEMMi" TargetMode="External"/><Relationship Id="rId56" Type="http://schemas.openxmlformats.org/officeDocument/2006/relationships/hyperlink" Target="https://drive.google.com/open?id=1xdJ_KlE1YDOY2_m1kbNqq6qNYVwV3Cv8" TargetMode="External"/><Relationship Id="rId159" Type="http://schemas.openxmlformats.org/officeDocument/2006/relationships/hyperlink" Target="https://drive.google.com/open?id=1uxymKCZWuVbnt_0eYpDjXVhfaNV_udr1" TargetMode="External"/><Relationship Id="rId59" Type="http://schemas.openxmlformats.org/officeDocument/2006/relationships/hyperlink" Target="https://drive.google.com/open?id=118xcd_ZsvVEb-erDO_iWjzxtpqsdNaCD" TargetMode="External"/><Relationship Id="rId154" Type="http://schemas.openxmlformats.org/officeDocument/2006/relationships/hyperlink" Target="https://drive.google.com/open?id=10WlyoJeN-tqIa1DNLyhoRkEa4Bh-PWCl" TargetMode="External"/><Relationship Id="rId58" Type="http://schemas.openxmlformats.org/officeDocument/2006/relationships/hyperlink" Target="https://drive.google.com/open?id=1ZJ1J-4G4ZkdaD2mSBFJTuu93WyDYSptn" TargetMode="External"/><Relationship Id="rId153" Type="http://schemas.openxmlformats.org/officeDocument/2006/relationships/hyperlink" Target="https://drive.google.com/open?id=1OFLkayXurwkEeWP0t35_6wWW_GX-2Pr9" TargetMode="External"/><Relationship Id="rId152" Type="http://schemas.openxmlformats.org/officeDocument/2006/relationships/hyperlink" Target="https://drive.google.com/open?id=1tEhU1iV3Fvq94formPHJfnjVYUl9InYl" TargetMode="External"/><Relationship Id="rId151" Type="http://schemas.openxmlformats.org/officeDocument/2006/relationships/hyperlink" Target="https://drive.google.com/open?id=1807USoKGXvRIiUj4TMSrTvypo3V_dT0M" TargetMode="External"/><Relationship Id="rId158" Type="http://schemas.openxmlformats.org/officeDocument/2006/relationships/hyperlink" Target="https://drive.google.com/open?id=1GdPkAxcBI-7yeLyXFd_UhtNT6fo5FIhi" TargetMode="External"/><Relationship Id="rId157" Type="http://schemas.openxmlformats.org/officeDocument/2006/relationships/hyperlink" Target="https://drive.google.com/open?id=1z6kuSOvNAEPKvRhPnR3tXcD-k8hNM23p" TargetMode="External"/><Relationship Id="rId156" Type="http://schemas.openxmlformats.org/officeDocument/2006/relationships/hyperlink" Target="https://drive.google.com/open?id=1CsnQqw9bdHkIEnw_DA-bcB9GTUCKjcOU" TargetMode="External"/><Relationship Id="rId155" Type="http://schemas.openxmlformats.org/officeDocument/2006/relationships/hyperlink" Target="https://drive.google.com/open?id=1yO2tN0lmCWp0x0Z7Otg5rR9odpl0Qr9v" TargetMode="External"/><Relationship Id="rId107" Type="http://schemas.openxmlformats.org/officeDocument/2006/relationships/hyperlink" Target="https://drive.google.com/open?id=1w_NNHD85LpNwTH8FUauijl91id9SePMA" TargetMode="External"/><Relationship Id="rId106" Type="http://schemas.openxmlformats.org/officeDocument/2006/relationships/hyperlink" Target="https://drive.google.com/open?id=1MGo-NbEIG11Id8cI6g0nrEqM_6DGlDHu" TargetMode="External"/><Relationship Id="rId105" Type="http://schemas.openxmlformats.org/officeDocument/2006/relationships/hyperlink" Target="https://drive.google.com/open?id=1GShFxDEZ9XUJOXqIcFtNDHZSQKWYQWCY" TargetMode="External"/><Relationship Id="rId104" Type="http://schemas.openxmlformats.org/officeDocument/2006/relationships/hyperlink" Target="https://drive.google.com/open?id=1Fw37fGVl4wpDeiQJrluFskF_3u0ut0r9" TargetMode="External"/><Relationship Id="rId109" Type="http://schemas.openxmlformats.org/officeDocument/2006/relationships/hyperlink" Target="https://drive.google.com/open?id=1CemflK9wr72cWspjFSpWILohqbXIX2Ye" TargetMode="External"/><Relationship Id="rId108" Type="http://schemas.openxmlformats.org/officeDocument/2006/relationships/hyperlink" Target="https://drive.google.com/open?id=1_s7vVKlphuPTYcB9yrDa7KcKz7pemtQn" TargetMode="External"/><Relationship Id="rId103" Type="http://schemas.openxmlformats.org/officeDocument/2006/relationships/hyperlink" Target="https://drive.google.com/open?id=1zlX6FngYO6i-gRLzdbgZ-OAJnVdj9br_" TargetMode="External"/><Relationship Id="rId102" Type="http://schemas.openxmlformats.org/officeDocument/2006/relationships/hyperlink" Target="https://drive.google.com/open?id=1qUwUQJdNutXHB7fHtFn3znSG6VGOZlvD" TargetMode="External"/><Relationship Id="rId101" Type="http://schemas.openxmlformats.org/officeDocument/2006/relationships/hyperlink" Target="https://drive.google.com/open?id=18Dd4L2brDnT3wdkaEX6CBthmBRmE43CX" TargetMode="External"/><Relationship Id="rId100" Type="http://schemas.openxmlformats.org/officeDocument/2006/relationships/hyperlink" Target="https://drive.google.com/open?id=1yZg5WIE8wvJB8sntIKUASNU8L8Ptkb7w" TargetMode="External"/><Relationship Id="rId129" Type="http://schemas.openxmlformats.org/officeDocument/2006/relationships/hyperlink" Target="https://drive.google.com/open?id=17wwV4gIeWOAAG4tQySHBjvjY9oeQi7i1" TargetMode="External"/><Relationship Id="rId128" Type="http://schemas.openxmlformats.org/officeDocument/2006/relationships/hyperlink" Target="https://drive.google.com/open?id=1t0IKV6ihm1x0Hsd0JWHWG5VUeR42xEQz" TargetMode="External"/><Relationship Id="rId127" Type="http://schemas.openxmlformats.org/officeDocument/2006/relationships/hyperlink" Target="https://drive.google.com/open?id=1j-rSShk_uRelljMNWpKuP30Is4Ffe6XC" TargetMode="External"/><Relationship Id="rId126" Type="http://schemas.openxmlformats.org/officeDocument/2006/relationships/hyperlink" Target="https://drive.google.com/open?id=1B9peOntBX069Jmsx2pGM3GH8yr4Pq-yf" TargetMode="External"/><Relationship Id="rId121" Type="http://schemas.openxmlformats.org/officeDocument/2006/relationships/hyperlink" Target="https://drive.google.com/open?id=13ncUoHG2XsWEwyPgbo3EitumxbQ2fTJo" TargetMode="External"/><Relationship Id="rId120" Type="http://schemas.openxmlformats.org/officeDocument/2006/relationships/hyperlink" Target="https://drive.google.com/open?id=1CIChB_gopHR5yMMcPnrFXmoMdBDmpa_b" TargetMode="External"/><Relationship Id="rId125" Type="http://schemas.openxmlformats.org/officeDocument/2006/relationships/hyperlink" Target="https://drive.google.com/open?id=1OzEN7Znak0vAB5foEKBWp8q_sjoIwOlO" TargetMode="External"/><Relationship Id="rId124" Type="http://schemas.openxmlformats.org/officeDocument/2006/relationships/hyperlink" Target="https://drive.google.com/open?id=1MhxzREty1HNCoslqL-Uxokpl4e0rlBi2" TargetMode="External"/><Relationship Id="rId123" Type="http://schemas.openxmlformats.org/officeDocument/2006/relationships/hyperlink" Target="https://drive.google.com/open?id=1_m2_hRL4RKTq4_bBL14HnePvLziOxcoe" TargetMode="External"/><Relationship Id="rId122" Type="http://schemas.openxmlformats.org/officeDocument/2006/relationships/hyperlink" Target="https://drive.google.com/open?id=1ukYknT-eG_6oKnTl4B11eLmEQNjtJQ49" TargetMode="External"/><Relationship Id="rId95" Type="http://schemas.openxmlformats.org/officeDocument/2006/relationships/hyperlink" Target="https://drive.google.com/open?id=1VRKaJLKEhBm9EthcsBBtAJ_5lCE6Auhk" TargetMode="External"/><Relationship Id="rId94" Type="http://schemas.openxmlformats.org/officeDocument/2006/relationships/hyperlink" Target="https://drive.google.com/open?id=1BPXNr9voEOqOzOd178xgERdtJFdVbJty" TargetMode="External"/><Relationship Id="rId97" Type="http://schemas.openxmlformats.org/officeDocument/2006/relationships/hyperlink" Target="https://drive.google.com/open?id=1VIPn3wErbIhQBX70PwqTg63wgEsK8KFe" TargetMode="External"/><Relationship Id="rId96" Type="http://schemas.openxmlformats.org/officeDocument/2006/relationships/hyperlink" Target="https://drive.google.com/open?id=1PJoTFl6bTMTUaRXey_YcgcFNb0QEPa27" TargetMode="External"/><Relationship Id="rId99" Type="http://schemas.openxmlformats.org/officeDocument/2006/relationships/hyperlink" Target="https://drive.google.com/open?id=15q7uzYCo9wuRmBNM7A6FWFLKwr_HZAO_" TargetMode="External"/><Relationship Id="rId98" Type="http://schemas.openxmlformats.org/officeDocument/2006/relationships/hyperlink" Target="https://drive.google.com/open?id=11G-gWIFu4G9T1DWpJfNCSCXKyddDAmtq" TargetMode="External"/><Relationship Id="rId91" Type="http://schemas.openxmlformats.org/officeDocument/2006/relationships/hyperlink" Target="https://drive.google.com/open?id=1MWi3n2r6DNxdIU2Fsx78dCMH_RCsnyOk" TargetMode="External"/><Relationship Id="rId90" Type="http://schemas.openxmlformats.org/officeDocument/2006/relationships/hyperlink" Target="https://drive.google.com/open?id=1uNR4PphmjbX4LN7yJvRS037kVpppU-MQ" TargetMode="External"/><Relationship Id="rId93" Type="http://schemas.openxmlformats.org/officeDocument/2006/relationships/hyperlink" Target="https://drive.google.com/open?id=1px_ezqrq6HwE7YiPoe2oglfYNbd-uURm" TargetMode="External"/><Relationship Id="rId92" Type="http://schemas.openxmlformats.org/officeDocument/2006/relationships/hyperlink" Target="https://drive.google.com/open?id=1apSyZzawCAivIA35svYOWU9zD2jitdSm" TargetMode="External"/><Relationship Id="rId118" Type="http://schemas.openxmlformats.org/officeDocument/2006/relationships/hyperlink" Target="https://drive.google.com/open?id=12F5RNzKaaod9BaM2GqfBjhUyBdK28epu" TargetMode="External"/><Relationship Id="rId117" Type="http://schemas.openxmlformats.org/officeDocument/2006/relationships/hyperlink" Target="https://drive.google.com/open?id=13WHpY7i6OzeKpRAPIWpSrCDpSfdGhV6n" TargetMode="External"/><Relationship Id="rId116" Type="http://schemas.openxmlformats.org/officeDocument/2006/relationships/hyperlink" Target="https://drive.google.com/open?id=1-AGqnM340zFg_cVWkoxLsOes_imG8kCN" TargetMode="External"/><Relationship Id="rId115" Type="http://schemas.openxmlformats.org/officeDocument/2006/relationships/hyperlink" Target="https://drive.google.com/open?id=11wvnCnGXK_JLg1vq5qXN9gt6LSKRR9Pe" TargetMode="External"/><Relationship Id="rId119" Type="http://schemas.openxmlformats.org/officeDocument/2006/relationships/hyperlink" Target="https://drive.google.com/open?id=1aP93UELF2d97ejZxdJuclB_IkumyJwpD" TargetMode="External"/><Relationship Id="rId110" Type="http://schemas.openxmlformats.org/officeDocument/2006/relationships/hyperlink" Target="https://drive.google.com/open?id=1VfQHBgNdxNt5OXzmpgKBanidzghN8-N6" TargetMode="External"/><Relationship Id="rId114" Type="http://schemas.openxmlformats.org/officeDocument/2006/relationships/hyperlink" Target="https://drive.google.com/open?id=1BalTYsce6_oOYEe1OITbMIkgqh8GqrIx" TargetMode="External"/><Relationship Id="rId113" Type="http://schemas.openxmlformats.org/officeDocument/2006/relationships/hyperlink" Target="https://drive.google.com/open?id=1EvubsFGr0VEpcgQXB6Ims2hq0gQexA7O" TargetMode="External"/><Relationship Id="rId112" Type="http://schemas.openxmlformats.org/officeDocument/2006/relationships/hyperlink" Target="https://drive.google.com/open?id=1EVRATAd0ETFAUZJ7X3Eldbd10tZ95oPH" TargetMode="External"/><Relationship Id="rId111" Type="http://schemas.openxmlformats.org/officeDocument/2006/relationships/hyperlink" Target="https://drive.google.com/open?id=18gMgFtkOaGIbFNbE85YQVSxgwQzDmrob" TargetMode="External"/><Relationship Id="rId206" Type="http://schemas.openxmlformats.org/officeDocument/2006/relationships/hyperlink" Target="https://drive.google.com/open?id=1XeOEM1OkoKyP0GPGlVv308CW3SfIOYCQ" TargetMode="External"/><Relationship Id="rId205" Type="http://schemas.openxmlformats.org/officeDocument/2006/relationships/hyperlink" Target="https://drive.google.com/open?id=12OXXe1PQg6jdQwAsN1NfsGYMTLueQbf2" TargetMode="External"/><Relationship Id="rId204" Type="http://schemas.openxmlformats.org/officeDocument/2006/relationships/hyperlink" Target="https://drive.google.com/open?id=1-ZxOGAn9U1oe_QwRBGSx8LNV5yZNB8Ve" TargetMode="External"/><Relationship Id="rId203" Type="http://schemas.openxmlformats.org/officeDocument/2006/relationships/hyperlink" Target="https://drive.google.com/open?id=1Qvvl0SmnG9F-AqJSG8mCNRG_GxexqunA" TargetMode="External"/><Relationship Id="rId208" Type="http://schemas.openxmlformats.org/officeDocument/2006/relationships/drawing" Target="../drawings/drawing3.xml"/><Relationship Id="rId207" Type="http://schemas.openxmlformats.org/officeDocument/2006/relationships/hyperlink" Target="https://drive.google.com/open?id=1ieA4iicce2wxSawLaNR-LGt5FKfpb8oc" TargetMode="External"/><Relationship Id="rId202" Type="http://schemas.openxmlformats.org/officeDocument/2006/relationships/hyperlink" Target="https://drive.google.com/open?id=1jFOReB83qGjQqMgYSPhv8YI0-kMCI2ws" TargetMode="External"/><Relationship Id="rId201" Type="http://schemas.openxmlformats.org/officeDocument/2006/relationships/hyperlink" Target="https://drive.google.com/open?id=134wqifccJQFPs7OiURnIDyUCKwh4QeQe" TargetMode="External"/><Relationship Id="rId200" Type="http://schemas.openxmlformats.org/officeDocument/2006/relationships/hyperlink" Target="https://drive.google.com/open?id=1SlRIp7Dzt6b8gWMOWpGV70y5GB34n9t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38</v>
      </c>
      <c r="CF1" s="1" t="s">
        <v>82</v>
      </c>
      <c r="CG1" s="1" t="s">
        <v>83</v>
      </c>
      <c r="CH1" s="1" t="s">
        <v>46</v>
      </c>
      <c r="CI1" s="1" t="s">
        <v>38</v>
      </c>
      <c r="CJ1" s="1" t="s">
        <v>84</v>
      </c>
      <c r="CK1" s="1" t="s">
        <v>85</v>
      </c>
      <c r="CL1" s="1" t="s">
        <v>35</v>
      </c>
      <c r="CM1" s="1" t="s">
        <v>86</v>
      </c>
      <c r="CN1" s="1" t="s">
        <v>87</v>
      </c>
      <c r="CO1" s="1" t="s">
        <v>88</v>
      </c>
      <c r="CP1" s="1" t="s">
        <v>89</v>
      </c>
      <c r="CQ1" s="1" t="s">
        <v>90</v>
      </c>
      <c r="CR1" s="1" t="s">
        <v>91</v>
      </c>
      <c r="CS1" s="1" t="s">
        <v>92</v>
      </c>
      <c r="CT1" s="1" t="s">
        <v>93</v>
      </c>
      <c r="CU1" s="1" t="s">
        <v>57</v>
      </c>
      <c r="CV1" s="1" t="s">
        <v>94</v>
      </c>
      <c r="CW1" s="1" t="s">
        <v>58</v>
      </c>
      <c r="CX1" s="1" t="s">
        <v>58</v>
      </c>
      <c r="CY1" s="1" t="s">
        <v>95</v>
      </c>
      <c r="CZ1" s="1" t="s">
        <v>96</v>
      </c>
      <c r="DA1" s="1" t="s">
        <v>97</v>
      </c>
      <c r="DB1" s="1"/>
      <c r="DC1" s="1"/>
      <c r="DD1" s="1"/>
      <c r="DE1" s="1"/>
      <c r="DF1" s="1"/>
      <c r="DG1" s="1"/>
      <c r="DH1" s="1"/>
      <c r="DI1" s="1"/>
      <c r="DJ1" s="1"/>
      <c r="DK1" s="1"/>
      <c r="DL1" s="1"/>
      <c r="DM1" s="1"/>
      <c r="DN1" s="1"/>
      <c r="DO1" s="1"/>
      <c r="DP1" s="1"/>
      <c r="DQ1" s="1"/>
      <c r="DR1" s="1"/>
      <c r="DS1" s="1"/>
      <c r="DT1" s="1"/>
      <c r="DU1" s="1"/>
      <c r="DV1" s="1"/>
      <c r="DW1" s="1"/>
      <c r="DX1" s="1"/>
      <c r="DY1" s="1"/>
      <c r="DZ1" s="1"/>
      <c r="EA1" s="1"/>
    </row>
    <row r="2">
      <c r="A2" t="s">
        <v>98</v>
      </c>
      <c r="B2" t="s">
        <v>99</v>
      </c>
      <c r="D2" t="s">
        <v>100</v>
      </c>
      <c r="E2" t="s">
        <v>101</v>
      </c>
      <c r="F2" s="2">
        <v>38456.0</v>
      </c>
      <c r="G2" t="s">
        <v>102</v>
      </c>
      <c r="I2" s="3" t="s">
        <v>103</v>
      </c>
      <c r="K2" t="b">
        <v>0</v>
      </c>
      <c r="M2" t="s">
        <v>104</v>
      </c>
      <c r="N2" t="s">
        <v>105</v>
      </c>
      <c r="O2" s="4" t="s">
        <v>106</v>
      </c>
      <c r="P2" t="s">
        <v>107</v>
      </c>
      <c r="Q2" t="s">
        <v>108</v>
      </c>
      <c r="R2" t="s">
        <v>109</v>
      </c>
      <c r="S2" t="s">
        <v>110</v>
      </c>
      <c r="T2" s="4" t="s">
        <v>111</v>
      </c>
      <c r="V2" t="s">
        <v>112</v>
      </c>
      <c r="W2" t="s">
        <v>113</v>
      </c>
      <c r="Y2" t="s">
        <v>114</v>
      </c>
      <c r="AA2" t="s">
        <v>115</v>
      </c>
      <c r="AB2" t="s">
        <v>116</v>
      </c>
      <c r="AC2" s="3" t="s">
        <v>117</v>
      </c>
      <c r="AD2" t="s">
        <v>118</v>
      </c>
      <c r="AE2" t="s">
        <v>119</v>
      </c>
      <c r="AH2" t="s">
        <v>120</v>
      </c>
      <c r="AI2" t="s">
        <v>121</v>
      </c>
      <c r="AK2" t="s">
        <v>122</v>
      </c>
      <c r="AL2" t="s">
        <v>123</v>
      </c>
      <c r="AM2" t="s">
        <v>124</v>
      </c>
      <c r="AO2" t="s">
        <v>125</v>
      </c>
      <c r="AP2">
        <v>5.0</v>
      </c>
      <c r="AQ2" t="s">
        <v>126</v>
      </c>
      <c r="AR2" t="s">
        <v>127</v>
      </c>
      <c r="AS2" t="b">
        <v>1</v>
      </c>
      <c r="AT2" t="b">
        <v>0</v>
      </c>
      <c r="AU2" t="s">
        <v>128</v>
      </c>
      <c r="AV2">
        <v>7.0</v>
      </c>
      <c r="AW2" t="b">
        <v>0</v>
      </c>
      <c r="AZ2" t="b">
        <v>0</v>
      </c>
      <c r="BA2" t="b">
        <v>0</v>
      </c>
      <c r="BD2" t="s">
        <v>129</v>
      </c>
      <c r="BE2" s="4" t="s">
        <v>130</v>
      </c>
      <c r="BF2" s="4" t="s">
        <v>130</v>
      </c>
      <c r="BG2" s="4" t="s">
        <v>131</v>
      </c>
      <c r="BH2" t="s">
        <v>132</v>
      </c>
      <c r="BI2">
        <v>2.0</v>
      </c>
      <c r="BJ2" t="s">
        <v>133</v>
      </c>
      <c r="BK2">
        <v>2.0</v>
      </c>
      <c r="BL2">
        <v>7.0</v>
      </c>
      <c r="BM2" t="s">
        <v>134</v>
      </c>
      <c r="BN2">
        <v>7.0</v>
      </c>
      <c r="BO2">
        <v>5.0</v>
      </c>
      <c r="BP2" t="s">
        <v>135</v>
      </c>
      <c r="BQ2" t="s">
        <v>136</v>
      </c>
      <c r="BR2" t="s">
        <v>137</v>
      </c>
      <c r="BT2" t="s">
        <v>138</v>
      </c>
      <c r="BU2" t="s">
        <v>139</v>
      </c>
      <c r="BY2" t="s">
        <v>140</v>
      </c>
      <c r="CA2" t="s">
        <v>141</v>
      </c>
      <c r="CD2">
        <v>0.0</v>
      </c>
      <c r="CZ2" s="5">
        <v>44113.70318287037</v>
      </c>
      <c r="DA2" t="s">
        <v>142</v>
      </c>
    </row>
    <row r="3">
      <c r="A3" t="s">
        <v>98</v>
      </c>
      <c r="B3" t="s">
        <v>99</v>
      </c>
      <c r="D3" t="s">
        <v>143</v>
      </c>
      <c r="E3" t="s">
        <v>144</v>
      </c>
      <c r="F3" s="2">
        <v>36153.0</v>
      </c>
      <c r="G3" t="s">
        <v>102</v>
      </c>
      <c r="I3" s="3" t="s">
        <v>145</v>
      </c>
      <c r="J3" t="s">
        <v>146</v>
      </c>
      <c r="K3" t="b">
        <v>1</v>
      </c>
      <c r="L3" s="4" t="s">
        <v>147</v>
      </c>
      <c r="M3" t="s">
        <v>148</v>
      </c>
      <c r="N3" t="s">
        <v>149</v>
      </c>
      <c r="O3" t="s">
        <v>150</v>
      </c>
      <c r="P3" t="s">
        <v>151</v>
      </c>
      <c r="Q3" t="s">
        <v>152</v>
      </c>
      <c r="R3" t="s">
        <v>153</v>
      </c>
      <c r="S3" t="s">
        <v>154</v>
      </c>
      <c r="T3" s="4" t="s">
        <v>155</v>
      </c>
      <c r="U3" t="s">
        <v>156</v>
      </c>
      <c r="V3" t="s">
        <v>157</v>
      </c>
      <c r="W3" t="s">
        <v>113</v>
      </c>
      <c r="Y3" t="s">
        <v>158</v>
      </c>
      <c r="Z3" t="s">
        <v>159</v>
      </c>
      <c r="AC3" s="3" t="s">
        <v>160</v>
      </c>
      <c r="AD3" t="s">
        <v>118</v>
      </c>
      <c r="AE3" t="s">
        <v>119</v>
      </c>
      <c r="AF3" t="s">
        <v>161</v>
      </c>
      <c r="AG3">
        <v>17.0</v>
      </c>
      <c r="AI3" t="s">
        <v>162</v>
      </c>
      <c r="AJ3" t="s">
        <v>163</v>
      </c>
      <c r="AK3" t="s">
        <v>164</v>
      </c>
      <c r="AL3" t="s">
        <v>165</v>
      </c>
      <c r="AM3" t="s">
        <v>124</v>
      </c>
      <c r="AO3" t="s">
        <v>125</v>
      </c>
      <c r="AP3">
        <v>4.0</v>
      </c>
      <c r="AQ3" t="s">
        <v>166</v>
      </c>
      <c r="AR3" t="s">
        <v>167</v>
      </c>
      <c r="AS3" t="b">
        <v>1</v>
      </c>
      <c r="AT3" t="b">
        <v>1</v>
      </c>
      <c r="AU3" t="s">
        <v>168</v>
      </c>
      <c r="AV3">
        <v>5.0</v>
      </c>
      <c r="AW3" t="b">
        <v>1</v>
      </c>
      <c r="AX3" s="4" t="s">
        <v>169</v>
      </c>
      <c r="AY3" s="4" t="s">
        <v>170</v>
      </c>
      <c r="AZ3" t="b">
        <v>1</v>
      </c>
      <c r="BA3" t="b">
        <v>0</v>
      </c>
      <c r="BD3" t="s">
        <v>171</v>
      </c>
      <c r="BE3" t="s">
        <v>164</v>
      </c>
      <c r="BF3" s="4" t="s">
        <v>130</v>
      </c>
      <c r="BG3" s="4" t="s">
        <v>172</v>
      </c>
      <c r="BH3" t="s">
        <v>132</v>
      </c>
      <c r="BI3">
        <v>2.0</v>
      </c>
      <c r="BJ3" t="s">
        <v>173</v>
      </c>
      <c r="BK3">
        <v>3.0</v>
      </c>
      <c r="BL3">
        <v>4.0</v>
      </c>
      <c r="BM3" t="s">
        <v>174</v>
      </c>
      <c r="BN3">
        <v>3.0</v>
      </c>
      <c r="BO3">
        <v>4.0</v>
      </c>
      <c r="BP3" t="s">
        <v>175</v>
      </c>
      <c r="BQ3" t="s">
        <v>176</v>
      </c>
      <c r="BR3" t="s">
        <v>177</v>
      </c>
      <c r="BT3" t="s">
        <v>178</v>
      </c>
      <c r="BU3" t="s">
        <v>179</v>
      </c>
      <c r="BX3" t="s">
        <v>180</v>
      </c>
      <c r="BY3" t="s">
        <v>140</v>
      </c>
      <c r="CA3" t="s">
        <v>141</v>
      </c>
      <c r="CD3">
        <v>0.0</v>
      </c>
      <c r="CZ3" s="5">
        <v>44125.76636574074</v>
      </c>
      <c r="DA3" t="s">
        <v>181</v>
      </c>
    </row>
    <row r="4">
      <c r="A4" t="s">
        <v>98</v>
      </c>
      <c r="B4" t="s">
        <v>99</v>
      </c>
      <c r="D4" t="s">
        <v>182</v>
      </c>
      <c r="E4" t="s">
        <v>183</v>
      </c>
      <c r="F4" s="2">
        <v>38399.0</v>
      </c>
      <c r="G4" t="s">
        <v>102</v>
      </c>
      <c r="I4" s="3" t="s">
        <v>184</v>
      </c>
      <c r="J4" t="s">
        <v>185</v>
      </c>
      <c r="K4" t="b">
        <v>1</v>
      </c>
      <c r="L4" s="4" t="s">
        <v>186</v>
      </c>
      <c r="M4" t="s">
        <v>187</v>
      </c>
      <c r="N4" t="s">
        <v>149</v>
      </c>
      <c r="P4" t="s">
        <v>188</v>
      </c>
      <c r="Q4" t="s">
        <v>189</v>
      </c>
      <c r="R4" t="s">
        <v>190</v>
      </c>
      <c r="S4" t="s">
        <v>187</v>
      </c>
      <c r="T4" s="4" t="s">
        <v>191</v>
      </c>
      <c r="U4" t="s">
        <v>192</v>
      </c>
      <c r="V4" t="s">
        <v>193</v>
      </c>
      <c r="W4" t="s">
        <v>194</v>
      </c>
      <c r="Y4" t="s">
        <v>158</v>
      </c>
      <c r="Z4" t="s">
        <v>195</v>
      </c>
      <c r="AC4" s="3" t="s">
        <v>196</v>
      </c>
      <c r="AD4" t="s">
        <v>118</v>
      </c>
      <c r="AE4" t="s">
        <v>119</v>
      </c>
      <c r="AF4" t="s">
        <v>197</v>
      </c>
      <c r="AG4">
        <v>9.0</v>
      </c>
      <c r="AI4" t="s">
        <v>162</v>
      </c>
      <c r="AJ4" t="s">
        <v>198</v>
      </c>
      <c r="AK4" t="s">
        <v>179</v>
      </c>
      <c r="AL4" t="s">
        <v>199</v>
      </c>
      <c r="AM4" t="s">
        <v>200</v>
      </c>
      <c r="AO4" t="s">
        <v>125</v>
      </c>
      <c r="AP4">
        <v>6.0</v>
      </c>
      <c r="AQ4" t="s">
        <v>201</v>
      </c>
      <c r="AR4" t="s">
        <v>202</v>
      </c>
      <c r="AS4" t="b">
        <v>0</v>
      </c>
      <c r="AU4" t="s">
        <v>128</v>
      </c>
      <c r="AV4">
        <v>4.0</v>
      </c>
      <c r="AW4" t="b">
        <v>0</v>
      </c>
      <c r="AZ4" t="b">
        <v>0</v>
      </c>
      <c r="BA4" t="b">
        <v>0</v>
      </c>
      <c r="BD4" t="s">
        <v>203</v>
      </c>
      <c r="BE4" t="s">
        <v>204</v>
      </c>
      <c r="BF4" t="s">
        <v>164</v>
      </c>
      <c r="BG4" t="s">
        <v>205</v>
      </c>
      <c r="BH4" t="s">
        <v>132</v>
      </c>
      <c r="BI4">
        <v>4.0</v>
      </c>
      <c r="BJ4" t="s">
        <v>206</v>
      </c>
      <c r="BK4">
        <v>7.0</v>
      </c>
      <c r="BL4">
        <v>5.0</v>
      </c>
      <c r="BM4" t="s">
        <v>207</v>
      </c>
      <c r="BN4">
        <v>5.0</v>
      </c>
      <c r="BO4">
        <v>7.0</v>
      </c>
      <c r="BP4" t="s">
        <v>208</v>
      </c>
      <c r="BQ4" t="s">
        <v>209</v>
      </c>
      <c r="BR4" t="s">
        <v>210</v>
      </c>
      <c r="BT4" t="s">
        <v>211</v>
      </c>
      <c r="BU4" t="s">
        <v>212</v>
      </c>
      <c r="BX4" t="s">
        <v>180</v>
      </c>
      <c r="BY4" t="s">
        <v>140</v>
      </c>
      <c r="CA4" t="s">
        <v>141</v>
      </c>
      <c r="CD4">
        <v>0.0</v>
      </c>
      <c r="CZ4" s="5">
        <v>44126.06309027778</v>
      </c>
      <c r="DA4" t="s">
        <v>213</v>
      </c>
    </row>
    <row r="5">
      <c r="A5" t="s">
        <v>98</v>
      </c>
      <c r="B5" t="s">
        <v>99</v>
      </c>
      <c r="D5" t="s">
        <v>182</v>
      </c>
      <c r="E5" t="s">
        <v>183</v>
      </c>
      <c r="F5" s="2">
        <v>38399.0</v>
      </c>
      <c r="G5" t="s">
        <v>102</v>
      </c>
      <c r="I5" s="3" t="s">
        <v>214</v>
      </c>
      <c r="J5" t="s">
        <v>185</v>
      </c>
      <c r="K5" t="b">
        <v>1</v>
      </c>
      <c r="L5" s="4" t="s">
        <v>186</v>
      </c>
      <c r="M5" t="s">
        <v>215</v>
      </c>
      <c r="N5" t="s">
        <v>149</v>
      </c>
      <c r="P5" t="s">
        <v>216</v>
      </c>
      <c r="Q5" t="s">
        <v>189</v>
      </c>
      <c r="R5" t="s">
        <v>190</v>
      </c>
      <c r="S5" t="s">
        <v>215</v>
      </c>
      <c r="T5" s="4" t="s">
        <v>191</v>
      </c>
      <c r="U5" t="s">
        <v>217</v>
      </c>
      <c r="V5" t="s">
        <v>218</v>
      </c>
      <c r="W5" t="s">
        <v>194</v>
      </c>
      <c r="Y5" t="s">
        <v>158</v>
      </c>
      <c r="Z5" t="s">
        <v>195</v>
      </c>
      <c r="AC5" s="3" t="s">
        <v>219</v>
      </c>
      <c r="AD5" t="s">
        <v>118</v>
      </c>
      <c r="AE5" t="s">
        <v>119</v>
      </c>
      <c r="AF5" t="s">
        <v>197</v>
      </c>
      <c r="AG5">
        <v>9.0</v>
      </c>
      <c r="AI5" t="s">
        <v>162</v>
      </c>
      <c r="AJ5" t="s">
        <v>198</v>
      </c>
      <c r="AK5" t="s">
        <v>179</v>
      </c>
      <c r="AL5" t="s">
        <v>199</v>
      </c>
      <c r="AM5" t="s">
        <v>200</v>
      </c>
      <c r="AO5" t="s">
        <v>125</v>
      </c>
      <c r="AP5">
        <v>5.0</v>
      </c>
      <c r="AQ5" t="s">
        <v>201</v>
      </c>
      <c r="AR5" t="s">
        <v>202</v>
      </c>
      <c r="AS5" t="b">
        <v>0</v>
      </c>
      <c r="AU5" t="s">
        <v>128</v>
      </c>
      <c r="AV5">
        <v>4.0</v>
      </c>
      <c r="AW5" t="b">
        <v>0</v>
      </c>
      <c r="AZ5" t="b">
        <v>0</v>
      </c>
      <c r="BA5" t="b">
        <v>0</v>
      </c>
      <c r="BD5" t="s">
        <v>203</v>
      </c>
      <c r="BE5" t="s">
        <v>205</v>
      </c>
      <c r="BF5" t="s">
        <v>164</v>
      </c>
      <c r="BG5" t="s">
        <v>220</v>
      </c>
      <c r="BH5" t="s">
        <v>132</v>
      </c>
      <c r="BI5">
        <v>2.0</v>
      </c>
      <c r="BJ5" t="s">
        <v>221</v>
      </c>
      <c r="BK5">
        <v>6.0</v>
      </c>
      <c r="BL5">
        <v>6.0</v>
      </c>
      <c r="BM5" t="s">
        <v>222</v>
      </c>
      <c r="BN5">
        <v>4.0</v>
      </c>
      <c r="BO5">
        <v>7.0</v>
      </c>
      <c r="BP5" t="s">
        <v>223</v>
      </c>
      <c r="BQ5" t="s">
        <v>224</v>
      </c>
      <c r="BR5" t="s">
        <v>225</v>
      </c>
      <c r="BT5" t="s">
        <v>226</v>
      </c>
      <c r="BU5" t="s">
        <v>227</v>
      </c>
      <c r="BX5" t="s">
        <v>180</v>
      </c>
      <c r="BY5" t="s">
        <v>140</v>
      </c>
      <c r="CA5" t="s">
        <v>141</v>
      </c>
      <c r="CD5">
        <v>0.0</v>
      </c>
      <c r="CZ5" s="5">
        <v>44126.07776620371</v>
      </c>
      <c r="DA5" t="s">
        <v>228</v>
      </c>
    </row>
    <row r="6">
      <c r="A6" t="s">
        <v>98</v>
      </c>
      <c r="B6" t="s">
        <v>99</v>
      </c>
      <c r="D6" t="s">
        <v>229</v>
      </c>
      <c r="E6" t="s">
        <v>230</v>
      </c>
      <c r="F6" s="2">
        <v>35746.0</v>
      </c>
      <c r="G6" t="s">
        <v>102</v>
      </c>
      <c r="I6" s="3" t="s">
        <v>231</v>
      </c>
      <c r="J6" t="s">
        <v>232</v>
      </c>
      <c r="K6" t="b">
        <v>1</v>
      </c>
      <c r="L6" s="4" t="s">
        <v>233</v>
      </c>
      <c r="M6" t="s">
        <v>234</v>
      </c>
      <c r="N6" t="s">
        <v>149</v>
      </c>
      <c r="O6" t="s">
        <v>235</v>
      </c>
      <c r="P6" t="s">
        <v>236</v>
      </c>
      <c r="Q6" t="s">
        <v>152</v>
      </c>
      <c r="R6" t="s">
        <v>237</v>
      </c>
      <c r="S6" t="s">
        <v>234</v>
      </c>
      <c r="T6" s="4" t="s">
        <v>238</v>
      </c>
      <c r="U6" t="s">
        <v>239</v>
      </c>
      <c r="V6" t="s">
        <v>240</v>
      </c>
      <c r="W6" t="s">
        <v>113</v>
      </c>
      <c r="Y6" t="s">
        <v>158</v>
      </c>
      <c r="Z6" t="s">
        <v>159</v>
      </c>
      <c r="AC6" s="3" t="s">
        <v>241</v>
      </c>
      <c r="AD6" t="s">
        <v>118</v>
      </c>
      <c r="AE6" t="s">
        <v>119</v>
      </c>
      <c r="AF6" t="s">
        <v>161</v>
      </c>
      <c r="AG6">
        <v>18.0</v>
      </c>
      <c r="AI6" t="s">
        <v>162</v>
      </c>
      <c r="AJ6" t="s">
        <v>163</v>
      </c>
      <c r="AK6" t="s">
        <v>139</v>
      </c>
      <c r="AL6" t="s">
        <v>165</v>
      </c>
      <c r="AM6" t="s">
        <v>124</v>
      </c>
      <c r="AO6" t="s">
        <v>125</v>
      </c>
      <c r="AP6">
        <v>4.0</v>
      </c>
      <c r="AQ6" t="s">
        <v>166</v>
      </c>
      <c r="AR6" t="s">
        <v>242</v>
      </c>
      <c r="AS6" t="b">
        <v>1</v>
      </c>
      <c r="AT6" t="b">
        <v>1</v>
      </c>
      <c r="AU6" t="s">
        <v>168</v>
      </c>
      <c r="AV6">
        <v>5.0</v>
      </c>
      <c r="AW6" t="b">
        <v>1</v>
      </c>
      <c r="AX6" s="4" t="s">
        <v>169</v>
      </c>
      <c r="AY6" s="4" t="s">
        <v>170</v>
      </c>
      <c r="AZ6" t="b">
        <v>1</v>
      </c>
      <c r="BA6" t="b">
        <v>0</v>
      </c>
      <c r="BD6" t="s">
        <v>243</v>
      </c>
      <c r="BE6" s="4" t="s">
        <v>130</v>
      </c>
      <c r="BF6" s="4" t="s">
        <v>130</v>
      </c>
      <c r="BG6" s="4" t="s">
        <v>172</v>
      </c>
      <c r="BH6" t="s">
        <v>132</v>
      </c>
      <c r="BI6">
        <v>2.0</v>
      </c>
      <c r="BJ6" t="s">
        <v>244</v>
      </c>
      <c r="BK6">
        <v>3.0</v>
      </c>
      <c r="BL6">
        <v>4.0</v>
      </c>
      <c r="BM6" t="s">
        <v>245</v>
      </c>
      <c r="BN6">
        <v>3.0</v>
      </c>
      <c r="BO6">
        <v>4.0</v>
      </c>
      <c r="BP6" t="s">
        <v>246</v>
      </c>
      <c r="BQ6" t="s">
        <v>176</v>
      </c>
      <c r="BR6" t="s">
        <v>247</v>
      </c>
      <c r="BT6" t="s">
        <v>178</v>
      </c>
      <c r="BU6" t="s">
        <v>139</v>
      </c>
      <c r="BX6" t="s">
        <v>180</v>
      </c>
      <c r="BY6" t="s">
        <v>140</v>
      </c>
      <c r="CA6" t="s">
        <v>141</v>
      </c>
      <c r="CD6">
        <v>0.0</v>
      </c>
      <c r="CZ6" s="5">
        <v>44126.73060185185</v>
      </c>
      <c r="DA6" t="s">
        <v>248</v>
      </c>
    </row>
    <row r="7">
      <c r="A7" t="s">
        <v>98</v>
      </c>
      <c r="B7" t="s">
        <v>99</v>
      </c>
      <c r="D7" t="s">
        <v>249</v>
      </c>
      <c r="E7" t="s">
        <v>250</v>
      </c>
      <c r="F7" s="2">
        <v>36764.0</v>
      </c>
      <c r="G7" t="s">
        <v>102</v>
      </c>
      <c r="I7" s="3" t="s">
        <v>251</v>
      </c>
      <c r="J7" t="s">
        <v>252</v>
      </c>
      <c r="K7" t="b">
        <v>1</v>
      </c>
      <c r="L7" s="4" t="s">
        <v>253</v>
      </c>
      <c r="M7" t="s">
        <v>254</v>
      </c>
      <c r="N7" t="s">
        <v>255</v>
      </c>
      <c r="O7" t="s">
        <v>256</v>
      </c>
      <c r="P7" t="s">
        <v>257</v>
      </c>
      <c r="Q7" t="s">
        <v>152</v>
      </c>
      <c r="R7" t="s">
        <v>252</v>
      </c>
      <c r="S7" t="s">
        <v>258</v>
      </c>
      <c r="T7" s="4" t="s">
        <v>259</v>
      </c>
      <c r="U7" t="s">
        <v>260</v>
      </c>
      <c r="V7" t="s">
        <v>258</v>
      </c>
      <c r="W7" t="s">
        <v>261</v>
      </c>
      <c r="Y7" t="s">
        <v>158</v>
      </c>
      <c r="Z7" t="s">
        <v>262</v>
      </c>
      <c r="AC7" s="3" t="s">
        <v>263</v>
      </c>
      <c r="AD7" t="s">
        <v>118</v>
      </c>
      <c r="AE7" t="s">
        <v>119</v>
      </c>
      <c r="AF7" t="s">
        <v>264</v>
      </c>
      <c r="AG7">
        <v>17.0</v>
      </c>
      <c r="AI7" t="s">
        <v>162</v>
      </c>
      <c r="AJ7" t="s">
        <v>265</v>
      </c>
      <c r="AK7" t="s">
        <v>266</v>
      </c>
      <c r="AL7" t="s">
        <v>267</v>
      </c>
      <c r="AM7" t="s">
        <v>124</v>
      </c>
      <c r="AO7" t="s">
        <v>125</v>
      </c>
      <c r="AP7">
        <v>7.0</v>
      </c>
      <c r="AQ7" t="s">
        <v>268</v>
      </c>
      <c r="AR7" t="s">
        <v>269</v>
      </c>
      <c r="AS7" t="b">
        <v>1</v>
      </c>
      <c r="AT7" t="b">
        <v>1</v>
      </c>
      <c r="AU7" t="s">
        <v>168</v>
      </c>
      <c r="AV7">
        <v>6.0</v>
      </c>
      <c r="AW7" t="b">
        <v>1</v>
      </c>
      <c r="AX7" s="4" t="s">
        <v>270</v>
      </c>
      <c r="AY7" s="4" t="s">
        <v>170</v>
      </c>
      <c r="AZ7" t="b">
        <v>0</v>
      </c>
      <c r="BA7" t="b">
        <v>1</v>
      </c>
      <c r="BB7" t="b">
        <v>0</v>
      </c>
      <c r="BC7" t="s">
        <v>271</v>
      </c>
      <c r="BD7" t="s">
        <v>272</v>
      </c>
      <c r="BE7" s="4" t="s">
        <v>273</v>
      </c>
      <c r="BF7" t="s">
        <v>274</v>
      </c>
      <c r="BG7" s="4" t="s">
        <v>275</v>
      </c>
      <c r="BH7" t="s">
        <v>132</v>
      </c>
      <c r="BI7">
        <v>4.0</v>
      </c>
      <c r="BJ7" t="s">
        <v>276</v>
      </c>
      <c r="BK7">
        <v>6.0</v>
      </c>
      <c r="BL7">
        <v>7.0</v>
      </c>
      <c r="BM7" t="s">
        <v>277</v>
      </c>
      <c r="BN7">
        <v>6.0</v>
      </c>
      <c r="BO7">
        <v>5.0</v>
      </c>
      <c r="BP7" t="s">
        <v>258</v>
      </c>
      <c r="BQ7" t="s">
        <v>278</v>
      </c>
      <c r="BR7" t="s">
        <v>279</v>
      </c>
      <c r="BT7" t="s">
        <v>280</v>
      </c>
      <c r="BU7" t="s">
        <v>281</v>
      </c>
      <c r="BX7" t="s">
        <v>180</v>
      </c>
      <c r="BY7" t="s">
        <v>140</v>
      </c>
      <c r="CA7" t="s">
        <v>141</v>
      </c>
      <c r="CD7">
        <v>0.0</v>
      </c>
      <c r="CZ7" s="5">
        <v>44126.884201388886</v>
      </c>
      <c r="DA7" t="s">
        <v>282</v>
      </c>
    </row>
    <row r="8">
      <c r="A8" t="s">
        <v>98</v>
      </c>
      <c r="B8" t="s">
        <v>99</v>
      </c>
      <c r="D8" t="s">
        <v>283</v>
      </c>
      <c r="E8" t="s">
        <v>284</v>
      </c>
      <c r="F8" s="2">
        <v>37657.0</v>
      </c>
      <c r="G8" t="s">
        <v>285</v>
      </c>
      <c r="I8" s="3" t="s">
        <v>286</v>
      </c>
      <c r="J8" t="s">
        <v>287</v>
      </c>
      <c r="K8" t="b">
        <v>1</v>
      </c>
      <c r="L8" s="4" t="s">
        <v>288</v>
      </c>
      <c r="M8" t="s">
        <v>289</v>
      </c>
      <c r="N8" t="s">
        <v>149</v>
      </c>
      <c r="O8" t="s">
        <v>290</v>
      </c>
      <c r="P8" t="s">
        <v>291</v>
      </c>
      <c r="Q8" t="s">
        <v>292</v>
      </c>
      <c r="R8" t="s">
        <v>287</v>
      </c>
      <c r="S8" t="s">
        <v>293</v>
      </c>
      <c r="T8" s="4" t="s">
        <v>294</v>
      </c>
      <c r="U8" t="s">
        <v>295</v>
      </c>
      <c r="V8" t="s">
        <v>296</v>
      </c>
      <c r="W8" t="s">
        <v>261</v>
      </c>
      <c r="Y8" t="s">
        <v>158</v>
      </c>
      <c r="Z8" t="s">
        <v>262</v>
      </c>
      <c r="AC8" s="3" t="s">
        <v>297</v>
      </c>
      <c r="AD8" t="s">
        <v>118</v>
      </c>
      <c r="AE8" t="s">
        <v>298</v>
      </c>
      <c r="AH8" t="s">
        <v>299</v>
      </c>
      <c r="AI8" t="s">
        <v>121</v>
      </c>
      <c r="AJ8" t="s">
        <v>300</v>
      </c>
      <c r="AK8" t="s">
        <v>301</v>
      </c>
      <c r="AL8" t="s">
        <v>302</v>
      </c>
      <c r="AM8" t="s">
        <v>124</v>
      </c>
      <c r="AO8" t="s">
        <v>125</v>
      </c>
      <c r="AP8">
        <v>6.0</v>
      </c>
      <c r="AQ8" t="s">
        <v>303</v>
      </c>
      <c r="AR8" t="s">
        <v>304</v>
      </c>
      <c r="AS8" t="b">
        <v>1</v>
      </c>
      <c r="AT8" t="b">
        <v>1</v>
      </c>
      <c r="AU8" t="s">
        <v>305</v>
      </c>
      <c r="AV8">
        <v>6.0</v>
      </c>
      <c r="AW8" t="b">
        <v>1</v>
      </c>
      <c r="AX8" s="4" t="s">
        <v>306</v>
      </c>
      <c r="AY8" t="s">
        <v>307</v>
      </c>
      <c r="AZ8" t="b">
        <v>1</v>
      </c>
      <c r="BA8" t="b">
        <v>0</v>
      </c>
      <c r="BD8" t="s">
        <v>308</v>
      </c>
      <c r="BE8" t="s">
        <v>309</v>
      </c>
      <c r="BF8" t="s">
        <v>309</v>
      </c>
      <c r="BG8" t="s">
        <v>310</v>
      </c>
      <c r="BH8" t="s">
        <v>132</v>
      </c>
      <c r="BI8">
        <v>7.0</v>
      </c>
      <c r="BJ8" t="s">
        <v>311</v>
      </c>
      <c r="BK8">
        <v>4.0</v>
      </c>
      <c r="BL8">
        <v>6.0</v>
      </c>
      <c r="BM8" t="s">
        <v>312</v>
      </c>
      <c r="BN8">
        <v>4.0</v>
      </c>
      <c r="BO8">
        <v>5.0</v>
      </c>
      <c r="BP8" t="s">
        <v>313</v>
      </c>
      <c r="BQ8" t="s">
        <v>314</v>
      </c>
      <c r="BR8" t="s">
        <v>315</v>
      </c>
      <c r="BT8" t="s">
        <v>316</v>
      </c>
      <c r="BU8" t="s">
        <v>317</v>
      </c>
      <c r="BX8" t="s">
        <v>180</v>
      </c>
      <c r="BY8" t="s">
        <v>140</v>
      </c>
      <c r="CA8" t="s">
        <v>141</v>
      </c>
      <c r="CD8">
        <v>0.0</v>
      </c>
      <c r="CZ8" s="5">
        <v>44126.934328703705</v>
      </c>
      <c r="DA8" t="s">
        <v>318</v>
      </c>
    </row>
    <row r="9">
      <c r="A9" t="s">
        <v>98</v>
      </c>
      <c r="B9" t="s">
        <v>99</v>
      </c>
      <c r="D9" t="s">
        <v>319</v>
      </c>
      <c r="E9" t="s">
        <v>250</v>
      </c>
      <c r="F9" s="2">
        <v>36764.0</v>
      </c>
      <c r="G9" t="s">
        <v>285</v>
      </c>
      <c r="I9" s="3" t="s">
        <v>320</v>
      </c>
      <c r="J9" t="s">
        <v>321</v>
      </c>
      <c r="K9" t="b">
        <v>1</v>
      </c>
      <c r="L9" s="4" t="s">
        <v>322</v>
      </c>
      <c r="M9" t="s">
        <v>323</v>
      </c>
      <c r="N9" t="s">
        <v>255</v>
      </c>
      <c r="O9" t="s">
        <v>324</v>
      </c>
      <c r="P9" t="s">
        <v>325</v>
      </c>
      <c r="Q9" t="s">
        <v>189</v>
      </c>
      <c r="R9" t="s">
        <v>326</v>
      </c>
      <c r="S9" t="s">
        <v>327</v>
      </c>
      <c r="T9" s="4" t="s">
        <v>328</v>
      </c>
      <c r="U9" t="s">
        <v>329</v>
      </c>
      <c r="V9" t="s">
        <v>330</v>
      </c>
      <c r="W9" t="s">
        <v>261</v>
      </c>
      <c r="Y9" t="s">
        <v>158</v>
      </c>
      <c r="Z9" t="s">
        <v>262</v>
      </c>
      <c r="AC9" s="3" t="s">
        <v>331</v>
      </c>
      <c r="AD9" t="s">
        <v>118</v>
      </c>
      <c r="AE9" t="s">
        <v>119</v>
      </c>
      <c r="AF9" t="s">
        <v>332</v>
      </c>
      <c r="AG9">
        <v>18.0</v>
      </c>
      <c r="AI9" t="s">
        <v>162</v>
      </c>
      <c r="AJ9" t="s">
        <v>300</v>
      </c>
      <c r="AK9" t="s">
        <v>333</v>
      </c>
      <c r="AL9" t="s">
        <v>334</v>
      </c>
      <c r="AM9" t="s">
        <v>124</v>
      </c>
      <c r="AO9" t="s">
        <v>335</v>
      </c>
      <c r="AP9">
        <v>7.0</v>
      </c>
      <c r="AQ9" t="s">
        <v>166</v>
      </c>
      <c r="AR9" t="s">
        <v>336</v>
      </c>
      <c r="AS9" t="b">
        <v>1</v>
      </c>
      <c r="AT9" t="b">
        <v>1</v>
      </c>
      <c r="AU9" t="s">
        <v>337</v>
      </c>
      <c r="AV9">
        <v>7.0</v>
      </c>
      <c r="AW9" t="b">
        <v>0</v>
      </c>
      <c r="AZ9" t="b">
        <v>0</v>
      </c>
      <c r="BA9" t="b">
        <v>1</v>
      </c>
      <c r="BB9" t="b">
        <v>0</v>
      </c>
      <c r="BC9" t="s">
        <v>338</v>
      </c>
      <c r="BD9" t="s">
        <v>336</v>
      </c>
      <c r="BE9" s="4" t="s">
        <v>273</v>
      </c>
      <c r="BF9" s="4" t="s">
        <v>339</v>
      </c>
      <c r="BG9" s="4" t="s">
        <v>340</v>
      </c>
      <c r="BH9" t="s">
        <v>132</v>
      </c>
      <c r="BI9">
        <v>4.0</v>
      </c>
      <c r="BJ9" t="s">
        <v>341</v>
      </c>
      <c r="BK9">
        <v>6.0</v>
      </c>
      <c r="BL9">
        <v>7.0</v>
      </c>
      <c r="BM9" t="s">
        <v>342</v>
      </c>
      <c r="BN9">
        <v>6.0</v>
      </c>
      <c r="BO9">
        <v>4.0</v>
      </c>
      <c r="BP9" t="s">
        <v>343</v>
      </c>
      <c r="BQ9" t="s">
        <v>344</v>
      </c>
      <c r="BR9" t="s">
        <v>345</v>
      </c>
      <c r="BT9" t="s">
        <v>280</v>
      </c>
      <c r="BU9" t="s">
        <v>346</v>
      </c>
      <c r="BX9" t="s">
        <v>180</v>
      </c>
      <c r="BY9" t="s">
        <v>140</v>
      </c>
      <c r="CA9" t="s">
        <v>141</v>
      </c>
      <c r="CD9">
        <v>0.0</v>
      </c>
      <c r="CZ9" s="5">
        <v>44127.69559027778</v>
      </c>
      <c r="DA9" t="s">
        <v>347</v>
      </c>
    </row>
    <row r="10">
      <c r="A10" t="s">
        <v>98</v>
      </c>
      <c r="B10" t="s">
        <v>99</v>
      </c>
      <c r="D10" t="s">
        <v>348</v>
      </c>
      <c r="E10" t="s">
        <v>349</v>
      </c>
      <c r="F10" s="2">
        <v>37033.0</v>
      </c>
      <c r="G10" t="s">
        <v>285</v>
      </c>
      <c r="I10" s="3" t="s">
        <v>350</v>
      </c>
      <c r="J10" t="s">
        <v>351</v>
      </c>
      <c r="K10" t="b">
        <v>1</v>
      </c>
      <c r="L10" s="4" t="s">
        <v>352</v>
      </c>
      <c r="M10" t="s">
        <v>353</v>
      </c>
      <c r="N10" t="s">
        <v>354</v>
      </c>
      <c r="O10" t="s">
        <v>355</v>
      </c>
      <c r="P10" t="s">
        <v>356</v>
      </c>
      <c r="Q10" t="s">
        <v>152</v>
      </c>
      <c r="R10" t="s">
        <v>357</v>
      </c>
      <c r="S10" t="s">
        <v>353</v>
      </c>
      <c r="T10" s="4" t="s">
        <v>358</v>
      </c>
      <c r="U10" t="s">
        <v>192</v>
      </c>
      <c r="V10" t="s">
        <v>359</v>
      </c>
      <c r="W10" t="s">
        <v>194</v>
      </c>
      <c r="Y10" t="s">
        <v>158</v>
      </c>
      <c r="Z10" t="s">
        <v>159</v>
      </c>
      <c r="AC10" s="3" t="s">
        <v>360</v>
      </c>
      <c r="AD10" t="s">
        <v>118</v>
      </c>
      <c r="AE10" t="s">
        <v>298</v>
      </c>
      <c r="AH10" t="s">
        <v>361</v>
      </c>
      <c r="AI10" t="s">
        <v>162</v>
      </c>
      <c r="AJ10" t="s">
        <v>362</v>
      </c>
      <c r="AK10" t="s">
        <v>363</v>
      </c>
      <c r="AL10" t="s">
        <v>364</v>
      </c>
      <c r="AM10" t="s">
        <v>124</v>
      </c>
      <c r="AO10" t="s">
        <v>125</v>
      </c>
      <c r="AP10">
        <v>5.0</v>
      </c>
      <c r="AQ10" t="s">
        <v>166</v>
      </c>
      <c r="AR10" t="s">
        <v>365</v>
      </c>
      <c r="AS10" t="b">
        <v>0</v>
      </c>
      <c r="AU10" t="s">
        <v>366</v>
      </c>
      <c r="AV10">
        <v>6.0</v>
      </c>
      <c r="AW10" t="b">
        <v>0</v>
      </c>
      <c r="AZ10" t="b">
        <v>0</v>
      </c>
      <c r="BA10" t="b">
        <v>0</v>
      </c>
      <c r="BD10" t="s">
        <v>365</v>
      </c>
      <c r="BE10" s="4" t="s">
        <v>130</v>
      </c>
      <c r="BF10" s="4" t="s">
        <v>130</v>
      </c>
      <c r="BG10" t="s">
        <v>367</v>
      </c>
      <c r="BH10" t="s">
        <v>132</v>
      </c>
      <c r="BI10">
        <v>1.0</v>
      </c>
      <c r="BJ10" t="s">
        <v>367</v>
      </c>
      <c r="BK10">
        <v>4.0</v>
      </c>
      <c r="BL10">
        <v>5.0</v>
      </c>
      <c r="BM10" t="s">
        <v>368</v>
      </c>
      <c r="BN10">
        <v>3.0</v>
      </c>
      <c r="BO10">
        <v>7.0</v>
      </c>
      <c r="BP10" t="s">
        <v>369</v>
      </c>
      <c r="BQ10" t="s">
        <v>370</v>
      </c>
      <c r="BR10" t="s">
        <v>371</v>
      </c>
      <c r="BT10" t="s">
        <v>138</v>
      </c>
      <c r="BU10" t="s">
        <v>372</v>
      </c>
      <c r="BX10" t="s">
        <v>180</v>
      </c>
      <c r="BY10" t="s">
        <v>140</v>
      </c>
      <c r="CA10" t="s">
        <v>141</v>
      </c>
      <c r="CD10">
        <v>0.0</v>
      </c>
      <c r="CZ10" s="5">
        <v>44130.81167824074</v>
      </c>
      <c r="DA10" t="s">
        <v>373</v>
      </c>
    </row>
    <row r="11">
      <c r="A11" t="s">
        <v>98</v>
      </c>
      <c r="B11" t="s">
        <v>99</v>
      </c>
      <c r="D11" t="s">
        <v>374</v>
      </c>
      <c r="E11" t="s">
        <v>375</v>
      </c>
      <c r="F11" s="2">
        <v>38610.0</v>
      </c>
      <c r="G11" t="s">
        <v>102</v>
      </c>
      <c r="I11" s="3" t="s">
        <v>376</v>
      </c>
      <c r="J11" t="s">
        <v>377</v>
      </c>
      <c r="K11" t="b">
        <v>1</v>
      </c>
      <c r="L11" s="4" t="s">
        <v>378</v>
      </c>
      <c r="M11" t="s">
        <v>379</v>
      </c>
      <c r="N11" t="s">
        <v>354</v>
      </c>
      <c r="O11" t="s">
        <v>380</v>
      </c>
      <c r="P11" t="s">
        <v>381</v>
      </c>
      <c r="Q11" t="s">
        <v>189</v>
      </c>
      <c r="R11" t="s">
        <v>377</v>
      </c>
      <c r="S11" t="s">
        <v>379</v>
      </c>
      <c r="T11" s="4" t="s">
        <v>382</v>
      </c>
      <c r="U11" t="s">
        <v>192</v>
      </c>
      <c r="V11" t="s">
        <v>383</v>
      </c>
      <c r="W11" t="s">
        <v>194</v>
      </c>
      <c r="Y11" t="s">
        <v>158</v>
      </c>
      <c r="Z11" t="s">
        <v>384</v>
      </c>
      <c r="AC11" s="3" t="s">
        <v>385</v>
      </c>
      <c r="AD11" t="s">
        <v>118</v>
      </c>
      <c r="AE11" t="s">
        <v>119</v>
      </c>
      <c r="AF11" t="s">
        <v>197</v>
      </c>
      <c r="AG11">
        <v>14.0</v>
      </c>
      <c r="AI11" t="s">
        <v>386</v>
      </c>
      <c r="AJ11" t="s">
        <v>387</v>
      </c>
      <c r="AL11" t="s">
        <v>199</v>
      </c>
      <c r="AM11" t="s">
        <v>388</v>
      </c>
      <c r="AO11" t="s">
        <v>335</v>
      </c>
      <c r="AP11">
        <v>5.0</v>
      </c>
      <c r="AQ11" t="s">
        <v>126</v>
      </c>
      <c r="AR11" t="s">
        <v>389</v>
      </c>
      <c r="AS11" t="b">
        <v>0</v>
      </c>
      <c r="AU11" t="s">
        <v>390</v>
      </c>
      <c r="AV11">
        <v>6.0</v>
      </c>
      <c r="AW11" t="b">
        <v>0</v>
      </c>
      <c r="AZ11" t="b">
        <v>0</v>
      </c>
      <c r="BA11" t="b">
        <v>0</v>
      </c>
      <c r="BD11" t="s">
        <v>391</v>
      </c>
      <c r="BE11" s="4" t="s">
        <v>130</v>
      </c>
      <c r="BF11" s="4" t="s">
        <v>339</v>
      </c>
      <c r="BG11" s="4" t="s">
        <v>392</v>
      </c>
      <c r="BH11" t="s">
        <v>132</v>
      </c>
      <c r="BI11">
        <v>1.0</v>
      </c>
      <c r="BJ11" t="s">
        <v>164</v>
      </c>
      <c r="BK11">
        <v>1.0</v>
      </c>
      <c r="BL11">
        <v>7.0</v>
      </c>
      <c r="BM11" t="s">
        <v>164</v>
      </c>
      <c r="BN11">
        <v>3.0</v>
      </c>
      <c r="BO11">
        <v>4.0</v>
      </c>
      <c r="BP11" t="s">
        <v>393</v>
      </c>
      <c r="BQ11" t="s">
        <v>394</v>
      </c>
      <c r="BR11" t="s">
        <v>395</v>
      </c>
      <c r="BT11" t="s">
        <v>396</v>
      </c>
      <c r="BU11" t="s">
        <v>179</v>
      </c>
      <c r="BX11" t="s">
        <v>180</v>
      </c>
      <c r="BY11" t="s">
        <v>140</v>
      </c>
      <c r="CA11" t="s">
        <v>141</v>
      </c>
      <c r="CD11">
        <v>0.0</v>
      </c>
      <c r="CZ11" s="5">
        <v>44132.885787037034</v>
      </c>
      <c r="DA11" t="s">
        <v>397</v>
      </c>
    </row>
    <row r="12">
      <c r="A12" t="s">
        <v>98</v>
      </c>
      <c r="B12" t="s">
        <v>99</v>
      </c>
      <c r="D12" t="s">
        <v>398</v>
      </c>
      <c r="E12" t="s">
        <v>399</v>
      </c>
      <c r="F12" s="2">
        <v>38324.0</v>
      </c>
      <c r="G12" t="s">
        <v>285</v>
      </c>
      <c r="I12" s="3" t="s">
        <v>400</v>
      </c>
      <c r="J12" t="s">
        <v>401</v>
      </c>
      <c r="K12" t="b">
        <v>1</v>
      </c>
      <c r="L12" s="4" t="s">
        <v>402</v>
      </c>
      <c r="M12" t="s">
        <v>403</v>
      </c>
      <c r="N12" t="s">
        <v>105</v>
      </c>
      <c r="O12" t="s">
        <v>404</v>
      </c>
      <c r="P12" t="s">
        <v>405</v>
      </c>
      <c r="Q12" t="s">
        <v>152</v>
      </c>
      <c r="R12" t="s">
        <v>406</v>
      </c>
      <c r="S12" t="s">
        <v>407</v>
      </c>
      <c r="T12" s="4" t="s">
        <v>408</v>
      </c>
      <c r="U12" t="s">
        <v>409</v>
      </c>
      <c r="V12" t="s">
        <v>410</v>
      </c>
      <c r="W12" t="s">
        <v>194</v>
      </c>
      <c r="Y12" t="s">
        <v>158</v>
      </c>
      <c r="Z12" t="s">
        <v>195</v>
      </c>
      <c r="AC12" s="3" t="s">
        <v>411</v>
      </c>
      <c r="AD12" t="s">
        <v>118</v>
      </c>
      <c r="AE12" t="s">
        <v>119</v>
      </c>
      <c r="AF12" t="s">
        <v>412</v>
      </c>
      <c r="AG12">
        <v>9.0</v>
      </c>
      <c r="AI12" t="s">
        <v>162</v>
      </c>
      <c r="AJ12" t="s">
        <v>413</v>
      </c>
      <c r="AL12" t="s">
        <v>414</v>
      </c>
      <c r="AM12" t="s">
        <v>124</v>
      </c>
      <c r="AO12" t="s">
        <v>125</v>
      </c>
      <c r="AP12">
        <v>6.0</v>
      </c>
      <c r="AQ12" t="s">
        <v>415</v>
      </c>
      <c r="AR12" t="s">
        <v>416</v>
      </c>
      <c r="AS12" t="b">
        <v>1</v>
      </c>
      <c r="AT12" t="b">
        <v>0</v>
      </c>
      <c r="AU12" t="s">
        <v>417</v>
      </c>
      <c r="AV12">
        <v>5.0</v>
      </c>
      <c r="AW12" t="b">
        <v>0</v>
      </c>
      <c r="AZ12" t="b">
        <v>0</v>
      </c>
      <c r="BA12" t="b">
        <v>0</v>
      </c>
      <c r="BD12" t="s">
        <v>418</v>
      </c>
      <c r="BE12" s="4" t="s">
        <v>130</v>
      </c>
      <c r="BF12" s="4" t="s">
        <v>130</v>
      </c>
      <c r="BG12" s="4" t="s">
        <v>419</v>
      </c>
      <c r="BH12" t="s">
        <v>132</v>
      </c>
      <c r="BI12">
        <v>6.0</v>
      </c>
      <c r="BJ12" t="s">
        <v>420</v>
      </c>
      <c r="BK12">
        <v>5.0</v>
      </c>
      <c r="BL12">
        <v>5.0</v>
      </c>
      <c r="BM12" t="s">
        <v>421</v>
      </c>
      <c r="BN12">
        <v>4.0</v>
      </c>
      <c r="BO12">
        <v>4.0</v>
      </c>
      <c r="BP12" t="s">
        <v>422</v>
      </c>
      <c r="BQ12" t="s">
        <v>423</v>
      </c>
      <c r="BR12" t="s">
        <v>424</v>
      </c>
      <c r="BT12" t="s">
        <v>425</v>
      </c>
      <c r="BU12" t="s">
        <v>426</v>
      </c>
      <c r="BX12" t="s">
        <v>180</v>
      </c>
      <c r="BY12" t="s">
        <v>140</v>
      </c>
      <c r="CA12" t="s">
        <v>141</v>
      </c>
      <c r="CD12">
        <v>0.0</v>
      </c>
      <c r="CZ12" s="5">
        <v>44132.7049537037</v>
      </c>
      <c r="DA12" t="s">
        <v>427</v>
      </c>
    </row>
    <row r="13">
      <c r="A13" t="s">
        <v>98</v>
      </c>
      <c r="B13" t="s">
        <v>99</v>
      </c>
      <c r="D13" t="s">
        <v>428</v>
      </c>
      <c r="E13" t="s">
        <v>429</v>
      </c>
      <c r="F13" s="2">
        <v>38209.0</v>
      </c>
      <c r="G13" t="s">
        <v>285</v>
      </c>
      <c r="I13" s="3" t="s">
        <v>430</v>
      </c>
      <c r="J13" t="s">
        <v>431</v>
      </c>
      <c r="K13" t="b">
        <v>0</v>
      </c>
      <c r="M13" t="s">
        <v>432</v>
      </c>
      <c r="N13" t="s">
        <v>354</v>
      </c>
      <c r="O13" t="s">
        <v>433</v>
      </c>
      <c r="P13" t="s">
        <v>434</v>
      </c>
      <c r="Q13" t="s">
        <v>152</v>
      </c>
      <c r="R13" t="s">
        <v>431</v>
      </c>
      <c r="S13" t="s">
        <v>432</v>
      </c>
      <c r="T13" s="4" t="s">
        <v>435</v>
      </c>
      <c r="U13" t="s">
        <v>192</v>
      </c>
      <c r="V13" t="s">
        <v>436</v>
      </c>
      <c r="W13" t="s">
        <v>194</v>
      </c>
      <c r="Y13" t="s">
        <v>158</v>
      </c>
      <c r="Z13" t="s">
        <v>262</v>
      </c>
      <c r="AC13" s="3" t="s">
        <v>437</v>
      </c>
      <c r="AD13" t="s">
        <v>118</v>
      </c>
      <c r="AE13" t="s">
        <v>119</v>
      </c>
      <c r="AF13" t="s">
        <v>161</v>
      </c>
      <c r="AG13">
        <v>15.0</v>
      </c>
      <c r="AI13" t="s">
        <v>121</v>
      </c>
      <c r="AJ13" t="s">
        <v>163</v>
      </c>
      <c r="AK13" t="s">
        <v>179</v>
      </c>
      <c r="AL13" t="s">
        <v>165</v>
      </c>
      <c r="AM13" t="s">
        <v>124</v>
      </c>
      <c r="AO13" t="s">
        <v>335</v>
      </c>
      <c r="AP13">
        <v>7.0</v>
      </c>
      <c r="AQ13" t="s">
        <v>303</v>
      </c>
      <c r="AR13" t="s">
        <v>438</v>
      </c>
      <c r="AS13" t="b">
        <v>0</v>
      </c>
      <c r="AU13" t="s">
        <v>164</v>
      </c>
      <c r="AV13">
        <v>1.0</v>
      </c>
      <c r="AW13" t="b">
        <v>0</v>
      </c>
      <c r="AZ13" t="b">
        <v>0</v>
      </c>
      <c r="BA13" t="b">
        <v>0</v>
      </c>
      <c r="BD13" t="s">
        <v>438</v>
      </c>
      <c r="BE13" s="4" t="s">
        <v>130</v>
      </c>
      <c r="BF13" s="4" t="s">
        <v>130</v>
      </c>
      <c r="BG13" s="4" t="s">
        <v>439</v>
      </c>
      <c r="BH13" t="s">
        <v>132</v>
      </c>
      <c r="BI13">
        <v>1.0</v>
      </c>
      <c r="BJ13" t="s">
        <v>440</v>
      </c>
      <c r="BK13">
        <v>7.0</v>
      </c>
      <c r="BL13">
        <v>7.0</v>
      </c>
      <c r="BM13" t="s">
        <v>441</v>
      </c>
      <c r="BN13">
        <v>7.0</v>
      </c>
      <c r="BO13">
        <v>7.0</v>
      </c>
      <c r="BP13" t="s">
        <v>442</v>
      </c>
      <c r="BQ13" t="s">
        <v>443</v>
      </c>
      <c r="BR13" t="s">
        <v>444</v>
      </c>
      <c r="BT13" t="s">
        <v>445</v>
      </c>
      <c r="BU13" t="s">
        <v>139</v>
      </c>
      <c r="BX13" t="s">
        <v>180</v>
      </c>
      <c r="BY13" t="s">
        <v>140</v>
      </c>
      <c r="CA13" t="s">
        <v>141</v>
      </c>
      <c r="CD13">
        <v>0.0</v>
      </c>
      <c r="CZ13" s="5">
        <v>44132.931180555555</v>
      </c>
      <c r="DA13" t="s">
        <v>446</v>
      </c>
    </row>
    <row r="14">
      <c r="A14" t="s">
        <v>98</v>
      </c>
      <c r="B14" t="s">
        <v>99</v>
      </c>
      <c r="D14" t="s">
        <v>447</v>
      </c>
      <c r="E14" t="s">
        <v>448</v>
      </c>
      <c r="F14" s="2">
        <v>37666.0</v>
      </c>
      <c r="G14" t="s">
        <v>102</v>
      </c>
      <c r="I14" s="3" t="s">
        <v>449</v>
      </c>
      <c r="J14" t="s">
        <v>450</v>
      </c>
      <c r="K14" t="b">
        <v>1</v>
      </c>
      <c r="L14" s="4" t="s">
        <v>451</v>
      </c>
      <c r="M14" t="s">
        <v>452</v>
      </c>
      <c r="N14" t="s">
        <v>255</v>
      </c>
      <c r="P14" t="s">
        <v>453</v>
      </c>
      <c r="Q14" t="s">
        <v>292</v>
      </c>
      <c r="R14" t="s">
        <v>454</v>
      </c>
      <c r="S14" t="s">
        <v>455</v>
      </c>
      <c r="T14" s="4" t="s">
        <v>456</v>
      </c>
      <c r="U14" t="s">
        <v>329</v>
      </c>
      <c r="V14" t="s">
        <v>457</v>
      </c>
      <c r="W14" t="s">
        <v>261</v>
      </c>
      <c r="Y14" t="s">
        <v>158</v>
      </c>
      <c r="Z14" t="s">
        <v>262</v>
      </c>
      <c r="AC14" s="3" t="s">
        <v>458</v>
      </c>
      <c r="AD14" t="s">
        <v>118</v>
      </c>
      <c r="AE14" t="s">
        <v>119</v>
      </c>
      <c r="AF14" t="s">
        <v>459</v>
      </c>
      <c r="AG14">
        <v>15.0</v>
      </c>
      <c r="AI14" t="s">
        <v>386</v>
      </c>
      <c r="AJ14" t="s">
        <v>362</v>
      </c>
      <c r="AL14" t="s">
        <v>460</v>
      </c>
      <c r="AM14" t="s">
        <v>388</v>
      </c>
      <c r="AO14" t="s">
        <v>125</v>
      </c>
      <c r="AP14">
        <v>4.0</v>
      </c>
      <c r="AQ14" t="s">
        <v>461</v>
      </c>
      <c r="AR14" t="s">
        <v>462</v>
      </c>
      <c r="AS14" t="b">
        <v>1</v>
      </c>
      <c r="AT14" t="b">
        <v>1</v>
      </c>
      <c r="AU14" t="s">
        <v>168</v>
      </c>
      <c r="AV14">
        <v>5.0</v>
      </c>
      <c r="AW14" t="b">
        <v>1</v>
      </c>
      <c r="AX14" s="4" t="s">
        <v>463</v>
      </c>
      <c r="AY14" t="s">
        <v>307</v>
      </c>
      <c r="AZ14" t="b">
        <v>0</v>
      </c>
      <c r="BA14" t="b">
        <v>0</v>
      </c>
      <c r="BD14" t="s">
        <v>464</v>
      </c>
      <c r="BE14" s="4" t="s">
        <v>339</v>
      </c>
      <c r="BF14" t="s">
        <v>164</v>
      </c>
      <c r="BG14" s="4" t="s">
        <v>465</v>
      </c>
      <c r="BH14" t="s">
        <v>132</v>
      </c>
      <c r="BI14">
        <v>1.0</v>
      </c>
      <c r="BJ14" t="s">
        <v>466</v>
      </c>
      <c r="BK14">
        <v>3.0</v>
      </c>
      <c r="BL14">
        <v>3.0</v>
      </c>
      <c r="BM14" t="s">
        <v>467</v>
      </c>
      <c r="BN14">
        <v>2.0</v>
      </c>
      <c r="BO14">
        <v>2.0</v>
      </c>
      <c r="BP14" t="s">
        <v>468</v>
      </c>
      <c r="BQ14" t="s">
        <v>469</v>
      </c>
      <c r="BR14" t="s">
        <v>470</v>
      </c>
      <c r="BT14" t="s">
        <v>471</v>
      </c>
      <c r="BU14" t="s">
        <v>179</v>
      </c>
      <c r="BX14" t="s">
        <v>180</v>
      </c>
      <c r="BY14" t="s">
        <v>140</v>
      </c>
      <c r="CA14" t="s">
        <v>141</v>
      </c>
      <c r="CD14">
        <v>0.0</v>
      </c>
      <c r="CZ14" s="5">
        <v>44133.113645833335</v>
      </c>
      <c r="DA14" t="s">
        <v>472</v>
      </c>
    </row>
    <row r="15">
      <c r="A15" t="s">
        <v>98</v>
      </c>
      <c r="B15" t="s">
        <v>99</v>
      </c>
      <c r="D15" t="s">
        <v>473</v>
      </c>
      <c r="E15" t="s">
        <v>474</v>
      </c>
      <c r="F15" s="2">
        <v>37815.0</v>
      </c>
      <c r="G15" t="s">
        <v>285</v>
      </c>
      <c r="I15" s="3" t="s">
        <v>475</v>
      </c>
      <c r="J15" t="s">
        <v>476</v>
      </c>
      <c r="K15" t="b">
        <v>1</v>
      </c>
      <c r="L15" s="4" t="s">
        <v>477</v>
      </c>
      <c r="M15" t="s">
        <v>478</v>
      </c>
      <c r="N15" t="s">
        <v>255</v>
      </c>
      <c r="O15" t="s">
        <v>479</v>
      </c>
      <c r="P15" t="s">
        <v>480</v>
      </c>
      <c r="Q15" t="s">
        <v>189</v>
      </c>
      <c r="R15" t="s">
        <v>481</v>
      </c>
      <c r="S15" t="s">
        <v>482</v>
      </c>
      <c r="T15" s="4" t="s">
        <v>483</v>
      </c>
      <c r="U15" t="s">
        <v>260</v>
      </c>
      <c r="V15" t="s">
        <v>484</v>
      </c>
      <c r="W15" t="s">
        <v>261</v>
      </c>
      <c r="Y15" t="s">
        <v>158</v>
      </c>
      <c r="Z15" t="s">
        <v>262</v>
      </c>
      <c r="AC15" s="3" t="s">
        <v>485</v>
      </c>
      <c r="AD15" t="s">
        <v>118</v>
      </c>
      <c r="AE15" t="s">
        <v>119</v>
      </c>
      <c r="AF15" t="s">
        <v>412</v>
      </c>
      <c r="AG15">
        <v>16.0</v>
      </c>
      <c r="AI15" t="s">
        <v>162</v>
      </c>
      <c r="AJ15" t="s">
        <v>413</v>
      </c>
      <c r="AL15" t="s">
        <v>414</v>
      </c>
      <c r="AM15" t="s">
        <v>124</v>
      </c>
      <c r="AO15" t="s">
        <v>486</v>
      </c>
      <c r="AP15">
        <v>4.0</v>
      </c>
      <c r="AQ15" t="s">
        <v>303</v>
      </c>
      <c r="AR15" t="s">
        <v>487</v>
      </c>
      <c r="AS15" t="b">
        <v>1</v>
      </c>
      <c r="AT15" t="b">
        <v>1</v>
      </c>
      <c r="AU15" t="s">
        <v>390</v>
      </c>
      <c r="AV15">
        <v>5.0</v>
      </c>
      <c r="AW15" t="b">
        <v>1</v>
      </c>
      <c r="AX15" s="4" t="s">
        <v>306</v>
      </c>
      <c r="AY15" t="s">
        <v>307</v>
      </c>
      <c r="AZ15" t="b">
        <v>1</v>
      </c>
      <c r="BA15" t="b">
        <v>1</v>
      </c>
      <c r="BB15" t="b">
        <v>1</v>
      </c>
      <c r="BC15" t="s">
        <v>488</v>
      </c>
      <c r="BD15" t="s">
        <v>487</v>
      </c>
      <c r="BE15" t="s">
        <v>164</v>
      </c>
      <c r="BF15" t="s">
        <v>164</v>
      </c>
      <c r="BG15" s="4" t="s">
        <v>489</v>
      </c>
      <c r="BH15" t="s">
        <v>132</v>
      </c>
      <c r="BI15">
        <v>5.0</v>
      </c>
      <c r="BJ15" t="s">
        <v>490</v>
      </c>
      <c r="BK15">
        <v>4.0</v>
      </c>
      <c r="BL15">
        <v>7.0</v>
      </c>
      <c r="BM15" t="s">
        <v>491</v>
      </c>
      <c r="BN15">
        <v>4.0</v>
      </c>
      <c r="BO15">
        <v>6.0</v>
      </c>
      <c r="BP15" t="s">
        <v>492</v>
      </c>
      <c r="BQ15" t="s">
        <v>493</v>
      </c>
      <c r="BR15" t="s">
        <v>494</v>
      </c>
      <c r="BT15" t="s">
        <v>495</v>
      </c>
      <c r="BU15" t="s">
        <v>496</v>
      </c>
      <c r="BX15" t="s">
        <v>497</v>
      </c>
      <c r="BY15" t="s">
        <v>140</v>
      </c>
      <c r="CA15" t="s">
        <v>498</v>
      </c>
      <c r="CB15" t="s">
        <v>499</v>
      </c>
      <c r="CD15">
        <v>0.0</v>
      </c>
      <c r="CZ15" s="5">
        <v>44133.74699074074</v>
      </c>
      <c r="DA15" t="s">
        <v>500</v>
      </c>
    </row>
    <row r="16">
      <c r="A16" t="s">
        <v>98</v>
      </c>
      <c r="B16" t="s">
        <v>99</v>
      </c>
      <c r="D16" t="s">
        <v>501</v>
      </c>
      <c r="E16" t="s">
        <v>502</v>
      </c>
      <c r="F16" s="2">
        <v>38250.0</v>
      </c>
      <c r="G16" t="s">
        <v>285</v>
      </c>
      <c r="I16" s="3" t="s">
        <v>503</v>
      </c>
      <c r="J16" t="s">
        <v>504</v>
      </c>
      <c r="K16" t="b">
        <v>1</v>
      </c>
      <c r="L16" s="4" t="s">
        <v>505</v>
      </c>
      <c r="M16" t="s">
        <v>506</v>
      </c>
      <c r="N16" t="s">
        <v>149</v>
      </c>
      <c r="O16" t="s">
        <v>507</v>
      </c>
      <c r="P16" t="s">
        <v>508</v>
      </c>
      <c r="Q16" t="s">
        <v>152</v>
      </c>
      <c r="R16" t="s">
        <v>509</v>
      </c>
      <c r="S16" t="s">
        <v>510</v>
      </c>
      <c r="T16" s="4" t="s">
        <v>511</v>
      </c>
      <c r="U16" t="s">
        <v>512</v>
      </c>
      <c r="V16" t="s">
        <v>240</v>
      </c>
      <c r="W16" t="s">
        <v>261</v>
      </c>
      <c r="Y16" t="s">
        <v>158</v>
      </c>
      <c r="AC16" s="3" t="s">
        <v>513</v>
      </c>
      <c r="AD16" t="s">
        <v>118</v>
      </c>
      <c r="AE16" t="s">
        <v>298</v>
      </c>
      <c r="AH16" t="s">
        <v>514</v>
      </c>
      <c r="AI16" t="s">
        <v>121</v>
      </c>
      <c r="AJ16" t="s">
        <v>300</v>
      </c>
      <c r="AK16" t="s">
        <v>515</v>
      </c>
      <c r="AL16" t="s">
        <v>334</v>
      </c>
      <c r="AM16" t="s">
        <v>124</v>
      </c>
      <c r="AO16" t="s">
        <v>125</v>
      </c>
      <c r="AP16">
        <v>7.0</v>
      </c>
      <c r="AQ16" t="s">
        <v>166</v>
      </c>
      <c r="AR16" t="s">
        <v>516</v>
      </c>
      <c r="AS16" t="b">
        <v>0</v>
      </c>
      <c r="AU16" t="s">
        <v>517</v>
      </c>
      <c r="AV16">
        <v>7.0</v>
      </c>
      <c r="AW16" t="b">
        <v>1</v>
      </c>
      <c r="AX16" s="4" t="s">
        <v>270</v>
      </c>
      <c r="AY16" s="4" t="s">
        <v>518</v>
      </c>
      <c r="AZ16" t="b">
        <v>1</v>
      </c>
      <c r="BA16" t="b">
        <v>0</v>
      </c>
      <c r="BD16" t="s">
        <v>519</v>
      </c>
      <c r="BE16" s="4" t="s">
        <v>520</v>
      </c>
      <c r="BF16" t="s">
        <v>164</v>
      </c>
      <c r="BG16" s="4" t="s">
        <v>521</v>
      </c>
      <c r="BH16" t="s">
        <v>132</v>
      </c>
      <c r="BI16">
        <v>4.0</v>
      </c>
      <c r="BJ16" t="s">
        <v>522</v>
      </c>
      <c r="BK16">
        <v>4.0</v>
      </c>
      <c r="BL16">
        <v>5.0</v>
      </c>
      <c r="BM16" t="s">
        <v>523</v>
      </c>
      <c r="BN16">
        <v>1.0</v>
      </c>
      <c r="BO16">
        <v>5.0</v>
      </c>
      <c r="BP16" t="s">
        <v>524</v>
      </c>
      <c r="BQ16" t="s">
        <v>525</v>
      </c>
      <c r="BR16" t="s">
        <v>526</v>
      </c>
      <c r="BT16" t="s">
        <v>527</v>
      </c>
      <c r="BU16" t="s">
        <v>528</v>
      </c>
      <c r="BX16" t="s">
        <v>180</v>
      </c>
      <c r="BY16" t="s">
        <v>140</v>
      </c>
      <c r="CA16" t="s">
        <v>141</v>
      </c>
      <c r="CD16">
        <v>0.0</v>
      </c>
      <c r="CZ16" s="5">
        <v>44139.25833333333</v>
      </c>
      <c r="DA16" t="s">
        <v>529</v>
      </c>
    </row>
    <row r="17">
      <c r="A17" t="s">
        <v>98</v>
      </c>
      <c r="B17" t="s">
        <v>99</v>
      </c>
      <c r="D17" t="s">
        <v>530</v>
      </c>
      <c r="E17" t="s">
        <v>531</v>
      </c>
      <c r="F17" s="2">
        <v>36466.0</v>
      </c>
      <c r="G17" t="s">
        <v>102</v>
      </c>
      <c r="I17" s="3" t="s">
        <v>532</v>
      </c>
      <c r="J17" t="s">
        <v>533</v>
      </c>
      <c r="K17" t="b">
        <v>1</v>
      </c>
      <c r="L17" s="4" t="s">
        <v>534</v>
      </c>
      <c r="M17" t="s">
        <v>535</v>
      </c>
      <c r="N17" t="s">
        <v>149</v>
      </c>
      <c r="P17" t="s">
        <v>536</v>
      </c>
      <c r="Q17" t="s">
        <v>152</v>
      </c>
      <c r="R17" t="s">
        <v>537</v>
      </c>
      <c r="S17" t="s">
        <v>535</v>
      </c>
      <c r="T17" s="4" t="s">
        <v>538</v>
      </c>
      <c r="U17" t="s">
        <v>329</v>
      </c>
      <c r="V17" t="s">
        <v>484</v>
      </c>
      <c r="W17" t="s">
        <v>261</v>
      </c>
      <c r="Y17" t="s">
        <v>158</v>
      </c>
      <c r="Z17" t="s">
        <v>262</v>
      </c>
      <c r="AC17" s="3" t="s">
        <v>539</v>
      </c>
      <c r="AD17" t="s">
        <v>118</v>
      </c>
      <c r="AE17" t="s">
        <v>119</v>
      </c>
      <c r="AF17" t="s">
        <v>540</v>
      </c>
      <c r="AG17">
        <v>18.0</v>
      </c>
      <c r="AI17" t="s">
        <v>162</v>
      </c>
      <c r="AJ17" t="s">
        <v>541</v>
      </c>
      <c r="AK17" t="s">
        <v>179</v>
      </c>
      <c r="AL17" t="s">
        <v>542</v>
      </c>
      <c r="AM17" t="s">
        <v>543</v>
      </c>
      <c r="AO17" t="s">
        <v>335</v>
      </c>
      <c r="AP17">
        <v>5.0</v>
      </c>
      <c r="AQ17" t="s">
        <v>126</v>
      </c>
      <c r="AR17" t="s">
        <v>544</v>
      </c>
      <c r="AS17" t="b">
        <v>1</v>
      </c>
      <c r="AT17" t="b">
        <v>1</v>
      </c>
      <c r="AU17" t="s">
        <v>128</v>
      </c>
      <c r="AV17">
        <v>4.0</v>
      </c>
      <c r="AW17" t="b">
        <v>1</v>
      </c>
      <c r="AX17" s="4" t="s">
        <v>270</v>
      </c>
      <c r="AY17" s="4" t="s">
        <v>518</v>
      </c>
      <c r="AZ17" t="b">
        <v>1</v>
      </c>
      <c r="BA17" t="b">
        <v>1</v>
      </c>
      <c r="BB17" t="b">
        <v>0</v>
      </c>
      <c r="BC17" t="s">
        <v>545</v>
      </c>
      <c r="BD17" t="s">
        <v>546</v>
      </c>
      <c r="BE17" s="4" t="s">
        <v>547</v>
      </c>
      <c r="BF17" s="4" t="s">
        <v>520</v>
      </c>
      <c r="BG17" t="s">
        <v>548</v>
      </c>
      <c r="BH17" t="s">
        <v>132</v>
      </c>
      <c r="BI17">
        <v>4.0</v>
      </c>
      <c r="BJ17" t="s">
        <v>549</v>
      </c>
      <c r="BK17">
        <v>5.0</v>
      </c>
      <c r="BL17">
        <v>5.0</v>
      </c>
      <c r="BM17" t="s">
        <v>550</v>
      </c>
      <c r="BN17">
        <v>4.0</v>
      </c>
      <c r="BO17">
        <v>4.0</v>
      </c>
      <c r="BP17" t="s">
        <v>551</v>
      </c>
      <c r="BQ17" t="s">
        <v>552</v>
      </c>
      <c r="BR17" t="s">
        <v>553</v>
      </c>
      <c r="BT17" t="s">
        <v>554</v>
      </c>
      <c r="BU17" t="s">
        <v>555</v>
      </c>
      <c r="BX17" t="s">
        <v>180</v>
      </c>
      <c r="BY17" t="s">
        <v>140</v>
      </c>
      <c r="CA17" t="s">
        <v>141</v>
      </c>
      <c r="CD17">
        <v>0.0</v>
      </c>
      <c r="CZ17" s="5">
        <v>44133.91540509259</v>
      </c>
      <c r="DA17" t="s">
        <v>556</v>
      </c>
    </row>
    <row r="18">
      <c r="A18" t="s">
        <v>98</v>
      </c>
      <c r="B18" t="s">
        <v>99</v>
      </c>
      <c r="D18" t="s">
        <v>557</v>
      </c>
      <c r="E18" t="s">
        <v>558</v>
      </c>
      <c r="F18" s="2">
        <v>37530.0</v>
      </c>
      <c r="G18" t="s">
        <v>102</v>
      </c>
      <c r="I18" s="3" t="s">
        <v>559</v>
      </c>
      <c r="J18" t="s">
        <v>560</v>
      </c>
      <c r="K18" t="b">
        <v>1</v>
      </c>
      <c r="L18" s="4" t="s">
        <v>561</v>
      </c>
      <c r="M18" t="s">
        <v>562</v>
      </c>
      <c r="N18" t="s">
        <v>149</v>
      </c>
      <c r="P18" t="s">
        <v>179</v>
      </c>
      <c r="Q18" t="s">
        <v>563</v>
      </c>
      <c r="R18" t="s">
        <v>560</v>
      </c>
      <c r="S18" t="s">
        <v>564</v>
      </c>
      <c r="T18" s="4" t="s">
        <v>565</v>
      </c>
      <c r="U18" t="s">
        <v>566</v>
      </c>
      <c r="V18" t="s">
        <v>567</v>
      </c>
      <c r="W18" t="s">
        <v>194</v>
      </c>
      <c r="Y18" t="s">
        <v>158</v>
      </c>
      <c r="Z18" t="s">
        <v>159</v>
      </c>
      <c r="AC18" s="3" t="s">
        <v>568</v>
      </c>
      <c r="AD18" t="s">
        <v>569</v>
      </c>
      <c r="AE18" t="s">
        <v>119</v>
      </c>
      <c r="AF18" t="s">
        <v>570</v>
      </c>
      <c r="AG18">
        <v>17.0</v>
      </c>
      <c r="AI18" t="s">
        <v>162</v>
      </c>
      <c r="AJ18" t="s">
        <v>413</v>
      </c>
      <c r="AK18" t="s">
        <v>179</v>
      </c>
      <c r="AL18" t="s">
        <v>571</v>
      </c>
      <c r="AM18" t="s">
        <v>124</v>
      </c>
      <c r="AO18" t="s">
        <v>125</v>
      </c>
      <c r="AP18">
        <v>2.0</v>
      </c>
      <c r="AQ18" t="s">
        <v>126</v>
      </c>
      <c r="AR18" t="s">
        <v>572</v>
      </c>
      <c r="AS18" t="b">
        <v>0</v>
      </c>
      <c r="AU18" t="s">
        <v>128</v>
      </c>
      <c r="AV18">
        <v>4.0</v>
      </c>
      <c r="AW18" t="b">
        <v>1</v>
      </c>
      <c r="AX18" s="4" t="s">
        <v>270</v>
      </c>
      <c r="AY18" s="4" t="s">
        <v>518</v>
      </c>
      <c r="AZ18" t="b">
        <v>0</v>
      </c>
      <c r="BA18" t="b">
        <v>1</v>
      </c>
      <c r="BB18" t="b">
        <v>0</v>
      </c>
      <c r="BC18" t="s">
        <v>573</v>
      </c>
      <c r="BD18" t="s">
        <v>574</v>
      </c>
      <c r="BE18" t="s">
        <v>575</v>
      </c>
      <c r="BF18" t="s">
        <v>576</v>
      </c>
      <c r="BG18" s="4" t="s">
        <v>577</v>
      </c>
      <c r="BH18" t="s">
        <v>132</v>
      </c>
      <c r="BI18">
        <v>3.0</v>
      </c>
      <c r="BJ18" t="s">
        <v>578</v>
      </c>
      <c r="BK18">
        <v>2.0</v>
      </c>
      <c r="BL18">
        <v>3.0</v>
      </c>
      <c r="BM18" t="s">
        <v>579</v>
      </c>
      <c r="BN18">
        <v>1.0</v>
      </c>
      <c r="BO18">
        <v>3.0</v>
      </c>
      <c r="BP18" t="s">
        <v>580</v>
      </c>
      <c r="BQ18" t="s">
        <v>581</v>
      </c>
      <c r="BR18" t="s">
        <v>582</v>
      </c>
      <c r="BT18" t="s">
        <v>495</v>
      </c>
      <c r="BU18" t="s">
        <v>179</v>
      </c>
      <c r="BX18" t="s">
        <v>180</v>
      </c>
      <c r="BY18" t="s">
        <v>140</v>
      </c>
      <c r="CA18" t="s">
        <v>141</v>
      </c>
      <c r="CD18">
        <v>0.0</v>
      </c>
      <c r="CZ18" s="5">
        <v>44134.65866898148</v>
      </c>
      <c r="DA18" t="s">
        <v>583</v>
      </c>
    </row>
    <row r="19">
      <c r="A19" t="s">
        <v>98</v>
      </c>
      <c r="B19" t="s">
        <v>99</v>
      </c>
      <c r="D19" t="s">
        <v>584</v>
      </c>
      <c r="E19" t="s">
        <v>585</v>
      </c>
      <c r="F19" s="2">
        <v>37847.0</v>
      </c>
      <c r="G19" t="s">
        <v>102</v>
      </c>
      <c r="I19" s="3" t="s">
        <v>586</v>
      </c>
      <c r="J19" t="s">
        <v>587</v>
      </c>
      <c r="K19" t="b">
        <v>1</v>
      </c>
      <c r="L19" s="4" t="s">
        <v>588</v>
      </c>
      <c r="M19" t="s">
        <v>589</v>
      </c>
      <c r="N19" t="s">
        <v>149</v>
      </c>
      <c r="P19" t="s">
        <v>508</v>
      </c>
      <c r="Q19" t="s">
        <v>152</v>
      </c>
      <c r="R19" t="s">
        <v>590</v>
      </c>
      <c r="S19" t="s">
        <v>591</v>
      </c>
      <c r="T19" s="4" t="s">
        <v>511</v>
      </c>
      <c r="U19" t="s">
        <v>592</v>
      </c>
      <c r="V19" t="s">
        <v>593</v>
      </c>
      <c r="W19" t="s">
        <v>113</v>
      </c>
      <c r="Y19" t="s">
        <v>158</v>
      </c>
      <c r="Z19" t="s">
        <v>195</v>
      </c>
      <c r="AC19" s="3" t="s">
        <v>594</v>
      </c>
      <c r="AD19" t="s">
        <v>118</v>
      </c>
      <c r="AE19" t="s">
        <v>298</v>
      </c>
      <c r="AH19" t="s">
        <v>514</v>
      </c>
      <c r="AI19" t="s">
        <v>121</v>
      </c>
      <c r="AJ19" t="s">
        <v>300</v>
      </c>
      <c r="AK19" t="s">
        <v>595</v>
      </c>
      <c r="AL19" t="s">
        <v>596</v>
      </c>
      <c r="AM19" t="s">
        <v>124</v>
      </c>
      <c r="AO19" t="s">
        <v>125</v>
      </c>
      <c r="AP19">
        <v>7.0</v>
      </c>
      <c r="AQ19" t="s">
        <v>126</v>
      </c>
      <c r="AR19" t="s">
        <v>597</v>
      </c>
      <c r="AS19" t="b">
        <v>0</v>
      </c>
      <c r="AU19" t="s">
        <v>598</v>
      </c>
      <c r="AV19">
        <v>7.0</v>
      </c>
      <c r="AW19" t="b">
        <v>1</v>
      </c>
      <c r="AX19" s="4" t="s">
        <v>270</v>
      </c>
      <c r="AY19" s="4" t="s">
        <v>518</v>
      </c>
      <c r="AZ19" t="b">
        <v>1</v>
      </c>
      <c r="BA19" t="b">
        <v>0</v>
      </c>
      <c r="BD19" t="s">
        <v>599</v>
      </c>
      <c r="BE19" s="4" t="s">
        <v>520</v>
      </c>
      <c r="BF19" s="4" t="s">
        <v>339</v>
      </c>
      <c r="BG19" s="4" t="s">
        <v>600</v>
      </c>
      <c r="BH19" t="s">
        <v>132</v>
      </c>
      <c r="BI19">
        <v>1.0</v>
      </c>
      <c r="BJ19" t="s">
        <v>601</v>
      </c>
      <c r="BK19">
        <v>1.0</v>
      </c>
      <c r="BL19">
        <v>1.0</v>
      </c>
      <c r="BM19" t="s">
        <v>602</v>
      </c>
      <c r="BN19">
        <v>1.0</v>
      </c>
      <c r="BO19">
        <v>2.0</v>
      </c>
      <c r="BP19" t="s">
        <v>603</v>
      </c>
      <c r="BQ19" t="s">
        <v>604</v>
      </c>
      <c r="BR19" t="s">
        <v>605</v>
      </c>
      <c r="BT19" t="s">
        <v>280</v>
      </c>
      <c r="BU19" t="s">
        <v>606</v>
      </c>
      <c r="BX19" t="s">
        <v>180</v>
      </c>
      <c r="BY19" t="s">
        <v>140</v>
      </c>
      <c r="CA19" t="s">
        <v>141</v>
      </c>
      <c r="CD19">
        <v>0.0</v>
      </c>
      <c r="CZ19" s="5">
        <v>44139.12509259259</v>
      </c>
      <c r="DA19" t="s">
        <v>607</v>
      </c>
    </row>
    <row r="20">
      <c r="A20" t="s">
        <v>98</v>
      </c>
      <c r="B20" t="s">
        <v>99</v>
      </c>
      <c r="D20" t="s">
        <v>608</v>
      </c>
      <c r="E20" t="s">
        <v>609</v>
      </c>
      <c r="F20" s="2">
        <v>37890.0</v>
      </c>
      <c r="G20" t="s">
        <v>102</v>
      </c>
      <c r="I20" s="3" t="s">
        <v>610</v>
      </c>
      <c r="J20" t="s">
        <v>611</v>
      </c>
      <c r="K20" t="b">
        <v>1</v>
      </c>
      <c r="L20" s="4" t="s">
        <v>612</v>
      </c>
      <c r="M20" t="s">
        <v>613</v>
      </c>
      <c r="N20" t="s">
        <v>149</v>
      </c>
      <c r="O20" t="s">
        <v>614</v>
      </c>
      <c r="P20" t="s">
        <v>615</v>
      </c>
      <c r="Q20" t="s">
        <v>189</v>
      </c>
      <c r="R20" t="s">
        <v>611</v>
      </c>
      <c r="S20" t="s">
        <v>613</v>
      </c>
      <c r="T20" s="4" t="s">
        <v>616</v>
      </c>
      <c r="U20" t="s">
        <v>192</v>
      </c>
      <c r="V20" t="s">
        <v>436</v>
      </c>
      <c r="W20" t="s">
        <v>194</v>
      </c>
      <c r="Y20" t="s">
        <v>158</v>
      </c>
      <c r="Z20" t="s">
        <v>262</v>
      </c>
      <c r="AC20" s="3" t="s">
        <v>617</v>
      </c>
      <c r="AD20" t="s">
        <v>118</v>
      </c>
      <c r="AE20" t="s">
        <v>119</v>
      </c>
      <c r="AF20" t="s">
        <v>618</v>
      </c>
      <c r="AG20">
        <v>13.0</v>
      </c>
      <c r="AI20" t="s">
        <v>205</v>
      </c>
      <c r="AJ20" t="s">
        <v>619</v>
      </c>
      <c r="AK20" t="s">
        <v>620</v>
      </c>
      <c r="AL20" t="s">
        <v>621</v>
      </c>
      <c r="AM20" t="s">
        <v>388</v>
      </c>
      <c r="AO20" t="s">
        <v>125</v>
      </c>
      <c r="AP20">
        <v>7.0</v>
      </c>
      <c r="AQ20" t="s">
        <v>303</v>
      </c>
      <c r="AR20" t="s">
        <v>303</v>
      </c>
      <c r="AS20" t="b">
        <v>1</v>
      </c>
      <c r="AT20" t="b">
        <v>0</v>
      </c>
      <c r="AU20" t="s">
        <v>366</v>
      </c>
      <c r="AV20">
        <v>3.0</v>
      </c>
      <c r="AW20" t="b">
        <v>0</v>
      </c>
      <c r="AZ20" t="b">
        <v>0</v>
      </c>
      <c r="BA20" t="b">
        <v>0</v>
      </c>
      <c r="BD20" t="s">
        <v>303</v>
      </c>
      <c r="BE20" s="4" t="s">
        <v>273</v>
      </c>
      <c r="BF20" s="4" t="s">
        <v>339</v>
      </c>
      <c r="BG20" s="4" t="s">
        <v>622</v>
      </c>
      <c r="BH20" t="s">
        <v>132</v>
      </c>
      <c r="BI20">
        <v>1.0</v>
      </c>
      <c r="BJ20" t="s">
        <v>623</v>
      </c>
      <c r="BK20">
        <v>4.0</v>
      </c>
      <c r="BL20">
        <v>1.0</v>
      </c>
      <c r="BM20" t="s">
        <v>624</v>
      </c>
      <c r="BN20">
        <v>1.0</v>
      </c>
      <c r="BO20">
        <v>7.0</v>
      </c>
      <c r="BP20" t="s">
        <v>625</v>
      </c>
      <c r="BQ20" t="s">
        <v>626</v>
      </c>
      <c r="BR20" t="s">
        <v>627</v>
      </c>
      <c r="BT20" t="s">
        <v>628</v>
      </c>
      <c r="BU20" t="s">
        <v>620</v>
      </c>
      <c r="BX20" t="s">
        <v>180</v>
      </c>
      <c r="BY20" t="s">
        <v>140</v>
      </c>
      <c r="CA20" t="s">
        <v>141</v>
      </c>
      <c r="CD20">
        <v>0.0</v>
      </c>
      <c r="CZ20" s="5">
        <v>44139.74048611111</v>
      </c>
      <c r="DA20" t="s">
        <v>629</v>
      </c>
    </row>
    <row r="21">
      <c r="A21" t="s">
        <v>98</v>
      </c>
      <c r="B21" t="s">
        <v>99</v>
      </c>
      <c r="D21" t="s">
        <v>630</v>
      </c>
      <c r="E21" t="s">
        <v>631</v>
      </c>
      <c r="F21" s="2">
        <v>37665.0</v>
      </c>
      <c r="G21" t="s">
        <v>285</v>
      </c>
      <c r="I21" s="3" t="s">
        <v>632</v>
      </c>
      <c r="J21" t="s">
        <v>633</v>
      </c>
      <c r="K21" t="b">
        <v>0</v>
      </c>
      <c r="M21" t="s">
        <v>353</v>
      </c>
      <c r="N21" t="s">
        <v>354</v>
      </c>
      <c r="O21" t="s">
        <v>620</v>
      </c>
      <c r="P21" t="s">
        <v>634</v>
      </c>
      <c r="Q21" t="s">
        <v>152</v>
      </c>
      <c r="R21" t="s">
        <v>357</v>
      </c>
      <c r="S21" t="s">
        <v>353</v>
      </c>
      <c r="T21" s="4" t="s">
        <v>358</v>
      </c>
      <c r="U21" t="s">
        <v>192</v>
      </c>
      <c r="V21" t="s">
        <v>359</v>
      </c>
      <c r="W21" t="s">
        <v>194</v>
      </c>
      <c r="Y21" t="s">
        <v>158</v>
      </c>
      <c r="Z21" t="s">
        <v>159</v>
      </c>
      <c r="AC21" s="3" t="s">
        <v>635</v>
      </c>
      <c r="AD21" t="s">
        <v>118</v>
      </c>
      <c r="AE21" t="s">
        <v>119</v>
      </c>
      <c r="AF21" t="s">
        <v>363</v>
      </c>
      <c r="AG21">
        <v>17.0</v>
      </c>
      <c r="AI21" t="s">
        <v>162</v>
      </c>
      <c r="AJ21" t="s">
        <v>636</v>
      </c>
      <c r="AK21" t="s">
        <v>363</v>
      </c>
      <c r="AL21" t="s">
        <v>637</v>
      </c>
      <c r="AM21" t="s">
        <v>124</v>
      </c>
      <c r="AO21" t="s">
        <v>335</v>
      </c>
      <c r="AP21">
        <v>5.0</v>
      </c>
      <c r="AQ21" t="s">
        <v>166</v>
      </c>
      <c r="AR21" t="s">
        <v>638</v>
      </c>
      <c r="AS21" t="b">
        <v>0</v>
      </c>
      <c r="AU21" t="s">
        <v>598</v>
      </c>
      <c r="AV21">
        <v>4.0</v>
      </c>
      <c r="AW21" t="b">
        <v>0</v>
      </c>
      <c r="AZ21" t="b">
        <v>0</v>
      </c>
      <c r="BA21" t="b">
        <v>0</v>
      </c>
      <c r="BD21" t="s">
        <v>638</v>
      </c>
      <c r="BE21" s="4" t="s">
        <v>130</v>
      </c>
      <c r="BF21" s="4" t="s">
        <v>639</v>
      </c>
      <c r="BG21" t="s">
        <v>640</v>
      </c>
      <c r="BH21" t="s">
        <v>132</v>
      </c>
      <c r="BI21">
        <v>5.0</v>
      </c>
      <c r="BJ21" t="s">
        <v>641</v>
      </c>
      <c r="BK21">
        <v>6.0</v>
      </c>
      <c r="BL21">
        <v>7.0</v>
      </c>
      <c r="BM21" t="s">
        <v>642</v>
      </c>
      <c r="BN21">
        <v>2.0</v>
      </c>
      <c r="BO21">
        <v>2.0</v>
      </c>
      <c r="BP21" t="s">
        <v>643</v>
      </c>
      <c r="BQ21" t="s">
        <v>370</v>
      </c>
      <c r="BR21" t="s">
        <v>644</v>
      </c>
      <c r="BT21" t="s">
        <v>138</v>
      </c>
      <c r="BU21" t="s">
        <v>645</v>
      </c>
      <c r="BX21" t="s">
        <v>180</v>
      </c>
      <c r="BY21" t="s">
        <v>140</v>
      </c>
      <c r="CA21" t="s">
        <v>141</v>
      </c>
      <c r="CD21">
        <v>0.0</v>
      </c>
      <c r="CZ21" s="5">
        <v>44141.025347222225</v>
      </c>
      <c r="DA21" t="s">
        <v>646</v>
      </c>
    </row>
    <row r="22">
      <c r="A22" t="s">
        <v>98</v>
      </c>
      <c r="B22" t="s">
        <v>99</v>
      </c>
      <c r="D22" t="s">
        <v>647</v>
      </c>
      <c r="E22" t="s">
        <v>558</v>
      </c>
      <c r="F22" s="2">
        <v>37530.0</v>
      </c>
      <c r="G22" t="s">
        <v>102</v>
      </c>
      <c r="I22" s="3" t="s">
        <v>648</v>
      </c>
      <c r="J22" t="s">
        <v>649</v>
      </c>
      <c r="K22" t="b">
        <v>1</v>
      </c>
      <c r="L22" s="4" t="s">
        <v>650</v>
      </c>
      <c r="M22" t="s">
        <v>651</v>
      </c>
      <c r="N22" t="s">
        <v>149</v>
      </c>
      <c r="O22" t="s">
        <v>652</v>
      </c>
      <c r="P22" t="s">
        <v>653</v>
      </c>
      <c r="Q22" t="s">
        <v>189</v>
      </c>
      <c r="R22" t="s">
        <v>560</v>
      </c>
      <c r="S22" t="s">
        <v>651</v>
      </c>
      <c r="T22" s="4" t="s">
        <v>565</v>
      </c>
      <c r="U22" t="s">
        <v>566</v>
      </c>
      <c r="V22" t="s">
        <v>654</v>
      </c>
      <c r="W22" t="s">
        <v>194</v>
      </c>
      <c r="Y22" t="s">
        <v>158</v>
      </c>
      <c r="Z22" t="s">
        <v>159</v>
      </c>
      <c r="AC22" s="3" t="s">
        <v>655</v>
      </c>
      <c r="AD22" t="s">
        <v>118</v>
      </c>
      <c r="AE22" t="s">
        <v>119</v>
      </c>
      <c r="AF22" t="s">
        <v>570</v>
      </c>
      <c r="AG22">
        <v>16.0</v>
      </c>
      <c r="AI22" t="s">
        <v>162</v>
      </c>
      <c r="AJ22" t="s">
        <v>413</v>
      </c>
      <c r="AL22" t="s">
        <v>656</v>
      </c>
      <c r="AM22" t="s">
        <v>124</v>
      </c>
      <c r="AO22" t="s">
        <v>125</v>
      </c>
      <c r="AP22">
        <v>4.0</v>
      </c>
      <c r="AQ22" t="s">
        <v>126</v>
      </c>
      <c r="AR22" t="s">
        <v>657</v>
      </c>
      <c r="AS22" t="b">
        <v>1</v>
      </c>
      <c r="AT22" t="b">
        <v>0</v>
      </c>
      <c r="AU22" t="s">
        <v>128</v>
      </c>
      <c r="AV22">
        <v>2.0</v>
      </c>
      <c r="AW22" t="b">
        <v>0</v>
      </c>
      <c r="AZ22" t="b">
        <v>0</v>
      </c>
      <c r="BA22" t="b">
        <v>0</v>
      </c>
      <c r="BD22" t="s">
        <v>657</v>
      </c>
      <c r="BE22" t="s">
        <v>164</v>
      </c>
      <c r="BF22" t="s">
        <v>658</v>
      </c>
      <c r="BG22" s="4" t="s">
        <v>172</v>
      </c>
      <c r="BH22" t="s">
        <v>132</v>
      </c>
      <c r="BI22">
        <v>4.0</v>
      </c>
      <c r="BJ22" t="s">
        <v>659</v>
      </c>
      <c r="BK22">
        <v>4.0</v>
      </c>
      <c r="BL22">
        <v>3.0</v>
      </c>
      <c r="BM22" t="s">
        <v>660</v>
      </c>
      <c r="BN22">
        <v>3.0</v>
      </c>
      <c r="BO22">
        <v>3.0</v>
      </c>
      <c r="BP22" t="s">
        <v>661</v>
      </c>
      <c r="BQ22" t="s">
        <v>662</v>
      </c>
      <c r="BR22" t="s">
        <v>663</v>
      </c>
      <c r="BT22" t="s">
        <v>471</v>
      </c>
      <c r="BU22" t="s">
        <v>664</v>
      </c>
      <c r="BX22" t="s">
        <v>180</v>
      </c>
      <c r="BY22" t="s">
        <v>140</v>
      </c>
      <c r="CA22" t="s">
        <v>141</v>
      </c>
      <c r="CD22">
        <v>0.0</v>
      </c>
      <c r="CZ22" s="5">
        <v>44144.82445601852</v>
      </c>
      <c r="DA22" t="s">
        <v>665</v>
      </c>
    </row>
    <row r="23">
      <c r="A23" t="s">
        <v>98</v>
      </c>
      <c r="B23" t="s">
        <v>99</v>
      </c>
      <c r="D23" t="s">
        <v>666</v>
      </c>
      <c r="E23" t="s">
        <v>667</v>
      </c>
      <c r="F23" s="2">
        <v>38228.0</v>
      </c>
      <c r="G23" t="s">
        <v>285</v>
      </c>
      <c r="I23" s="3" t="s">
        <v>668</v>
      </c>
      <c r="J23" t="s">
        <v>669</v>
      </c>
      <c r="K23" t="b">
        <v>0</v>
      </c>
      <c r="M23" t="s">
        <v>670</v>
      </c>
      <c r="N23" t="s">
        <v>149</v>
      </c>
      <c r="P23" t="s">
        <v>671</v>
      </c>
      <c r="Q23" t="s">
        <v>152</v>
      </c>
      <c r="R23" t="s">
        <v>672</v>
      </c>
      <c r="S23" t="s">
        <v>673</v>
      </c>
      <c r="T23" s="4" t="s">
        <v>674</v>
      </c>
      <c r="U23" t="s">
        <v>192</v>
      </c>
      <c r="V23" t="s">
        <v>675</v>
      </c>
      <c r="W23" t="s">
        <v>194</v>
      </c>
      <c r="Y23" t="s">
        <v>158</v>
      </c>
      <c r="Z23" t="s">
        <v>195</v>
      </c>
      <c r="AC23" s="3" t="s">
        <v>676</v>
      </c>
      <c r="AD23" t="s">
        <v>118</v>
      </c>
      <c r="AE23" t="s">
        <v>119</v>
      </c>
      <c r="AF23" t="s">
        <v>197</v>
      </c>
      <c r="AG23">
        <v>13.0</v>
      </c>
      <c r="AI23" t="s">
        <v>162</v>
      </c>
      <c r="AJ23" t="s">
        <v>541</v>
      </c>
      <c r="AK23" t="s">
        <v>677</v>
      </c>
      <c r="AL23" t="s">
        <v>199</v>
      </c>
      <c r="AM23" t="s">
        <v>543</v>
      </c>
      <c r="AO23" t="s">
        <v>125</v>
      </c>
      <c r="AP23">
        <v>5.0</v>
      </c>
      <c r="AQ23" t="s">
        <v>415</v>
      </c>
      <c r="AR23" t="s">
        <v>678</v>
      </c>
      <c r="AS23" t="b">
        <v>1</v>
      </c>
      <c r="AT23" t="b">
        <v>1</v>
      </c>
      <c r="AU23" t="s">
        <v>517</v>
      </c>
      <c r="AV23">
        <v>4.0</v>
      </c>
      <c r="AW23" t="b">
        <v>0</v>
      </c>
      <c r="AZ23" t="b">
        <v>0</v>
      </c>
      <c r="BA23" t="b">
        <v>0</v>
      </c>
      <c r="BD23" t="s">
        <v>679</v>
      </c>
      <c r="BE23" s="4" t="s">
        <v>273</v>
      </c>
      <c r="BF23" t="s">
        <v>679</v>
      </c>
      <c r="BG23" t="s">
        <v>680</v>
      </c>
      <c r="BH23" t="s">
        <v>132</v>
      </c>
      <c r="BI23">
        <v>5.0</v>
      </c>
      <c r="BJ23" t="s">
        <v>681</v>
      </c>
      <c r="BK23">
        <v>6.0</v>
      </c>
      <c r="BL23">
        <v>5.0</v>
      </c>
      <c r="BM23" t="s">
        <v>682</v>
      </c>
      <c r="BN23">
        <v>6.0</v>
      </c>
      <c r="BO23">
        <v>7.0</v>
      </c>
      <c r="BP23" t="s">
        <v>683</v>
      </c>
      <c r="BQ23" t="s">
        <v>684</v>
      </c>
      <c r="BR23" t="s">
        <v>685</v>
      </c>
      <c r="BT23" t="s">
        <v>138</v>
      </c>
      <c r="BU23" t="s">
        <v>606</v>
      </c>
      <c r="BX23" t="s">
        <v>497</v>
      </c>
      <c r="BY23" t="s">
        <v>140</v>
      </c>
      <c r="CA23" t="s">
        <v>498</v>
      </c>
      <c r="CB23" t="s">
        <v>686</v>
      </c>
      <c r="CD23">
        <v>0.0</v>
      </c>
      <c r="CZ23" s="5">
        <v>44148.25019675926</v>
      </c>
      <c r="DA23" t="s">
        <v>687</v>
      </c>
    </row>
    <row r="24">
      <c r="A24" t="s">
        <v>98</v>
      </c>
      <c r="B24" t="s">
        <v>99</v>
      </c>
      <c r="D24" t="s">
        <v>688</v>
      </c>
      <c r="E24" t="s">
        <v>689</v>
      </c>
      <c r="F24" s="2">
        <v>37033.0</v>
      </c>
      <c r="G24" t="s">
        <v>285</v>
      </c>
      <c r="I24" s="3" t="s">
        <v>690</v>
      </c>
      <c r="J24" t="s">
        <v>691</v>
      </c>
      <c r="K24" t="b">
        <v>1</v>
      </c>
      <c r="L24" s="4" t="s">
        <v>692</v>
      </c>
      <c r="M24" t="s">
        <v>693</v>
      </c>
      <c r="N24" t="s">
        <v>149</v>
      </c>
      <c r="O24" t="s">
        <v>694</v>
      </c>
      <c r="P24" t="s">
        <v>695</v>
      </c>
      <c r="Q24" t="s">
        <v>292</v>
      </c>
      <c r="R24" t="s">
        <v>696</v>
      </c>
      <c r="S24" t="s">
        <v>693</v>
      </c>
      <c r="T24" s="4" t="s">
        <v>697</v>
      </c>
      <c r="U24" t="s">
        <v>698</v>
      </c>
      <c r="V24" t="s">
        <v>699</v>
      </c>
      <c r="W24" t="s">
        <v>113</v>
      </c>
      <c r="Y24" t="s">
        <v>158</v>
      </c>
      <c r="Z24" t="s">
        <v>262</v>
      </c>
      <c r="AC24" s="3" t="s">
        <v>700</v>
      </c>
      <c r="AD24" t="s">
        <v>118</v>
      </c>
      <c r="AE24" t="s">
        <v>298</v>
      </c>
      <c r="AH24" t="s">
        <v>701</v>
      </c>
      <c r="AI24" t="s">
        <v>121</v>
      </c>
      <c r="AJ24" t="s">
        <v>300</v>
      </c>
      <c r="AK24" t="s">
        <v>702</v>
      </c>
      <c r="AL24" t="s">
        <v>703</v>
      </c>
      <c r="AM24" t="s">
        <v>124</v>
      </c>
      <c r="AO24" t="s">
        <v>125</v>
      </c>
      <c r="AP24">
        <v>6.0</v>
      </c>
      <c r="AQ24" t="s">
        <v>166</v>
      </c>
      <c r="AR24" t="s">
        <v>704</v>
      </c>
      <c r="AS24" t="b">
        <v>1</v>
      </c>
      <c r="AT24" t="b">
        <v>0</v>
      </c>
      <c r="AU24" t="s">
        <v>705</v>
      </c>
      <c r="AV24">
        <v>7.0</v>
      </c>
      <c r="AW24" t="b">
        <v>1</v>
      </c>
      <c r="AX24" s="4" t="s">
        <v>270</v>
      </c>
      <c r="AY24" t="s">
        <v>706</v>
      </c>
      <c r="AZ24" t="b">
        <v>0</v>
      </c>
      <c r="BA24" t="b">
        <v>0</v>
      </c>
      <c r="BD24" t="s">
        <v>707</v>
      </c>
      <c r="BE24" s="4" t="s">
        <v>273</v>
      </c>
      <c r="BF24" t="s">
        <v>708</v>
      </c>
      <c r="BG24" t="s">
        <v>709</v>
      </c>
      <c r="BH24" t="s">
        <v>132</v>
      </c>
      <c r="BI24">
        <v>4.0</v>
      </c>
      <c r="BJ24" t="s">
        <v>710</v>
      </c>
      <c r="BK24">
        <v>7.0</v>
      </c>
      <c r="BL24">
        <v>4.0</v>
      </c>
      <c r="BM24" t="s">
        <v>711</v>
      </c>
      <c r="BN24">
        <v>7.0</v>
      </c>
      <c r="BO24">
        <v>7.0</v>
      </c>
      <c r="BP24" t="s">
        <v>712</v>
      </c>
      <c r="BQ24" t="s">
        <v>713</v>
      </c>
      <c r="BR24" t="s">
        <v>714</v>
      </c>
      <c r="BT24" t="s">
        <v>527</v>
      </c>
      <c r="BU24" t="s">
        <v>715</v>
      </c>
      <c r="BX24" t="s">
        <v>180</v>
      </c>
      <c r="BY24" t="s">
        <v>140</v>
      </c>
      <c r="CA24" t="s">
        <v>141</v>
      </c>
      <c r="CD24">
        <v>0.0</v>
      </c>
      <c r="CZ24" s="5">
        <v>44148.700902777775</v>
      </c>
      <c r="DA24" t="s">
        <v>716</v>
      </c>
    </row>
    <row r="25">
      <c r="A25" t="s">
        <v>98</v>
      </c>
      <c r="B25" t="s">
        <v>99</v>
      </c>
      <c r="D25" t="s">
        <v>717</v>
      </c>
      <c r="E25" t="s">
        <v>718</v>
      </c>
      <c r="F25" s="2">
        <v>37225.0</v>
      </c>
      <c r="G25" t="s">
        <v>102</v>
      </c>
      <c r="I25" s="3" t="s">
        <v>719</v>
      </c>
      <c r="J25" t="s">
        <v>720</v>
      </c>
      <c r="K25" t="b">
        <v>1</v>
      </c>
      <c r="L25" s="4" t="s">
        <v>721</v>
      </c>
      <c r="M25" t="s">
        <v>722</v>
      </c>
      <c r="N25" t="s">
        <v>149</v>
      </c>
      <c r="O25" t="s">
        <v>723</v>
      </c>
      <c r="P25" t="s">
        <v>724</v>
      </c>
      <c r="Q25" t="s">
        <v>292</v>
      </c>
      <c r="R25" t="s">
        <v>725</v>
      </c>
      <c r="S25" t="s">
        <v>722</v>
      </c>
      <c r="T25" s="4" t="s">
        <v>726</v>
      </c>
      <c r="U25" t="s">
        <v>566</v>
      </c>
      <c r="V25" t="s">
        <v>727</v>
      </c>
      <c r="W25" t="s">
        <v>194</v>
      </c>
      <c r="Y25" t="s">
        <v>158</v>
      </c>
      <c r="Z25" t="s">
        <v>159</v>
      </c>
      <c r="AC25" s="3" t="s">
        <v>728</v>
      </c>
      <c r="AD25" t="s">
        <v>118</v>
      </c>
      <c r="AE25" t="s">
        <v>729</v>
      </c>
      <c r="AF25" t="s">
        <v>540</v>
      </c>
      <c r="AG25">
        <v>17.0</v>
      </c>
      <c r="AI25" t="s">
        <v>162</v>
      </c>
      <c r="AJ25" t="s">
        <v>730</v>
      </c>
      <c r="AK25" t="s">
        <v>731</v>
      </c>
      <c r="AL25" t="s">
        <v>732</v>
      </c>
      <c r="AM25" t="s">
        <v>200</v>
      </c>
      <c r="AO25" t="s">
        <v>335</v>
      </c>
      <c r="AP25">
        <v>5.0</v>
      </c>
      <c r="AQ25" t="s">
        <v>126</v>
      </c>
      <c r="AR25" t="s">
        <v>544</v>
      </c>
      <c r="AS25" t="b">
        <v>0</v>
      </c>
      <c r="AU25" t="s">
        <v>705</v>
      </c>
      <c r="AV25">
        <v>5.0</v>
      </c>
      <c r="AW25" t="b">
        <v>0</v>
      </c>
      <c r="AZ25" t="b">
        <v>0</v>
      </c>
      <c r="BA25" t="b">
        <v>0</v>
      </c>
      <c r="BD25" t="s">
        <v>733</v>
      </c>
      <c r="BE25" s="4" t="s">
        <v>130</v>
      </c>
      <c r="BF25" s="4" t="s">
        <v>734</v>
      </c>
      <c r="BG25" s="4" t="s">
        <v>735</v>
      </c>
      <c r="BH25" t="s">
        <v>132</v>
      </c>
      <c r="BI25">
        <v>4.0</v>
      </c>
      <c r="BJ25" t="s">
        <v>736</v>
      </c>
      <c r="BK25">
        <v>4.0</v>
      </c>
      <c r="BL25">
        <v>4.0</v>
      </c>
      <c r="BM25" t="s">
        <v>737</v>
      </c>
      <c r="BN25">
        <v>3.0</v>
      </c>
      <c r="BO25">
        <v>3.0</v>
      </c>
      <c r="BP25" t="s">
        <v>738</v>
      </c>
      <c r="BQ25" t="s">
        <v>370</v>
      </c>
      <c r="BR25" t="s">
        <v>739</v>
      </c>
      <c r="BS25" t="s">
        <v>740</v>
      </c>
      <c r="BT25" t="s">
        <v>741</v>
      </c>
      <c r="BU25" t="s">
        <v>742</v>
      </c>
      <c r="BV25" s="3" t="s">
        <v>743</v>
      </c>
      <c r="BW25" t="b">
        <v>1</v>
      </c>
      <c r="BX25" t="s">
        <v>497</v>
      </c>
      <c r="BY25" t="s">
        <v>140</v>
      </c>
      <c r="CA25" t="s">
        <v>498</v>
      </c>
      <c r="CB25" t="s">
        <v>744</v>
      </c>
      <c r="CD25">
        <v>0.0</v>
      </c>
      <c r="CZ25" s="5">
        <v>44150.06229166667</v>
      </c>
      <c r="DA25" t="s">
        <v>745</v>
      </c>
    </row>
    <row r="26">
      <c r="A26" t="s">
        <v>98</v>
      </c>
      <c r="B26" t="s">
        <v>99</v>
      </c>
      <c r="D26" t="s">
        <v>746</v>
      </c>
      <c r="E26" t="s">
        <v>747</v>
      </c>
      <c r="F26" s="2">
        <v>37553.0</v>
      </c>
      <c r="G26" t="s">
        <v>285</v>
      </c>
      <c r="I26" s="3" t="s">
        <v>748</v>
      </c>
      <c r="J26" t="s">
        <v>749</v>
      </c>
      <c r="K26" t="b">
        <v>1</v>
      </c>
      <c r="L26" s="4" t="s">
        <v>750</v>
      </c>
      <c r="M26" t="s">
        <v>751</v>
      </c>
      <c r="N26" t="s">
        <v>255</v>
      </c>
      <c r="O26" t="s">
        <v>479</v>
      </c>
      <c r="P26" t="s">
        <v>752</v>
      </c>
      <c r="Q26" t="s">
        <v>152</v>
      </c>
      <c r="R26" t="s">
        <v>753</v>
      </c>
      <c r="S26" t="s">
        <v>751</v>
      </c>
      <c r="T26" s="4" t="s">
        <v>754</v>
      </c>
      <c r="U26" t="s">
        <v>755</v>
      </c>
      <c r="V26" t="s">
        <v>756</v>
      </c>
      <c r="W26" t="s">
        <v>194</v>
      </c>
      <c r="Y26" t="s">
        <v>158</v>
      </c>
      <c r="Z26" t="s">
        <v>159</v>
      </c>
      <c r="AC26" s="3" t="s">
        <v>757</v>
      </c>
      <c r="AD26" t="s">
        <v>758</v>
      </c>
      <c r="AE26" t="s">
        <v>729</v>
      </c>
      <c r="AF26" t="s">
        <v>759</v>
      </c>
      <c r="AG26">
        <v>14.0</v>
      </c>
      <c r="AI26" t="s">
        <v>162</v>
      </c>
      <c r="AJ26" t="s">
        <v>413</v>
      </c>
      <c r="AK26" t="s">
        <v>179</v>
      </c>
      <c r="AL26" t="s">
        <v>760</v>
      </c>
      <c r="AM26" t="s">
        <v>543</v>
      </c>
      <c r="AN26" t="s">
        <v>761</v>
      </c>
      <c r="AO26" t="s">
        <v>486</v>
      </c>
      <c r="AP26">
        <v>5.0</v>
      </c>
      <c r="AQ26" t="s">
        <v>762</v>
      </c>
      <c r="AR26" t="s">
        <v>763</v>
      </c>
      <c r="AS26" t="b">
        <v>0</v>
      </c>
      <c r="AU26" t="s">
        <v>128</v>
      </c>
      <c r="AV26">
        <v>5.0</v>
      </c>
      <c r="AW26" t="b">
        <v>1</v>
      </c>
      <c r="AX26" s="4" t="s">
        <v>270</v>
      </c>
      <c r="AY26" s="4" t="s">
        <v>518</v>
      </c>
      <c r="AZ26" t="b">
        <v>0</v>
      </c>
      <c r="BA26" t="b">
        <v>1</v>
      </c>
      <c r="BB26" t="b">
        <v>0</v>
      </c>
      <c r="BC26" t="s">
        <v>764</v>
      </c>
      <c r="BE26" s="4" t="s">
        <v>339</v>
      </c>
      <c r="BF26" t="s">
        <v>205</v>
      </c>
      <c r="BG26" s="4" t="s">
        <v>765</v>
      </c>
      <c r="BH26" t="s">
        <v>132</v>
      </c>
      <c r="BI26">
        <v>4.0</v>
      </c>
      <c r="BJ26" t="s">
        <v>766</v>
      </c>
      <c r="BK26">
        <v>5.0</v>
      </c>
      <c r="BL26">
        <v>4.0</v>
      </c>
      <c r="BM26" t="s">
        <v>767</v>
      </c>
      <c r="BN26">
        <v>5.0</v>
      </c>
      <c r="BO26">
        <v>5.0</v>
      </c>
      <c r="BP26" t="s">
        <v>768</v>
      </c>
      <c r="BQ26" t="s">
        <v>370</v>
      </c>
      <c r="BR26" t="s">
        <v>769</v>
      </c>
      <c r="BS26" t="s">
        <v>770</v>
      </c>
      <c r="BT26" t="s">
        <v>138</v>
      </c>
      <c r="BU26" t="s">
        <v>205</v>
      </c>
      <c r="BV26" s="3" t="s">
        <v>771</v>
      </c>
      <c r="BW26" t="b">
        <v>1</v>
      </c>
      <c r="BX26" t="s">
        <v>180</v>
      </c>
      <c r="BY26" t="s">
        <v>140</v>
      </c>
      <c r="CA26" t="s">
        <v>141</v>
      </c>
      <c r="CD26">
        <v>0.0</v>
      </c>
      <c r="CZ26" s="5">
        <v>44167.66012731481</v>
      </c>
      <c r="DA26" t="s">
        <v>772</v>
      </c>
    </row>
    <row r="27">
      <c r="A27" t="s">
        <v>98</v>
      </c>
      <c r="B27" t="s">
        <v>99</v>
      </c>
      <c r="D27" t="s">
        <v>773</v>
      </c>
      <c r="E27" t="s">
        <v>250</v>
      </c>
      <c r="F27" s="2">
        <v>38238.0</v>
      </c>
      <c r="G27" t="s">
        <v>102</v>
      </c>
      <c r="I27" s="3" t="s">
        <v>774</v>
      </c>
      <c r="J27" t="s">
        <v>775</v>
      </c>
      <c r="K27" t="b">
        <v>1</v>
      </c>
      <c r="L27" s="4" t="s">
        <v>776</v>
      </c>
      <c r="M27" t="s">
        <v>777</v>
      </c>
      <c r="N27" t="s">
        <v>255</v>
      </c>
      <c r="O27" t="s">
        <v>778</v>
      </c>
      <c r="P27" t="s">
        <v>779</v>
      </c>
      <c r="Q27" t="s">
        <v>292</v>
      </c>
      <c r="R27" t="s">
        <v>775</v>
      </c>
      <c r="S27" t="s">
        <v>777</v>
      </c>
      <c r="T27" s="4" t="s">
        <v>776</v>
      </c>
      <c r="U27" t="s">
        <v>192</v>
      </c>
      <c r="V27" t="s">
        <v>436</v>
      </c>
      <c r="W27" t="s">
        <v>194</v>
      </c>
      <c r="Y27" t="s">
        <v>158</v>
      </c>
      <c r="Z27" t="s">
        <v>195</v>
      </c>
      <c r="AC27" s="3" t="s">
        <v>780</v>
      </c>
      <c r="AD27" t="s">
        <v>118</v>
      </c>
      <c r="AE27" t="s">
        <v>781</v>
      </c>
      <c r="AH27" t="s">
        <v>782</v>
      </c>
      <c r="AI27" t="s">
        <v>121</v>
      </c>
      <c r="AJ27" t="s">
        <v>300</v>
      </c>
      <c r="AK27" t="s">
        <v>783</v>
      </c>
      <c r="AL27" t="s">
        <v>784</v>
      </c>
      <c r="AM27" t="s">
        <v>124</v>
      </c>
      <c r="AO27" t="s">
        <v>335</v>
      </c>
      <c r="AP27">
        <v>1.0</v>
      </c>
      <c r="AQ27" t="s">
        <v>303</v>
      </c>
      <c r="AR27" t="s">
        <v>785</v>
      </c>
      <c r="AS27" t="b">
        <v>1</v>
      </c>
      <c r="AT27" t="b">
        <v>1</v>
      </c>
      <c r="AU27" t="s">
        <v>786</v>
      </c>
      <c r="AV27">
        <v>6.0</v>
      </c>
      <c r="AW27" t="b">
        <v>0</v>
      </c>
      <c r="AZ27" t="b">
        <v>0</v>
      </c>
      <c r="BA27" t="b">
        <v>0</v>
      </c>
      <c r="BD27" t="s">
        <v>787</v>
      </c>
      <c r="BE27" t="s">
        <v>164</v>
      </c>
      <c r="BF27" s="4" t="s">
        <v>130</v>
      </c>
      <c r="BG27" s="4" t="s">
        <v>788</v>
      </c>
      <c r="BH27" t="s">
        <v>132</v>
      </c>
      <c r="BI27">
        <v>1.0</v>
      </c>
      <c r="BJ27" t="s">
        <v>789</v>
      </c>
      <c r="BK27">
        <v>7.0</v>
      </c>
      <c r="BL27">
        <v>6.0</v>
      </c>
      <c r="BM27" t="s">
        <v>790</v>
      </c>
      <c r="BN27">
        <v>2.0</v>
      </c>
      <c r="BO27">
        <v>5.0</v>
      </c>
      <c r="BP27" t="s">
        <v>791</v>
      </c>
      <c r="BQ27" t="s">
        <v>370</v>
      </c>
      <c r="BR27" t="s">
        <v>792</v>
      </c>
      <c r="BS27" t="s">
        <v>793</v>
      </c>
      <c r="BT27" t="s">
        <v>138</v>
      </c>
      <c r="BU27" t="s">
        <v>794</v>
      </c>
      <c r="BV27" s="3" t="s">
        <v>795</v>
      </c>
      <c r="BW27" t="b">
        <v>1</v>
      </c>
      <c r="BX27" t="s">
        <v>180</v>
      </c>
      <c r="BY27" t="s">
        <v>140</v>
      </c>
      <c r="CA27" t="s">
        <v>141</v>
      </c>
      <c r="CD27">
        <v>0.0</v>
      </c>
      <c r="CZ27" s="5">
        <v>44168.901712962965</v>
      </c>
      <c r="DA27" t="s">
        <v>796</v>
      </c>
    </row>
    <row r="28">
      <c r="A28" t="s">
        <v>98</v>
      </c>
      <c r="B28" t="s">
        <v>99</v>
      </c>
      <c r="D28" t="s">
        <v>124</v>
      </c>
      <c r="E28" t="s">
        <v>797</v>
      </c>
      <c r="F28" s="2">
        <v>37781.0</v>
      </c>
      <c r="G28" t="s">
        <v>102</v>
      </c>
      <c r="I28" s="3" t="s">
        <v>798</v>
      </c>
      <c r="J28" t="s">
        <v>799</v>
      </c>
      <c r="K28" t="b">
        <v>1</v>
      </c>
      <c r="L28" s="4" t="s">
        <v>800</v>
      </c>
      <c r="M28" t="s">
        <v>801</v>
      </c>
      <c r="N28" t="s">
        <v>105</v>
      </c>
      <c r="O28" t="s">
        <v>802</v>
      </c>
      <c r="P28" t="s">
        <v>803</v>
      </c>
      <c r="Q28" t="s">
        <v>152</v>
      </c>
      <c r="R28" t="s">
        <v>804</v>
      </c>
      <c r="S28" t="s">
        <v>801</v>
      </c>
      <c r="T28" s="4" t="s">
        <v>805</v>
      </c>
      <c r="U28" t="s">
        <v>806</v>
      </c>
      <c r="V28" t="s">
        <v>807</v>
      </c>
      <c r="W28" t="s">
        <v>194</v>
      </c>
      <c r="Y28" t="s">
        <v>158</v>
      </c>
      <c r="Z28" t="s">
        <v>159</v>
      </c>
      <c r="AC28" s="3" t="s">
        <v>808</v>
      </c>
      <c r="AD28" t="s">
        <v>758</v>
      </c>
      <c r="AE28" t="s">
        <v>729</v>
      </c>
      <c r="AF28" t="s">
        <v>809</v>
      </c>
      <c r="AG28">
        <v>15.0</v>
      </c>
      <c r="AI28" t="s">
        <v>205</v>
      </c>
      <c r="AJ28" t="s">
        <v>810</v>
      </c>
      <c r="AK28" t="s">
        <v>528</v>
      </c>
      <c r="AL28" t="s">
        <v>165</v>
      </c>
      <c r="AM28" t="s">
        <v>124</v>
      </c>
      <c r="AO28" t="s">
        <v>335</v>
      </c>
      <c r="AP28">
        <v>1.0</v>
      </c>
      <c r="AQ28" t="s">
        <v>811</v>
      </c>
      <c r="AR28" t="s">
        <v>812</v>
      </c>
      <c r="AS28" t="b">
        <v>0</v>
      </c>
      <c r="AU28" t="s">
        <v>168</v>
      </c>
      <c r="AV28">
        <v>4.0</v>
      </c>
      <c r="AW28" t="b">
        <v>0</v>
      </c>
      <c r="AZ28" t="b">
        <v>0</v>
      </c>
      <c r="BA28" t="b">
        <v>0</v>
      </c>
      <c r="BD28" t="s">
        <v>813</v>
      </c>
      <c r="BE28" s="4" t="s">
        <v>814</v>
      </c>
      <c r="BF28" s="4" t="s">
        <v>815</v>
      </c>
      <c r="BG28" t="s">
        <v>575</v>
      </c>
      <c r="BH28" t="s">
        <v>132</v>
      </c>
      <c r="BI28">
        <v>4.0</v>
      </c>
      <c r="BJ28" t="s">
        <v>440</v>
      </c>
      <c r="BK28">
        <v>4.0</v>
      </c>
      <c r="BL28">
        <v>4.0</v>
      </c>
      <c r="BM28" t="s">
        <v>816</v>
      </c>
      <c r="BN28">
        <v>5.0</v>
      </c>
      <c r="BO28">
        <v>6.0</v>
      </c>
      <c r="BP28" t="s">
        <v>817</v>
      </c>
      <c r="BQ28" t="s">
        <v>818</v>
      </c>
      <c r="BR28" t="s">
        <v>819</v>
      </c>
      <c r="BS28" t="s">
        <v>820</v>
      </c>
      <c r="BT28" t="s">
        <v>628</v>
      </c>
      <c r="BU28" t="s">
        <v>179</v>
      </c>
      <c r="BV28" s="3" t="s">
        <v>821</v>
      </c>
      <c r="BW28" t="b">
        <v>1</v>
      </c>
      <c r="BX28" t="s">
        <v>180</v>
      </c>
      <c r="BY28" t="s">
        <v>822</v>
      </c>
      <c r="BZ28" t="s">
        <v>823</v>
      </c>
      <c r="CA28" t="s">
        <v>141</v>
      </c>
      <c r="CD28">
        <v>0.0</v>
      </c>
      <c r="CZ28" s="5">
        <v>44174.79855324074</v>
      </c>
      <c r="DA28" t="s">
        <v>824</v>
      </c>
    </row>
    <row r="29">
      <c r="A29" t="s">
        <v>98</v>
      </c>
      <c r="B29" t="s">
        <v>99</v>
      </c>
      <c r="D29" t="s">
        <v>825</v>
      </c>
      <c r="E29" t="s">
        <v>826</v>
      </c>
      <c r="F29" s="2">
        <v>37280.0</v>
      </c>
      <c r="G29" t="s">
        <v>102</v>
      </c>
      <c r="I29" s="3" t="s">
        <v>827</v>
      </c>
      <c r="J29" t="s">
        <v>828</v>
      </c>
      <c r="K29" t="b">
        <v>1</v>
      </c>
      <c r="L29" s="4" t="s">
        <v>829</v>
      </c>
      <c r="M29" t="s">
        <v>830</v>
      </c>
      <c r="N29" t="s">
        <v>149</v>
      </c>
      <c r="O29" t="s">
        <v>831</v>
      </c>
      <c r="P29" t="s">
        <v>832</v>
      </c>
      <c r="Q29" t="s">
        <v>189</v>
      </c>
      <c r="R29" t="s">
        <v>833</v>
      </c>
      <c r="S29" t="s">
        <v>830</v>
      </c>
      <c r="T29" s="4" t="s">
        <v>834</v>
      </c>
      <c r="U29" t="s">
        <v>835</v>
      </c>
      <c r="V29" t="s">
        <v>836</v>
      </c>
      <c r="W29" t="s">
        <v>194</v>
      </c>
      <c r="Y29" t="s">
        <v>158</v>
      </c>
      <c r="Z29" t="s">
        <v>159</v>
      </c>
      <c r="AC29" s="3" t="s">
        <v>837</v>
      </c>
      <c r="AD29" t="s">
        <v>758</v>
      </c>
      <c r="AE29" t="s">
        <v>729</v>
      </c>
      <c r="AF29" t="s">
        <v>570</v>
      </c>
      <c r="AG29">
        <v>16.0</v>
      </c>
      <c r="AI29" t="s">
        <v>205</v>
      </c>
      <c r="AJ29" t="s">
        <v>413</v>
      </c>
      <c r="AK29" t="s">
        <v>838</v>
      </c>
      <c r="AL29" t="s">
        <v>839</v>
      </c>
      <c r="AM29" t="s">
        <v>124</v>
      </c>
      <c r="AO29" t="s">
        <v>125</v>
      </c>
      <c r="AP29">
        <v>1.0</v>
      </c>
      <c r="AQ29" t="s">
        <v>126</v>
      </c>
      <c r="AR29" t="s">
        <v>840</v>
      </c>
      <c r="AS29" t="b">
        <v>0</v>
      </c>
      <c r="AU29" t="s">
        <v>168</v>
      </c>
      <c r="AV29">
        <v>4.0</v>
      </c>
      <c r="AW29" t="b">
        <v>0</v>
      </c>
      <c r="AZ29" t="b">
        <v>0</v>
      </c>
      <c r="BA29" t="b">
        <v>0</v>
      </c>
      <c r="BD29" t="s">
        <v>840</v>
      </c>
      <c r="BE29" s="4" t="s">
        <v>339</v>
      </c>
      <c r="BF29" s="4" t="s">
        <v>734</v>
      </c>
      <c r="BG29" s="4" t="s">
        <v>841</v>
      </c>
      <c r="BH29" t="s">
        <v>132</v>
      </c>
      <c r="BI29">
        <v>4.0</v>
      </c>
      <c r="BJ29" t="s">
        <v>842</v>
      </c>
      <c r="BK29">
        <v>4.0</v>
      </c>
      <c r="BL29">
        <v>6.0</v>
      </c>
      <c r="BM29" t="s">
        <v>843</v>
      </c>
      <c r="BN29">
        <v>4.0</v>
      </c>
      <c r="BO29">
        <v>5.0</v>
      </c>
      <c r="BP29" t="s">
        <v>844</v>
      </c>
      <c r="BQ29" t="s">
        <v>845</v>
      </c>
      <c r="BR29" t="s">
        <v>846</v>
      </c>
      <c r="BS29" t="s">
        <v>847</v>
      </c>
      <c r="BT29" t="s">
        <v>628</v>
      </c>
      <c r="BU29" t="s">
        <v>848</v>
      </c>
      <c r="BV29" s="3" t="s">
        <v>849</v>
      </c>
      <c r="BW29" t="b">
        <v>1</v>
      </c>
      <c r="BX29" t="s">
        <v>180</v>
      </c>
      <c r="BY29" t="s">
        <v>822</v>
      </c>
      <c r="BZ29" t="s">
        <v>823</v>
      </c>
      <c r="CA29" t="s">
        <v>141</v>
      </c>
      <c r="CD29">
        <v>0.0</v>
      </c>
      <c r="CZ29" s="5">
        <v>44175.15584490741</v>
      </c>
      <c r="DA29" t="s">
        <v>850</v>
      </c>
    </row>
    <row r="30">
      <c r="A30" t="s">
        <v>98</v>
      </c>
      <c r="B30" t="s">
        <v>99</v>
      </c>
      <c r="D30" t="s">
        <v>851</v>
      </c>
      <c r="E30" t="s">
        <v>826</v>
      </c>
      <c r="F30" s="2">
        <v>37829.0</v>
      </c>
      <c r="G30" t="s">
        <v>102</v>
      </c>
      <c r="I30" s="3" t="s">
        <v>852</v>
      </c>
      <c r="J30" t="s">
        <v>853</v>
      </c>
      <c r="K30" t="b">
        <v>1</v>
      </c>
      <c r="L30" s="4" t="s">
        <v>854</v>
      </c>
      <c r="M30" t="s">
        <v>830</v>
      </c>
      <c r="N30" t="s">
        <v>149</v>
      </c>
      <c r="O30" t="s">
        <v>546</v>
      </c>
      <c r="P30" t="s">
        <v>832</v>
      </c>
      <c r="Q30" t="s">
        <v>189</v>
      </c>
      <c r="R30" t="s">
        <v>833</v>
      </c>
      <c r="S30" t="s">
        <v>855</v>
      </c>
      <c r="T30" s="4" t="s">
        <v>834</v>
      </c>
      <c r="U30" t="s">
        <v>835</v>
      </c>
      <c r="V30" t="s">
        <v>836</v>
      </c>
      <c r="W30" t="s">
        <v>194</v>
      </c>
      <c r="Y30" t="s">
        <v>158</v>
      </c>
      <c r="Z30" t="s">
        <v>262</v>
      </c>
      <c r="AC30" s="3" t="s">
        <v>856</v>
      </c>
      <c r="AD30" t="s">
        <v>758</v>
      </c>
      <c r="AE30" t="s">
        <v>729</v>
      </c>
      <c r="AF30" t="s">
        <v>570</v>
      </c>
      <c r="AG30">
        <v>15.0</v>
      </c>
      <c r="AI30" t="s">
        <v>205</v>
      </c>
      <c r="AJ30" t="s">
        <v>413</v>
      </c>
      <c r="AL30" t="s">
        <v>857</v>
      </c>
      <c r="AM30" t="s">
        <v>124</v>
      </c>
      <c r="AO30" t="s">
        <v>335</v>
      </c>
      <c r="AP30">
        <v>4.0</v>
      </c>
      <c r="AQ30" t="s">
        <v>303</v>
      </c>
      <c r="AR30" t="s">
        <v>858</v>
      </c>
      <c r="AS30" t="b">
        <v>1</v>
      </c>
      <c r="AT30" t="b">
        <v>0</v>
      </c>
      <c r="AU30" t="s">
        <v>168</v>
      </c>
      <c r="AV30">
        <v>6.0</v>
      </c>
      <c r="AW30" t="b">
        <v>0</v>
      </c>
      <c r="AZ30" t="b">
        <v>0</v>
      </c>
      <c r="BA30" t="b">
        <v>0</v>
      </c>
      <c r="BD30" t="s">
        <v>859</v>
      </c>
      <c r="BE30" s="4" t="s">
        <v>339</v>
      </c>
      <c r="BF30" t="s">
        <v>860</v>
      </c>
      <c r="BG30" s="4" t="s">
        <v>861</v>
      </c>
      <c r="BH30" t="s">
        <v>132</v>
      </c>
      <c r="BI30">
        <v>3.0</v>
      </c>
      <c r="BJ30" t="s">
        <v>575</v>
      </c>
      <c r="BK30">
        <v>4.0</v>
      </c>
      <c r="BL30">
        <v>1.0</v>
      </c>
      <c r="BM30" t="s">
        <v>201</v>
      </c>
      <c r="BN30">
        <v>3.0</v>
      </c>
      <c r="BO30">
        <v>5.0</v>
      </c>
      <c r="BP30" t="s">
        <v>546</v>
      </c>
      <c r="BQ30" t="s">
        <v>581</v>
      </c>
      <c r="BR30" t="s">
        <v>862</v>
      </c>
      <c r="BS30" t="s">
        <v>863</v>
      </c>
      <c r="BT30" t="s">
        <v>471</v>
      </c>
      <c r="BU30" t="s">
        <v>864</v>
      </c>
      <c r="BV30" s="3" t="s">
        <v>865</v>
      </c>
      <c r="BW30" t="b">
        <v>1</v>
      </c>
      <c r="BX30" t="s">
        <v>180</v>
      </c>
      <c r="BY30" t="s">
        <v>140</v>
      </c>
      <c r="CA30" t="s">
        <v>141</v>
      </c>
      <c r="CD30">
        <v>0.0</v>
      </c>
      <c r="CZ30" s="5">
        <v>44175.17327546296</v>
      </c>
      <c r="DA30" t="s">
        <v>866</v>
      </c>
    </row>
    <row r="31">
      <c r="A31" t="s">
        <v>98</v>
      </c>
      <c r="B31" t="s">
        <v>99</v>
      </c>
      <c r="D31" t="s">
        <v>867</v>
      </c>
      <c r="E31" t="s">
        <v>868</v>
      </c>
      <c r="F31" s="2">
        <v>37970.0</v>
      </c>
      <c r="G31" t="s">
        <v>285</v>
      </c>
      <c r="I31" s="3" t="s">
        <v>869</v>
      </c>
      <c r="J31" t="s">
        <v>870</v>
      </c>
      <c r="K31" t="b">
        <v>1</v>
      </c>
      <c r="L31" s="4" t="s">
        <v>871</v>
      </c>
      <c r="M31" t="s">
        <v>872</v>
      </c>
      <c r="N31" t="s">
        <v>354</v>
      </c>
      <c r="O31" t="s">
        <v>479</v>
      </c>
      <c r="P31" t="s">
        <v>873</v>
      </c>
      <c r="Q31" t="s">
        <v>152</v>
      </c>
      <c r="R31" t="s">
        <v>874</v>
      </c>
      <c r="S31" t="s">
        <v>872</v>
      </c>
      <c r="T31" s="4" t="s">
        <v>875</v>
      </c>
      <c r="U31" t="s">
        <v>566</v>
      </c>
      <c r="V31" t="s">
        <v>567</v>
      </c>
      <c r="W31" t="s">
        <v>194</v>
      </c>
      <c r="Y31" t="s">
        <v>158</v>
      </c>
      <c r="Z31" t="s">
        <v>262</v>
      </c>
      <c r="AC31" s="3" t="s">
        <v>876</v>
      </c>
      <c r="AD31" t="s">
        <v>118</v>
      </c>
      <c r="AE31" t="s">
        <v>729</v>
      </c>
      <c r="AF31" t="s">
        <v>412</v>
      </c>
      <c r="AG31">
        <v>15.0</v>
      </c>
      <c r="AI31" t="s">
        <v>121</v>
      </c>
      <c r="AJ31" t="s">
        <v>413</v>
      </c>
      <c r="AK31" t="s">
        <v>877</v>
      </c>
      <c r="AL31" t="s">
        <v>878</v>
      </c>
      <c r="AM31" t="s">
        <v>124</v>
      </c>
      <c r="AO31" t="s">
        <v>486</v>
      </c>
      <c r="AP31">
        <v>3.0</v>
      </c>
      <c r="AQ31" t="s">
        <v>879</v>
      </c>
      <c r="AR31" t="s">
        <v>880</v>
      </c>
      <c r="AS31" t="b">
        <v>0</v>
      </c>
      <c r="AU31" t="s">
        <v>705</v>
      </c>
      <c r="AV31">
        <v>4.0</v>
      </c>
      <c r="AW31" t="b">
        <v>0</v>
      </c>
      <c r="AZ31" t="b">
        <v>0</v>
      </c>
      <c r="BA31" t="b">
        <v>0</v>
      </c>
      <c r="BD31" t="s">
        <v>881</v>
      </c>
      <c r="BE31" s="4" t="s">
        <v>882</v>
      </c>
      <c r="BF31" s="4" t="s">
        <v>273</v>
      </c>
      <c r="BG31" s="4" t="s">
        <v>883</v>
      </c>
      <c r="BH31" t="s">
        <v>132</v>
      </c>
      <c r="BI31">
        <v>2.0</v>
      </c>
      <c r="BJ31" t="s">
        <v>884</v>
      </c>
      <c r="BK31">
        <v>2.0</v>
      </c>
      <c r="BL31">
        <v>1.0</v>
      </c>
      <c r="BM31" t="s">
        <v>885</v>
      </c>
      <c r="BN31">
        <v>1.0</v>
      </c>
      <c r="BO31">
        <v>3.0</v>
      </c>
      <c r="BP31" t="s">
        <v>886</v>
      </c>
      <c r="BQ31" t="s">
        <v>887</v>
      </c>
      <c r="BR31" t="s">
        <v>888</v>
      </c>
      <c r="BS31" t="s">
        <v>889</v>
      </c>
      <c r="BT31" t="s">
        <v>471</v>
      </c>
      <c r="BU31" t="s">
        <v>890</v>
      </c>
      <c r="BV31" s="3" t="s">
        <v>891</v>
      </c>
      <c r="BW31" t="b">
        <v>1</v>
      </c>
      <c r="BX31" t="s">
        <v>180</v>
      </c>
      <c r="BY31" t="s">
        <v>140</v>
      </c>
      <c r="CA31" t="s">
        <v>141</v>
      </c>
      <c r="CD31">
        <v>0.0</v>
      </c>
      <c r="CZ31" s="5">
        <v>44176.69868055556</v>
      </c>
      <c r="DA31" t="s">
        <v>892</v>
      </c>
    </row>
    <row r="32">
      <c r="A32" t="s">
        <v>98</v>
      </c>
      <c r="B32" t="s">
        <v>99</v>
      </c>
      <c r="D32" t="s">
        <v>893</v>
      </c>
      <c r="E32" t="s">
        <v>893</v>
      </c>
      <c r="F32" s="2">
        <v>38097.0</v>
      </c>
      <c r="G32" t="s">
        <v>102</v>
      </c>
      <c r="I32" s="3" t="s">
        <v>894</v>
      </c>
      <c r="J32" t="s">
        <v>895</v>
      </c>
      <c r="K32" t="b">
        <v>1</v>
      </c>
      <c r="L32" s="4" t="s">
        <v>896</v>
      </c>
      <c r="M32" t="s">
        <v>897</v>
      </c>
      <c r="N32" t="s">
        <v>354</v>
      </c>
      <c r="O32" t="s">
        <v>898</v>
      </c>
      <c r="P32" t="s">
        <v>899</v>
      </c>
      <c r="Q32" t="s">
        <v>189</v>
      </c>
      <c r="R32" t="s">
        <v>900</v>
      </c>
      <c r="S32" t="s">
        <v>901</v>
      </c>
      <c r="T32" s="4" t="s">
        <v>902</v>
      </c>
      <c r="U32" t="s">
        <v>903</v>
      </c>
      <c r="V32" t="s">
        <v>904</v>
      </c>
      <c r="W32" t="s">
        <v>113</v>
      </c>
      <c r="Y32" t="s">
        <v>158</v>
      </c>
      <c r="Z32" t="s">
        <v>384</v>
      </c>
      <c r="AC32" s="3" t="s">
        <v>905</v>
      </c>
      <c r="AD32" t="s">
        <v>118</v>
      </c>
      <c r="AE32" t="s">
        <v>729</v>
      </c>
      <c r="AF32" t="s">
        <v>197</v>
      </c>
      <c r="AG32">
        <v>16.0</v>
      </c>
      <c r="AI32" t="s">
        <v>162</v>
      </c>
      <c r="AJ32" t="s">
        <v>541</v>
      </c>
      <c r="AK32" t="s">
        <v>906</v>
      </c>
      <c r="AL32" t="s">
        <v>199</v>
      </c>
      <c r="AM32" t="s">
        <v>543</v>
      </c>
      <c r="AN32" t="s">
        <v>907</v>
      </c>
      <c r="AO32" t="s">
        <v>125</v>
      </c>
      <c r="AP32">
        <v>7.0</v>
      </c>
      <c r="AQ32" t="s">
        <v>908</v>
      </c>
      <c r="AR32" t="s">
        <v>909</v>
      </c>
      <c r="AS32" t="b">
        <v>0</v>
      </c>
      <c r="AU32" t="s">
        <v>168</v>
      </c>
      <c r="AV32">
        <v>7.0</v>
      </c>
      <c r="AW32" t="b">
        <v>0</v>
      </c>
      <c r="AZ32" t="b">
        <v>0</v>
      </c>
      <c r="BA32" t="b">
        <v>0</v>
      </c>
      <c r="BD32" t="s">
        <v>910</v>
      </c>
      <c r="BE32" s="4" t="s">
        <v>130</v>
      </c>
      <c r="BF32" t="s">
        <v>911</v>
      </c>
      <c r="BG32" t="s">
        <v>912</v>
      </c>
      <c r="BH32" t="s">
        <v>132</v>
      </c>
      <c r="BI32">
        <v>1.0</v>
      </c>
      <c r="BJ32" t="s">
        <v>913</v>
      </c>
      <c r="BK32">
        <v>7.0</v>
      </c>
      <c r="BL32">
        <v>7.0</v>
      </c>
      <c r="BM32" t="s">
        <v>914</v>
      </c>
      <c r="BN32">
        <v>1.0</v>
      </c>
      <c r="BO32">
        <v>7.0</v>
      </c>
      <c r="BP32" t="s">
        <v>915</v>
      </c>
      <c r="BQ32" t="s">
        <v>916</v>
      </c>
      <c r="BR32" t="s">
        <v>917</v>
      </c>
      <c r="BS32" t="s">
        <v>918</v>
      </c>
      <c r="BT32" t="s">
        <v>919</v>
      </c>
      <c r="BU32" t="s">
        <v>920</v>
      </c>
      <c r="BV32" s="3" t="s">
        <v>921</v>
      </c>
      <c r="BW32" t="b">
        <v>1</v>
      </c>
      <c r="BX32" t="s">
        <v>180</v>
      </c>
      <c r="BY32" t="s">
        <v>140</v>
      </c>
      <c r="CA32" t="s">
        <v>141</v>
      </c>
      <c r="CD32">
        <v>0.0</v>
      </c>
      <c r="CZ32" s="5">
        <v>44201.729629629626</v>
      </c>
      <c r="DA32" t="s">
        <v>922</v>
      </c>
    </row>
    <row r="33">
      <c r="A33" t="s">
        <v>98</v>
      </c>
      <c r="B33" t="s">
        <v>99</v>
      </c>
      <c r="D33" t="s">
        <v>374</v>
      </c>
      <c r="E33" t="s">
        <v>923</v>
      </c>
      <c r="F33" s="2">
        <v>38932.0</v>
      </c>
      <c r="G33" t="s">
        <v>102</v>
      </c>
      <c r="I33" s="3" t="s">
        <v>924</v>
      </c>
      <c r="J33" t="s">
        <v>925</v>
      </c>
      <c r="K33" t="b">
        <v>1</v>
      </c>
      <c r="L33" s="4" t="s">
        <v>926</v>
      </c>
      <c r="M33" t="s">
        <v>927</v>
      </c>
      <c r="N33" t="s">
        <v>255</v>
      </c>
      <c r="O33" t="s">
        <v>928</v>
      </c>
      <c r="P33" t="s">
        <v>929</v>
      </c>
      <c r="Q33" t="s">
        <v>189</v>
      </c>
      <c r="R33" t="s">
        <v>930</v>
      </c>
      <c r="S33" t="s">
        <v>931</v>
      </c>
      <c r="T33" s="4" t="s">
        <v>932</v>
      </c>
      <c r="U33" t="s">
        <v>933</v>
      </c>
      <c r="V33" t="s">
        <v>934</v>
      </c>
      <c r="W33" t="s">
        <v>113</v>
      </c>
      <c r="Y33" t="s">
        <v>158</v>
      </c>
      <c r="Z33" t="s">
        <v>384</v>
      </c>
      <c r="AC33" s="3" t="s">
        <v>935</v>
      </c>
      <c r="AD33" t="s">
        <v>118</v>
      </c>
      <c r="AE33" t="s">
        <v>729</v>
      </c>
      <c r="AF33" t="s">
        <v>936</v>
      </c>
      <c r="AG33">
        <v>12.0</v>
      </c>
      <c r="AI33" t="s">
        <v>162</v>
      </c>
      <c r="AJ33" t="s">
        <v>300</v>
      </c>
      <c r="AK33" t="s">
        <v>937</v>
      </c>
      <c r="AL33" t="s">
        <v>938</v>
      </c>
      <c r="AM33" t="s">
        <v>200</v>
      </c>
      <c r="AO33" t="s">
        <v>335</v>
      </c>
      <c r="AP33">
        <v>7.0</v>
      </c>
      <c r="AQ33" t="s">
        <v>303</v>
      </c>
      <c r="AR33" t="s">
        <v>939</v>
      </c>
      <c r="AS33" t="b">
        <v>1</v>
      </c>
      <c r="AT33" t="b">
        <v>0</v>
      </c>
      <c r="AU33" t="s">
        <v>786</v>
      </c>
      <c r="AV33">
        <v>4.0</v>
      </c>
      <c r="AW33" t="b">
        <v>0</v>
      </c>
      <c r="AZ33" t="b">
        <v>0</v>
      </c>
      <c r="BA33" t="b">
        <v>0</v>
      </c>
      <c r="BD33" t="s">
        <v>940</v>
      </c>
      <c r="BE33" s="4" t="s">
        <v>130</v>
      </c>
      <c r="BF33" s="4" t="s">
        <v>130</v>
      </c>
      <c r="BG33" s="4" t="s">
        <v>941</v>
      </c>
      <c r="BH33" t="s">
        <v>132</v>
      </c>
      <c r="BI33">
        <v>1.0</v>
      </c>
      <c r="BJ33" t="s">
        <v>942</v>
      </c>
      <c r="BK33">
        <v>2.0</v>
      </c>
      <c r="BL33">
        <v>4.0</v>
      </c>
      <c r="BM33" t="s">
        <v>943</v>
      </c>
      <c r="BN33">
        <v>1.0</v>
      </c>
      <c r="BO33">
        <v>4.0</v>
      </c>
      <c r="BP33" t="s">
        <v>944</v>
      </c>
      <c r="BQ33" t="s">
        <v>945</v>
      </c>
      <c r="BR33" t="s">
        <v>946</v>
      </c>
      <c r="BS33" t="s">
        <v>947</v>
      </c>
      <c r="BT33" t="s">
        <v>948</v>
      </c>
      <c r="BU33" t="s">
        <v>949</v>
      </c>
      <c r="BV33" s="3" t="s">
        <v>950</v>
      </c>
      <c r="BW33" t="b">
        <v>1</v>
      </c>
      <c r="BX33" t="s">
        <v>180</v>
      </c>
      <c r="BY33" t="s">
        <v>140</v>
      </c>
      <c r="CA33" t="s">
        <v>141</v>
      </c>
      <c r="CD33">
        <v>0.0</v>
      </c>
      <c r="CZ33" s="5">
        <v>44201.73075231481</v>
      </c>
      <c r="DA33" t="s">
        <v>951</v>
      </c>
    </row>
    <row r="34">
      <c r="A34" t="s">
        <v>98</v>
      </c>
      <c r="B34" t="s">
        <v>99</v>
      </c>
      <c r="D34" t="s">
        <v>952</v>
      </c>
      <c r="E34" t="s">
        <v>953</v>
      </c>
      <c r="F34" s="2">
        <v>38440.0</v>
      </c>
      <c r="G34" t="s">
        <v>285</v>
      </c>
      <c r="I34" s="3" t="s">
        <v>954</v>
      </c>
      <c r="J34" t="s">
        <v>955</v>
      </c>
      <c r="K34" t="b">
        <v>1</v>
      </c>
      <c r="L34" s="4" t="s">
        <v>956</v>
      </c>
      <c r="M34" t="s">
        <v>957</v>
      </c>
      <c r="N34" t="s">
        <v>149</v>
      </c>
      <c r="O34" t="s">
        <v>958</v>
      </c>
      <c r="P34" t="s">
        <v>959</v>
      </c>
      <c r="Q34" t="s">
        <v>189</v>
      </c>
      <c r="R34" t="s">
        <v>955</v>
      </c>
      <c r="S34" t="s">
        <v>960</v>
      </c>
      <c r="T34" s="4" t="s">
        <v>961</v>
      </c>
      <c r="U34" t="s">
        <v>962</v>
      </c>
      <c r="V34" t="s">
        <v>963</v>
      </c>
      <c r="W34" t="s">
        <v>113</v>
      </c>
      <c r="Y34" t="s">
        <v>158</v>
      </c>
      <c r="Z34" t="s">
        <v>195</v>
      </c>
      <c r="AC34" s="3" t="s">
        <v>964</v>
      </c>
      <c r="AD34" t="s">
        <v>118</v>
      </c>
      <c r="AE34" t="s">
        <v>729</v>
      </c>
      <c r="AF34" t="s">
        <v>965</v>
      </c>
      <c r="AG34">
        <v>14.0</v>
      </c>
      <c r="AI34" t="s">
        <v>162</v>
      </c>
      <c r="AJ34" t="s">
        <v>387</v>
      </c>
      <c r="AK34" t="s">
        <v>966</v>
      </c>
      <c r="AL34" t="s">
        <v>967</v>
      </c>
      <c r="AM34" t="s">
        <v>543</v>
      </c>
      <c r="AN34" t="s">
        <v>968</v>
      </c>
      <c r="AO34" t="s">
        <v>335</v>
      </c>
      <c r="AP34">
        <v>7.0</v>
      </c>
      <c r="AQ34" t="s">
        <v>415</v>
      </c>
      <c r="AR34" t="s">
        <v>969</v>
      </c>
      <c r="AS34" t="b">
        <v>1</v>
      </c>
      <c r="AT34" t="b">
        <v>1</v>
      </c>
      <c r="AU34" t="s">
        <v>705</v>
      </c>
      <c r="AV34">
        <v>5.0</v>
      </c>
      <c r="AW34" t="b">
        <v>0</v>
      </c>
      <c r="AZ34" t="b">
        <v>1</v>
      </c>
      <c r="BA34" t="b">
        <v>0</v>
      </c>
      <c r="BD34" t="s">
        <v>970</v>
      </c>
      <c r="BE34" t="s">
        <v>971</v>
      </c>
      <c r="BF34" t="s">
        <v>972</v>
      </c>
      <c r="BG34" t="s">
        <v>973</v>
      </c>
      <c r="BH34" t="s">
        <v>974</v>
      </c>
      <c r="BL34">
        <v>4.0</v>
      </c>
      <c r="BM34" t="s">
        <v>975</v>
      </c>
      <c r="BN34">
        <v>4.0</v>
      </c>
      <c r="BO34">
        <v>6.0</v>
      </c>
      <c r="BP34" t="s">
        <v>976</v>
      </c>
      <c r="BQ34" t="s">
        <v>977</v>
      </c>
      <c r="BR34" t="s">
        <v>978</v>
      </c>
      <c r="BS34" t="s">
        <v>979</v>
      </c>
      <c r="BT34" t="s">
        <v>980</v>
      </c>
      <c r="BU34" t="s">
        <v>981</v>
      </c>
      <c r="BV34" s="3" t="s">
        <v>982</v>
      </c>
      <c r="BW34" t="b">
        <v>1</v>
      </c>
      <c r="BX34" t="s">
        <v>180</v>
      </c>
      <c r="BY34" t="s">
        <v>140</v>
      </c>
      <c r="CA34" t="s">
        <v>141</v>
      </c>
      <c r="CD34">
        <v>0.0</v>
      </c>
      <c r="CZ34" s="5">
        <v>44201.750439814816</v>
      </c>
      <c r="DA34" t="s">
        <v>983</v>
      </c>
    </row>
    <row r="35">
      <c r="A35" t="s">
        <v>98</v>
      </c>
      <c r="B35" t="s">
        <v>99</v>
      </c>
      <c r="D35" t="s">
        <v>984</v>
      </c>
      <c r="E35" t="s">
        <v>985</v>
      </c>
      <c r="F35" s="2">
        <v>38289.0</v>
      </c>
      <c r="G35" t="s">
        <v>102</v>
      </c>
      <c r="I35" s="3" t="s">
        <v>986</v>
      </c>
      <c r="J35" t="s">
        <v>987</v>
      </c>
      <c r="K35" t="b">
        <v>1</v>
      </c>
      <c r="L35" s="4" t="s">
        <v>988</v>
      </c>
      <c r="M35" t="s">
        <v>989</v>
      </c>
      <c r="N35" t="s">
        <v>149</v>
      </c>
      <c r="O35" t="s">
        <v>990</v>
      </c>
      <c r="P35" t="s">
        <v>991</v>
      </c>
      <c r="Q35" t="s">
        <v>189</v>
      </c>
      <c r="R35" t="s">
        <v>992</v>
      </c>
      <c r="S35" t="s">
        <v>993</v>
      </c>
      <c r="T35" s="4" t="s">
        <v>994</v>
      </c>
      <c r="U35" t="s">
        <v>995</v>
      </c>
      <c r="V35" t="s">
        <v>934</v>
      </c>
      <c r="W35" t="s">
        <v>113</v>
      </c>
      <c r="Y35" t="s">
        <v>158</v>
      </c>
      <c r="Z35" t="s">
        <v>195</v>
      </c>
      <c r="AC35" s="3" t="s">
        <v>996</v>
      </c>
      <c r="AD35" t="s">
        <v>118</v>
      </c>
      <c r="AE35" t="s">
        <v>729</v>
      </c>
      <c r="AF35" t="s">
        <v>197</v>
      </c>
      <c r="AG35">
        <v>8.0</v>
      </c>
      <c r="AI35" t="s">
        <v>162</v>
      </c>
      <c r="AJ35" t="s">
        <v>198</v>
      </c>
      <c r="AK35" t="s">
        <v>179</v>
      </c>
      <c r="AL35" t="s">
        <v>199</v>
      </c>
      <c r="AM35" t="s">
        <v>388</v>
      </c>
      <c r="AO35" t="s">
        <v>335</v>
      </c>
      <c r="AP35">
        <v>1.0</v>
      </c>
      <c r="AQ35" t="s">
        <v>461</v>
      </c>
      <c r="AR35" t="s">
        <v>997</v>
      </c>
      <c r="AS35" t="b">
        <v>0</v>
      </c>
      <c r="AU35" t="s">
        <v>998</v>
      </c>
      <c r="AV35">
        <v>5.0</v>
      </c>
      <c r="AW35" t="b">
        <v>0</v>
      </c>
      <c r="AZ35" t="b">
        <v>1</v>
      </c>
      <c r="BA35" t="b">
        <v>1</v>
      </c>
      <c r="BB35" t="b">
        <v>0</v>
      </c>
      <c r="BC35" t="s">
        <v>999</v>
      </c>
      <c r="BE35" t="s">
        <v>309</v>
      </c>
      <c r="BF35" s="4" t="s">
        <v>339</v>
      </c>
      <c r="BG35" s="4" t="s">
        <v>1000</v>
      </c>
      <c r="BH35" t="s">
        <v>132</v>
      </c>
      <c r="BI35">
        <v>5.0</v>
      </c>
      <c r="BJ35" t="s">
        <v>1001</v>
      </c>
      <c r="BK35">
        <v>4.0</v>
      </c>
      <c r="BL35">
        <v>3.0</v>
      </c>
      <c r="BM35" t="s">
        <v>1001</v>
      </c>
      <c r="BN35">
        <v>3.0</v>
      </c>
      <c r="BO35">
        <v>6.0</v>
      </c>
      <c r="BP35" t="s">
        <v>1002</v>
      </c>
      <c r="BQ35" t="s">
        <v>1003</v>
      </c>
      <c r="BR35" t="s">
        <v>1004</v>
      </c>
      <c r="BS35" t="s">
        <v>1005</v>
      </c>
      <c r="BT35" t="s">
        <v>628</v>
      </c>
      <c r="BU35" t="s">
        <v>1006</v>
      </c>
      <c r="BV35" s="3" t="s">
        <v>1007</v>
      </c>
      <c r="BW35" t="b">
        <v>1</v>
      </c>
      <c r="BX35" t="s">
        <v>180</v>
      </c>
      <c r="BY35" t="s">
        <v>140</v>
      </c>
      <c r="CA35" t="s">
        <v>141</v>
      </c>
      <c r="CD35">
        <v>0.0</v>
      </c>
      <c r="CZ35" s="5">
        <v>44201.75586805555</v>
      </c>
      <c r="DA35" t="s">
        <v>1008</v>
      </c>
    </row>
    <row r="36">
      <c r="A36" t="s">
        <v>98</v>
      </c>
      <c r="B36" t="s">
        <v>99</v>
      </c>
      <c r="D36" t="s">
        <v>1009</v>
      </c>
      <c r="E36" t="s">
        <v>1010</v>
      </c>
      <c r="F36" s="2">
        <v>38452.0</v>
      </c>
      <c r="G36" t="s">
        <v>102</v>
      </c>
      <c r="I36" s="3" t="s">
        <v>1011</v>
      </c>
      <c r="J36" t="s">
        <v>1012</v>
      </c>
      <c r="K36" t="b">
        <v>0</v>
      </c>
      <c r="M36" t="s">
        <v>1013</v>
      </c>
      <c r="N36" t="s">
        <v>354</v>
      </c>
      <c r="O36" t="s">
        <v>1014</v>
      </c>
      <c r="P36" t="s">
        <v>1015</v>
      </c>
      <c r="Q36" t="s">
        <v>189</v>
      </c>
      <c r="R36" t="s">
        <v>1012</v>
      </c>
      <c r="S36" t="s">
        <v>1016</v>
      </c>
      <c r="T36" s="4" t="s">
        <v>1017</v>
      </c>
      <c r="U36" t="s">
        <v>933</v>
      </c>
      <c r="V36" t="s">
        <v>934</v>
      </c>
      <c r="W36" t="s">
        <v>113</v>
      </c>
      <c r="Y36" t="s">
        <v>158</v>
      </c>
      <c r="Z36" t="s">
        <v>195</v>
      </c>
      <c r="AC36" s="3" t="s">
        <v>1018</v>
      </c>
      <c r="AD36" t="s">
        <v>118</v>
      </c>
      <c r="AE36" t="s">
        <v>729</v>
      </c>
      <c r="AF36" t="s">
        <v>1019</v>
      </c>
      <c r="AG36">
        <v>14.0</v>
      </c>
      <c r="AI36" t="s">
        <v>386</v>
      </c>
      <c r="AJ36" t="s">
        <v>387</v>
      </c>
      <c r="AK36" t="s">
        <v>1020</v>
      </c>
      <c r="AL36" t="s">
        <v>199</v>
      </c>
      <c r="AM36" t="s">
        <v>388</v>
      </c>
      <c r="AO36" t="s">
        <v>335</v>
      </c>
      <c r="AP36">
        <v>7.0</v>
      </c>
      <c r="AQ36" t="s">
        <v>201</v>
      </c>
      <c r="AR36" t="s">
        <v>1021</v>
      </c>
      <c r="AS36" t="b">
        <v>0</v>
      </c>
      <c r="AU36" t="s">
        <v>390</v>
      </c>
      <c r="AV36">
        <v>7.0</v>
      </c>
      <c r="AW36" t="b">
        <v>0</v>
      </c>
      <c r="AZ36" t="b">
        <v>0</v>
      </c>
      <c r="BA36" t="b">
        <v>0</v>
      </c>
      <c r="BD36" t="s">
        <v>1021</v>
      </c>
      <c r="BE36" s="4" t="s">
        <v>130</v>
      </c>
      <c r="BF36" s="4" t="s">
        <v>130</v>
      </c>
      <c r="BG36" s="4" t="s">
        <v>1022</v>
      </c>
      <c r="BH36" t="s">
        <v>132</v>
      </c>
      <c r="BI36">
        <v>1.0</v>
      </c>
      <c r="BJ36" t="s">
        <v>1023</v>
      </c>
      <c r="BK36">
        <v>5.0</v>
      </c>
      <c r="BL36">
        <v>7.0</v>
      </c>
      <c r="BM36" t="s">
        <v>1024</v>
      </c>
      <c r="BN36">
        <v>1.0</v>
      </c>
      <c r="BO36">
        <v>3.0</v>
      </c>
      <c r="BP36" t="s">
        <v>1025</v>
      </c>
      <c r="BQ36" t="s">
        <v>945</v>
      </c>
      <c r="BR36" t="s">
        <v>1026</v>
      </c>
      <c r="BS36" t="s">
        <v>1027</v>
      </c>
      <c r="BT36" t="s">
        <v>1028</v>
      </c>
      <c r="BU36" t="s">
        <v>179</v>
      </c>
      <c r="BV36" s="3" t="s">
        <v>1029</v>
      </c>
      <c r="BW36" t="b">
        <v>1</v>
      </c>
      <c r="BX36" t="s">
        <v>180</v>
      </c>
      <c r="BY36" t="s">
        <v>140</v>
      </c>
      <c r="CA36" t="s">
        <v>141</v>
      </c>
      <c r="CD36">
        <v>0.0</v>
      </c>
      <c r="CZ36" s="5">
        <v>44201.759201388886</v>
      </c>
      <c r="DA36" t="s">
        <v>1030</v>
      </c>
    </row>
    <row r="37">
      <c r="A37" t="s">
        <v>98</v>
      </c>
      <c r="B37" t="s">
        <v>99</v>
      </c>
      <c r="D37" t="s">
        <v>1031</v>
      </c>
      <c r="E37" t="s">
        <v>1032</v>
      </c>
      <c r="F37" s="2">
        <v>38558.0</v>
      </c>
      <c r="G37" t="s">
        <v>285</v>
      </c>
      <c r="I37" s="3" t="s">
        <v>1033</v>
      </c>
      <c r="J37" t="s">
        <v>1034</v>
      </c>
      <c r="K37" t="b">
        <v>1</v>
      </c>
      <c r="L37" s="4" t="s">
        <v>1035</v>
      </c>
      <c r="M37" t="s">
        <v>1036</v>
      </c>
      <c r="N37" t="s">
        <v>354</v>
      </c>
      <c r="O37" t="s">
        <v>1037</v>
      </c>
      <c r="P37" t="s">
        <v>1038</v>
      </c>
      <c r="Q37" t="s">
        <v>189</v>
      </c>
      <c r="R37" t="s">
        <v>1034</v>
      </c>
      <c r="S37" t="s">
        <v>1036</v>
      </c>
      <c r="T37" s="4" t="s">
        <v>1035</v>
      </c>
      <c r="U37" t="s">
        <v>1039</v>
      </c>
      <c r="V37" t="s">
        <v>1040</v>
      </c>
      <c r="W37" t="s">
        <v>113</v>
      </c>
      <c r="Y37" t="s">
        <v>158</v>
      </c>
      <c r="Z37" t="s">
        <v>384</v>
      </c>
      <c r="AC37" s="3" t="s">
        <v>1041</v>
      </c>
      <c r="AD37" t="s">
        <v>118</v>
      </c>
      <c r="AE37" t="s">
        <v>729</v>
      </c>
      <c r="AF37" t="s">
        <v>197</v>
      </c>
      <c r="AG37">
        <v>13.0</v>
      </c>
      <c r="AI37" t="s">
        <v>162</v>
      </c>
      <c r="AJ37" t="s">
        <v>387</v>
      </c>
      <c r="AK37" t="s">
        <v>1042</v>
      </c>
      <c r="AL37" t="s">
        <v>1043</v>
      </c>
      <c r="AM37" t="s">
        <v>200</v>
      </c>
      <c r="AO37" t="s">
        <v>125</v>
      </c>
      <c r="AP37">
        <v>7.0</v>
      </c>
      <c r="AQ37" t="s">
        <v>303</v>
      </c>
      <c r="AR37" t="s">
        <v>1044</v>
      </c>
      <c r="AS37" t="b">
        <v>1</v>
      </c>
      <c r="AT37" t="b">
        <v>1</v>
      </c>
      <c r="AU37" t="s">
        <v>705</v>
      </c>
      <c r="AV37">
        <v>7.0</v>
      </c>
      <c r="AW37" t="b">
        <v>1</v>
      </c>
      <c r="AX37" s="4" t="s">
        <v>270</v>
      </c>
      <c r="AY37" t="s">
        <v>1045</v>
      </c>
      <c r="AZ37" t="b">
        <v>1</v>
      </c>
      <c r="BA37" t="b">
        <v>0</v>
      </c>
      <c r="BD37" t="s">
        <v>1046</v>
      </c>
      <c r="BE37" t="s">
        <v>1047</v>
      </c>
      <c r="BF37" t="s">
        <v>1047</v>
      </c>
      <c r="BG37" s="4" t="s">
        <v>465</v>
      </c>
      <c r="BH37" t="s">
        <v>132</v>
      </c>
      <c r="BI37">
        <v>2.0</v>
      </c>
      <c r="BJ37" t="s">
        <v>679</v>
      </c>
      <c r="BK37">
        <v>7.0</v>
      </c>
      <c r="BL37">
        <v>4.0</v>
      </c>
      <c r="BM37" t="s">
        <v>1048</v>
      </c>
      <c r="BN37">
        <v>2.0</v>
      </c>
      <c r="BO37">
        <v>7.0</v>
      </c>
      <c r="BP37" t="s">
        <v>1049</v>
      </c>
      <c r="BQ37" t="s">
        <v>1050</v>
      </c>
      <c r="BR37" t="s">
        <v>1051</v>
      </c>
      <c r="BS37" t="s">
        <v>1052</v>
      </c>
      <c r="BT37" t="s">
        <v>1053</v>
      </c>
      <c r="BU37" t="s">
        <v>1054</v>
      </c>
      <c r="BV37" s="3" t="s">
        <v>1055</v>
      </c>
      <c r="BW37" t="b">
        <v>1</v>
      </c>
      <c r="BX37" t="s">
        <v>180</v>
      </c>
      <c r="BY37" t="s">
        <v>140</v>
      </c>
      <c r="CA37" t="s">
        <v>141</v>
      </c>
      <c r="CD37">
        <v>0.0</v>
      </c>
      <c r="CZ37" s="5">
        <v>44201.78579861111</v>
      </c>
      <c r="DA37" t="s">
        <v>1056</v>
      </c>
    </row>
    <row r="38">
      <c r="A38" t="s">
        <v>98</v>
      </c>
      <c r="B38" t="s">
        <v>99</v>
      </c>
      <c r="D38" t="s">
        <v>1057</v>
      </c>
      <c r="E38" t="s">
        <v>1058</v>
      </c>
      <c r="F38" s="2">
        <v>38282.0</v>
      </c>
      <c r="G38" t="s">
        <v>102</v>
      </c>
      <c r="I38" s="3" t="s">
        <v>1059</v>
      </c>
      <c r="J38" t="s">
        <v>1060</v>
      </c>
      <c r="K38" t="b">
        <v>1</v>
      </c>
      <c r="L38" s="4" t="s">
        <v>1061</v>
      </c>
      <c r="M38" t="s">
        <v>1062</v>
      </c>
      <c r="N38" t="s">
        <v>354</v>
      </c>
      <c r="O38" t="s">
        <v>1063</v>
      </c>
      <c r="P38" t="s">
        <v>1064</v>
      </c>
      <c r="Q38" t="s">
        <v>189</v>
      </c>
      <c r="R38" t="s">
        <v>1060</v>
      </c>
      <c r="S38" t="s">
        <v>1065</v>
      </c>
      <c r="T38" s="4" t="s">
        <v>1066</v>
      </c>
      <c r="U38" t="s">
        <v>1067</v>
      </c>
      <c r="V38" t="s">
        <v>1068</v>
      </c>
      <c r="W38" t="s">
        <v>113</v>
      </c>
      <c r="Y38" t="s">
        <v>158</v>
      </c>
      <c r="Z38" t="s">
        <v>195</v>
      </c>
      <c r="AC38" s="3" t="s">
        <v>1069</v>
      </c>
      <c r="AD38" t="s">
        <v>118</v>
      </c>
      <c r="AE38" t="s">
        <v>729</v>
      </c>
      <c r="AF38" t="s">
        <v>197</v>
      </c>
      <c r="AG38">
        <v>14.0</v>
      </c>
      <c r="AI38" t="s">
        <v>162</v>
      </c>
      <c r="AJ38" t="s">
        <v>198</v>
      </c>
      <c r="AK38" t="s">
        <v>1020</v>
      </c>
      <c r="AL38" t="s">
        <v>199</v>
      </c>
      <c r="AM38" t="s">
        <v>388</v>
      </c>
      <c r="AO38" t="s">
        <v>335</v>
      </c>
      <c r="AP38">
        <v>6.0</v>
      </c>
      <c r="AQ38" t="s">
        <v>1070</v>
      </c>
      <c r="AR38" t="s">
        <v>1071</v>
      </c>
      <c r="AS38" t="b">
        <v>0</v>
      </c>
      <c r="AU38" t="s">
        <v>705</v>
      </c>
      <c r="AV38">
        <v>7.0</v>
      </c>
      <c r="AW38" t="b">
        <v>0</v>
      </c>
      <c r="AZ38" t="b">
        <v>0</v>
      </c>
      <c r="BA38" t="b">
        <v>0</v>
      </c>
      <c r="BD38" t="s">
        <v>1072</v>
      </c>
      <c r="BE38" s="4" t="s">
        <v>130</v>
      </c>
      <c r="BF38" s="4" t="s">
        <v>130</v>
      </c>
      <c r="BG38" s="4" t="s">
        <v>1073</v>
      </c>
      <c r="BH38" t="s">
        <v>132</v>
      </c>
      <c r="BI38">
        <v>1.0</v>
      </c>
      <c r="BJ38" s="4" t="s">
        <v>130</v>
      </c>
      <c r="BK38">
        <v>5.0</v>
      </c>
      <c r="BL38">
        <v>6.0</v>
      </c>
      <c r="BM38" t="s">
        <v>1074</v>
      </c>
      <c r="BN38">
        <v>2.0</v>
      </c>
      <c r="BO38">
        <v>7.0</v>
      </c>
      <c r="BP38" t="s">
        <v>1075</v>
      </c>
      <c r="BQ38" t="s">
        <v>945</v>
      </c>
      <c r="BR38" t="s">
        <v>1076</v>
      </c>
      <c r="BS38" t="s">
        <v>1077</v>
      </c>
      <c r="BT38" t="s">
        <v>1028</v>
      </c>
      <c r="BU38" t="s">
        <v>179</v>
      </c>
      <c r="BV38" s="3" t="s">
        <v>1078</v>
      </c>
      <c r="BW38" t="b">
        <v>1</v>
      </c>
      <c r="BX38" t="s">
        <v>180</v>
      </c>
      <c r="BY38" t="s">
        <v>140</v>
      </c>
      <c r="CA38" t="s">
        <v>141</v>
      </c>
      <c r="CD38">
        <v>0.0</v>
      </c>
      <c r="CZ38" s="5">
        <v>44201.80671296296</v>
      </c>
      <c r="DA38" t="s">
        <v>1079</v>
      </c>
    </row>
    <row r="39">
      <c r="A39" t="s">
        <v>98</v>
      </c>
      <c r="B39" t="s">
        <v>99</v>
      </c>
      <c r="D39" t="s">
        <v>1080</v>
      </c>
      <c r="E39" t="s">
        <v>1081</v>
      </c>
      <c r="F39" s="2">
        <v>38169.0</v>
      </c>
      <c r="G39" t="s">
        <v>285</v>
      </c>
      <c r="I39" s="3" t="s">
        <v>1082</v>
      </c>
      <c r="J39" t="s">
        <v>1083</v>
      </c>
      <c r="K39" t="b">
        <v>1</v>
      </c>
      <c r="L39" s="4" t="s">
        <v>1084</v>
      </c>
      <c r="M39" t="s">
        <v>1085</v>
      </c>
      <c r="N39" t="s">
        <v>354</v>
      </c>
      <c r="O39" t="s">
        <v>1086</v>
      </c>
      <c r="P39" t="s">
        <v>1087</v>
      </c>
      <c r="Q39" t="s">
        <v>189</v>
      </c>
      <c r="R39" t="s">
        <v>1088</v>
      </c>
      <c r="S39" t="s">
        <v>1089</v>
      </c>
      <c r="T39" s="4" t="s">
        <v>1090</v>
      </c>
      <c r="U39" t="s">
        <v>933</v>
      </c>
      <c r="V39" t="s">
        <v>1091</v>
      </c>
      <c r="W39" t="s">
        <v>113</v>
      </c>
      <c r="Y39" t="s">
        <v>158</v>
      </c>
      <c r="Z39" t="s">
        <v>195</v>
      </c>
      <c r="AC39" s="3" t="s">
        <v>1092</v>
      </c>
      <c r="AD39" t="s">
        <v>118</v>
      </c>
      <c r="AE39" t="s">
        <v>729</v>
      </c>
      <c r="AF39" t="s">
        <v>1093</v>
      </c>
      <c r="AG39">
        <v>16.0</v>
      </c>
      <c r="AI39" t="s">
        <v>121</v>
      </c>
      <c r="AJ39" t="s">
        <v>541</v>
      </c>
      <c r="AL39" t="s">
        <v>199</v>
      </c>
      <c r="AM39" t="s">
        <v>200</v>
      </c>
      <c r="AO39" t="s">
        <v>335</v>
      </c>
      <c r="AP39">
        <v>4.0</v>
      </c>
      <c r="AQ39" t="s">
        <v>126</v>
      </c>
      <c r="AR39" t="s">
        <v>1094</v>
      </c>
      <c r="AS39" t="b">
        <v>1</v>
      </c>
      <c r="AT39" t="b">
        <v>0</v>
      </c>
      <c r="AU39" t="s">
        <v>705</v>
      </c>
      <c r="AV39">
        <v>6.0</v>
      </c>
      <c r="AW39" t="b">
        <v>0</v>
      </c>
      <c r="AZ39" t="b">
        <v>0</v>
      </c>
      <c r="BA39" t="b">
        <v>0</v>
      </c>
      <c r="BD39" t="s">
        <v>1095</v>
      </c>
      <c r="BE39" s="4" t="s">
        <v>130</v>
      </c>
      <c r="BF39" t="s">
        <v>1096</v>
      </c>
      <c r="BG39" t="s">
        <v>1097</v>
      </c>
      <c r="BH39" t="s">
        <v>132</v>
      </c>
      <c r="BI39">
        <v>1.0</v>
      </c>
      <c r="BJ39" t="s">
        <v>1098</v>
      </c>
      <c r="BK39">
        <v>4.0</v>
      </c>
      <c r="BL39">
        <v>4.0</v>
      </c>
      <c r="BM39" t="s">
        <v>1099</v>
      </c>
      <c r="BN39">
        <v>2.0</v>
      </c>
      <c r="BO39">
        <v>1.0</v>
      </c>
      <c r="BP39" t="s">
        <v>1100</v>
      </c>
      <c r="BQ39" t="s">
        <v>1101</v>
      </c>
      <c r="BR39" t="s">
        <v>1102</v>
      </c>
      <c r="BS39" t="s">
        <v>1103</v>
      </c>
      <c r="BT39" t="s">
        <v>1104</v>
      </c>
      <c r="BU39" t="s">
        <v>1105</v>
      </c>
      <c r="BV39" s="3" t="s">
        <v>1106</v>
      </c>
      <c r="BW39" t="b">
        <v>1</v>
      </c>
      <c r="BX39" t="s">
        <v>180</v>
      </c>
      <c r="BY39" t="s">
        <v>140</v>
      </c>
      <c r="CA39" t="s">
        <v>141</v>
      </c>
      <c r="CD39">
        <v>0.0</v>
      </c>
      <c r="CZ39" s="5">
        <v>44201.81203703704</v>
      </c>
      <c r="DA39" t="s">
        <v>1107</v>
      </c>
    </row>
    <row r="40">
      <c r="A40" t="s">
        <v>98</v>
      </c>
      <c r="B40" t="s">
        <v>99</v>
      </c>
      <c r="D40" t="s">
        <v>1108</v>
      </c>
      <c r="E40" t="s">
        <v>1109</v>
      </c>
      <c r="F40" s="2">
        <v>38138.0</v>
      </c>
      <c r="G40" t="s">
        <v>102</v>
      </c>
      <c r="I40" s="3" t="s">
        <v>1110</v>
      </c>
      <c r="J40" t="s">
        <v>1111</v>
      </c>
      <c r="K40" t="b">
        <v>1</v>
      </c>
      <c r="L40" s="4" t="s">
        <v>1112</v>
      </c>
      <c r="M40" t="s">
        <v>1113</v>
      </c>
      <c r="N40" t="s">
        <v>149</v>
      </c>
      <c r="P40" t="s">
        <v>1114</v>
      </c>
      <c r="Q40" t="s">
        <v>189</v>
      </c>
      <c r="R40" t="s">
        <v>1115</v>
      </c>
      <c r="S40" t="s">
        <v>1113</v>
      </c>
      <c r="T40" s="4" t="s">
        <v>1116</v>
      </c>
      <c r="U40" t="s">
        <v>933</v>
      </c>
      <c r="V40" t="s">
        <v>934</v>
      </c>
      <c r="W40" t="s">
        <v>113</v>
      </c>
      <c r="Y40" t="s">
        <v>158</v>
      </c>
      <c r="Z40" t="s">
        <v>195</v>
      </c>
      <c r="AC40" s="3" t="s">
        <v>1117</v>
      </c>
      <c r="AD40" t="s">
        <v>118</v>
      </c>
      <c r="AE40" t="s">
        <v>729</v>
      </c>
      <c r="AF40" t="s">
        <v>1118</v>
      </c>
      <c r="AG40">
        <v>15.0</v>
      </c>
      <c r="AI40" t="s">
        <v>162</v>
      </c>
      <c r="AJ40" t="s">
        <v>387</v>
      </c>
      <c r="AK40" t="s">
        <v>1119</v>
      </c>
      <c r="AL40" t="s">
        <v>1120</v>
      </c>
      <c r="AM40" t="s">
        <v>543</v>
      </c>
      <c r="AN40" t="s">
        <v>1121</v>
      </c>
      <c r="AO40" t="s">
        <v>335</v>
      </c>
      <c r="AP40">
        <v>5.0</v>
      </c>
      <c r="AQ40" t="s">
        <v>126</v>
      </c>
      <c r="AR40" t="s">
        <v>1122</v>
      </c>
      <c r="AS40" t="b">
        <v>1</v>
      </c>
      <c r="AT40" t="b">
        <v>1</v>
      </c>
      <c r="AU40" t="s">
        <v>1123</v>
      </c>
      <c r="AV40">
        <v>6.0</v>
      </c>
      <c r="AW40" t="b">
        <v>0</v>
      </c>
      <c r="AZ40" t="b">
        <v>1</v>
      </c>
      <c r="BA40" t="b">
        <v>0</v>
      </c>
      <c r="BD40" t="s">
        <v>1124</v>
      </c>
      <c r="BE40" s="4" t="s">
        <v>130</v>
      </c>
      <c r="BF40" s="4" t="s">
        <v>339</v>
      </c>
      <c r="BG40" s="4" t="s">
        <v>941</v>
      </c>
      <c r="BH40" t="s">
        <v>132</v>
      </c>
      <c r="BI40">
        <v>4.0</v>
      </c>
      <c r="BJ40" t="s">
        <v>1125</v>
      </c>
      <c r="BK40">
        <v>3.0</v>
      </c>
      <c r="BL40">
        <v>3.0</v>
      </c>
      <c r="BM40" t="s">
        <v>1126</v>
      </c>
      <c r="BN40">
        <v>3.0</v>
      </c>
      <c r="BO40">
        <v>5.0</v>
      </c>
      <c r="BP40" t="s">
        <v>1127</v>
      </c>
      <c r="BQ40" t="s">
        <v>1128</v>
      </c>
      <c r="BR40" t="s">
        <v>1129</v>
      </c>
      <c r="BS40" t="s">
        <v>1130</v>
      </c>
      <c r="BT40" t="s">
        <v>919</v>
      </c>
      <c r="BU40" t="s">
        <v>1131</v>
      </c>
      <c r="BV40" s="3" t="s">
        <v>1132</v>
      </c>
      <c r="BW40" t="b">
        <v>1</v>
      </c>
      <c r="BX40" t="s">
        <v>180</v>
      </c>
      <c r="BY40" t="s">
        <v>140</v>
      </c>
      <c r="CA40" t="s">
        <v>141</v>
      </c>
      <c r="CD40">
        <v>0.0</v>
      </c>
      <c r="CZ40" s="5">
        <v>44201.97528935185</v>
      </c>
      <c r="DA40" t="s">
        <v>1133</v>
      </c>
    </row>
    <row r="41">
      <c r="A41" t="s">
        <v>98</v>
      </c>
      <c r="B41" t="s">
        <v>99</v>
      </c>
      <c r="D41" t="s">
        <v>1134</v>
      </c>
      <c r="E41" t="s">
        <v>1135</v>
      </c>
      <c r="F41" s="2">
        <v>38813.0</v>
      </c>
      <c r="G41" t="s">
        <v>102</v>
      </c>
      <c r="I41" s="3" t="s">
        <v>1136</v>
      </c>
      <c r="J41" t="s">
        <v>1137</v>
      </c>
      <c r="K41" t="b">
        <v>1</v>
      </c>
      <c r="L41" s="4" t="s">
        <v>1138</v>
      </c>
      <c r="M41" t="s">
        <v>1139</v>
      </c>
      <c r="N41" t="s">
        <v>354</v>
      </c>
      <c r="O41" t="s">
        <v>1140</v>
      </c>
      <c r="P41" t="s">
        <v>1141</v>
      </c>
      <c r="Q41" t="s">
        <v>189</v>
      </c>
      <c r="R41" t="s">
        <v>1115</v>
      </c>
      <c r="S41" t="s">
        <v>1142</v>
      </c>
      <c r="T41" s="4" t="s">
        <v>1116</v>
      </c>
      <c r="U41" t="s">
        <v>933</v>
      </c>
      <c r="V41" t="s">
        <v>1143</v>
      </c>
      <c r="W41" t="s">
        <v>113</v>
      </c>
      <c r="Y41" t="s">
        <v>158</v>
      </c>
      <c r="Z41" t="s">
        <v>384</v>
      </c>
      <c r="AC41" s="3" t="s">
        <v>1144</v>
      </c>
      <c r="AD41" t="s">
        <v>118</v>
      </c>
      <c r="AE41" t="s">
        <v>729</v>
      </c>
      <c r="AF41" t="s">
        <v>197</v>
      </c>
      <c r="AG41">
        <v>13.0</v>
      </c>
      <c r="AI41" t="s">
        <v>162</v>
      </c>
      <c r="AJ41" t="s">
        <v>387</v>
      </c>
      <c r="AK41" t="s">
        <v>1145</v>
      </c>
      <c r="AL41" t="s">
        <v>199</v>
      </c>
      <c r="AM41" t="s">
        <v>543</v>
      </c>
      <c r="AN41" t="s">
        <v>1146</v>
      </c>
      <c r="AO41" t="s">
        <v>335</v>
      </c>
      <c r="AP41">
        <v>6.0</v>
      </c>
      <c r="AQ41" t="s">
        <v>201</v>
      </c>
      <c r="AR41" t="s">
        <v>1147</v>
      </c>
      <c r="AS41" t="b">
        <v>1</v>
      </c>
      <c r="AT41" t="b">
        <v>1</v>
      </c>
      <c r="AU41" t="s">
        <v>366</v>
      </c>
      <c r="AV41">
        <v>4.0</v>
      </c>
      <c r="AW41" t="b">
        <v>0</v>
      </c>
      <c r="AZ41" t="b">
        <v>0</v>
      </c>
      <c r="BA41" t="b">
        <v>0</v>
      </c>
      <c r="BD41" t="s">
        <v>179</v>
      </c>
      <c r="BE41" s="4" t="s">
        <v>130</v>
      </c>
      <c r="BF41" s="4" t="s">
        <v>130</v>
      </c>
      <c r="BG41" s="4" t="s">
        <v>1148</v>
      </c>
      <c r="BH41" t="s">
        <v>132</v>
      </c>
      <c r="BI41">
        <v>2.0</v>
      </c>
      <c r="BJ41" t="s">
        <v>1149</v>
      </c>
      <c r="BK41">
        <v>3.0</v>
      </c>
      <c r="BL41">
        <v>5.0</v>
      </c>
      <c r="BM41" t="s">
        <v>1150</v>
      </c>
      <c r="BN41">
        <v>4.0</v>
      </c>
      <c r="BO41">
        <v>7.0</v>
      </c>
      <c r="BP41" t="s">
        <v>1151</v>
      </c>
      <c r="BQ41" t="s">
        <v>916</v>
      </c>
      <c r="BR41" t="s">
        <v>1152</v>
      </c>
      <c r="BS41" t="s">
        <v>1153</v>
      </c>
      <c r="BT41" t="s">
        <v>1154</v>
      </c>
      <c r="BU41" t="s">
        <v>1155</v>
      </c>
      <c r="BV41" s="3" t="s">
        <v>1156</v>
      </c>
      <c r="BW41" t="b">
        <v>1</v>
      </c>
      <c r="BX41" t="s">
        <v>180</v>
      </c>
      <c r="BY41" t="s">
        <v>140</v>
      </c>
      <c r="CA41" t="s">
        <v>141</v>
      </c>
      <c r="CD41">
        <v>0.0</v>
      </c>
      <c r="CZ41" s="5">
        <v>44202.110983796294</v>
      </c>
      <c r="DA41" t="s">
        <v>1157</v>
      </c>
    </row>
    <row r="42">
      <c r="A42" t="s">
        <v>98</v>
      </c>
      <c r="B42" t="s">
        <v>99</v>
      </c>
      <c r="D42" t="s">
        <v>1158</v>
      </c>
      <c r="E42" t="s">
        <v>1159</v>
      </c>
      <c r="F42" s="2">
        <v>38162.0</v>
      </c>
      <c r="G42" t="s">
        <v>102</v>
      </c>
      <c r="I42" s="3" t="s">
        <v>1160</v>
      </c>
      <c r="J42" t="s">
        <v>1161</v>
      </c>
      <c r="K42" t="b">
        <v>1</v>
      </c>
      <c r="L42" s="4" t="s">
        <v>1162</v>
      </c>
      <c r="M42" t="s">
        <v>1163</v>
      </c>
      <c r="N42" t="s">
        <v>105</v>
      </c>
      <c r="O42" t="s">
        <v>1164</v>
      </c>
      <c r="P42" t="s">
        <v>1165</v>
      </c>
      <c r="Q42" t="s">
        <v>189</v>
      </c>
      <c r="R42" t="s">
        <v>1166</v>
      </c>
      <c r="S42" t="s">
        <v>1163</v>
      </c>
      <c r="T42" s="4" t="s">
        <v>1167</v>
      </c>
      <c r="U42" t="s">
        <v>1067</v>
      </c>
      <c r="V42" t="s">
        <v>1168</v>
      </c>
      <c r="W42" t="s">
        <v>113</v>
      </c>
      <c r="Y42" t="s">
        <v>158</v>
      </c>
      <c r="Z42" t="s">
        <v>195</v>
      </c>
      <c r="AC42" s="3" t="s">
        <v>1169</v>
      </c>
      <c r="AD42" t="s">
        <v>118</v>
      </c>
      <c r="AE42" t="s">
        <v>729</v>
      </c>
      <c r="AF42" t="s">
        <v>1170</v>
      </c>
      <c r="AG42">
        <v>11.0</v>
      </c>
      <c r="AI42" t="s">
        <v>386</v>
      </c>
      <c r="AJ42" t="s">
        <v>387</v>
      </c>
      <c r="AK42" t="s">
        <v>139</v>
      </c>
      <c r="AL42" t="s">
        <v>1171</v>
      </c>
      <c r="AM42" t="s">
        <v>200</v>
      </c>
      <c r="AO42" t="s">
        <v>486</v>
      </c>
      <c r="AP42">
        <v>7.0</v>
      </c>
      <c r="AQ42" t="s">
        <v>1172</v>
      </c>
      <c r="AR42" t="s">
        <v>1173</v>
      </c>
      <c r="AS42" t="b">
        <v>0</v>
      </c>
      <c r="AU42" t="s">
        <v>168</v>
      </c>
      <c r="AV42">
        <v>6.0</v>
      </c>
      <c r="AW42" t="b">
        <v>0</v>
      </c>
      <c r="AZ42" t="b">
        <v>0</v>
      </c>
      <c r="BA42" t="b">
        <v>0</v>
      </c>
      <c r="BD42" t="s">
        <v>1174</v>
      </c>
      <c r="BE42" s="4" t="s">
        <v>130</v>
      </c>
      <c r="BF42" s="4" t="s">
        <v>547</v>
      </c>
      <c r="BG42" t="s">
        <v>1175</v>
      </c>
      <c r="BH42" t="s">
        <v>132</v>
      </c>
      <c r="BI42">
        <v>7.0</v>
      </c>
      <c r="BJ42" t="s">
        <v>1176</v>
      </c>
      <c r="BK42">
        <v>3.0</v>
      </c>
      <c r="BL42">
        <v>6.0</v>
      </c>
      <c r="BM42" t="s">
        <v>1177</v>
      </c>
      <c r="BN42">
        <v>7.0</v>
      </c>
      <c r="BO42">
        <v>7.0</v>
      </c>
      <c r="BP42" t="s">
        <v>1178</v>
      </c>
      <c r="BQ42" t="s">
        <v>1179</v>
      </c>
      <c r="BR42" t="s">
        <v>1180</v>
      </c>
      <c r="BS42" t="s">
        <v>1181</v>
      </c>
      <c r="BT42" t="s">
        <v>1053</v>
      </c>
      <c r="BU42" t="s">
        <v>1182</v>
      </c>
      <c r="BV42" s="3" t="s">
        <v>1183</v>
      </c>
      <c r="BW42" t="b">
        <v>1</v>
      </c>
      <c r="BX42" t="s">
        <v>180</v>
      </c>
      <c r="BY42" t="s">
        <v>140</v>
      </c>
      <c r="CA42" t="s">
        <v>141</v>
      </c>
      <c r="CD42">
        <v>0.0</v>
      </c>
      <c r="CZ42" s="5">
        <v>44202.70431712963</v>
      </c>
      <c r="DA42" t="s">
        <v>1184</v>
      </c>
    </row>
    <row r="43">
      <c r="A43" t="s">
        <v>98</v>
      </c>
      <c r="B43" t="s">
        <v>99</v>
      </c>
      <c r="D43" t="s">
        <v>1185</v>
      </c>
      <c r="E43" t="s">
        <v>1186</v>
      </c>
      <c r="F43" s="2">
        <v>37944.0</v>
      </c>
      <c r="G43" t="s">
        <v>285</v>
      </c>
      <c r="I43" s="3" t="s">
        <v>1187</v>
      </c>
      <c r="J43" t="s">
        <v>1188</v>
      </c>
      <c r="K43" t="b">
        <v>0</v>
      </c>
      <c r="M43" t="s">
        <v>1189</v>
      </c>
      <c r="N43" t="s">
        <v>354</v>
      </c>
      <c r="O43" t="s">
        <v>1190</v>
      </c>
      <c r="P43" t="s">
        <v>1191</v>
      </c>
      <c r="Q43" t="s">
        <v>292</v>
      </c>
      <c r="R43" t="s">
        <v>1192</v>
      </c>
      <c r="S43" t="s">
        <v>1189</v>
      </c>
      <c r="T43" s="4" t="s">
        <v>1193</v>
      </c>
      <c r="U43" t="s">
        <v>1194</v>
      </c>
      <c r="V43" t="s">
        <v>934</v>
      </c>
      <c r="W43" t="s">
        <v>113</v>
      </c>
      <c r="Y43" t="s">
        <v>158</v>
      </c>
      <c r="Z43" t="s">
        <v>384</v>
      </c>
      <c r="AC43" s="3" t="s">
        <v>1195</v>
      </c>
      <c r="AD43" t="s">
        <v>118</v>
      </c>
      <c r="AE43" t="s">
        <v>729</v>
      </c>
      <c r="AF43" t="s">
        <v>1196</v>
      </c>
      <c r="AG43">
        <v>17.0</v>
      </c>
      <c r="AI43" t="s">
        <v>205</v>
      </c>
      <c r="AJ43" t="s">
        <v>387</v>
      </c>
      <c r="AL43" t="s">
        <v>199</v>
      </c>
      <c r="AM43" t="s">
        <v>388</v>
      </c>
      <c r="AO43" t="s">
        <v>335</v>
      </c>
      <c r="AP43">
        <v>4.0</v>
      </c>
      <c r="AQ43" t="s">
        <v>415</v>
      </c>
      <c r="AR43" t="s">
        <v>1197</v>
      </c>
      <c r="AS43" t="b">
        <v>0</v>
      </c>
      <c r="AU43" t="s">
        <v>164</v>
      </c>
      <c r="AV43">
        <v>4.0</v>
      </c>
      <c r="AW43" t="b">
        <v>0</v>
      </c>
      <c r="AZ43" t="b">
        <v>0</v>
      </c>
      <c r="BA43" t="b">
        <v>0</v>
      </c>
      <c r="BD43" t="s">
        <v>1198</v>
      </c>
      <c r="BE43" t="s">
        <v>1199</v>
      </c>
      <c r="BF43" t="s">
        <v>1200</v>
      </c>
      <c r="BG43" t="s">
        <v>1201</v>
      </c>
      <c r="BH43" t="s">
        <v>132</v>
      </c>
      <c r="BI43">
        <v>1.0</v>
      </c>
      <c r="BJ43" t="s">
        <v>1202</v>
      </c>
      <c r="BK43">
        <v>1.0</v>
      </c>
      <c r="BL43">
        <v>3.0</v>
      </c>
      <c r="BM43" t="s">
        <v>1203</v>
      </c>
      <c r="BN43">
        <v>2.0</v>
      </c>
      <c r="BO43">
        <v>2.0</v>
      </c>
      <c r="BP43" t="s">
        <v>1204</v>
      </c>
      <c r="BQ43" t="s">
        <v>1205</v>
      </c>
      <c r="BR43" t="s">
        <v>1206</v>
      </c>
      <c r="BS43" t="s">
        <v>1207</v>
      </c>
      <c r="BT43" t="s">
        <v>628</v>
      </c>
      <c r="BU43" t="s">
        <v>1208</v>
      </c>
      <c r="BV43" s="3" t="s">
        <v>1209</v>
      </c>
      <c r="BW43" t="b">
        <v>1</v>
      </c>
      <c r="BX43" t="s">
        <v>180</v>
      </c>
      <c r="BY43" t="s">
        <v>140</v>
      </c>
      <c r="CA43" t="s">
        <v>141</v>
      </c>
      <c r="CD43">
        <v>0.0</v>
      </c>
      <c r="CZ43" s="5">
        <v>44202.79996527778</v>
      </c>
      <c r="DA43" t="s">
        <v>1210</v>
      </c>
    </row>
    <row r="44">
      <c r="A44" t="s">
        <v>98</v>
      </c>
      <c r="B44" t="s">
        <v>99</v>
      </c>
      <c r="D44" t="s">
        <v>1211</v>
      </c>
      <c r="E44" t="s">
        <v>250</v>
      </c>
      <c r="F44" s="2">
        <v>38200.0</v>
      </c>
      <c r="G44" t="s">
        <v>102</v>
      </c>
      <c r="I44" s="3" t="s">
        <v>1212</v>
      </c>
      <c r="J44" t="s">
        <v>1213</v>
      </c>
      <c r="K44" t="b">
        <v>0</v>
      </c>
      <c r="M44" t="s">
        <v>1214</v>
      </c>
      <c r="N44" t="s">
        <v>354</v>
      </c>
      <c r="O44" t="s">
        <v>1215</v>
      </c>
      <c r="P44" t="s">
        <v>1216</v>
      </c>
      <c r="Q44" t="s">
        <v>108</v>
      </c>
      <c r="R44" t="s">
        <v>1217</v>
      </c>
      <c r="S44" t="s">
        <v>1214</v>
      </c>
      <c r="T44" s="4" t="s">
        <v>1218</v>
      </c>
      <c r="U44" t="s">
        <v>933</v>
      </c>
      <c r="V44" t="s">
        <v>934</v>
      </c>
      <c r="W44" t="s">
        <v>113</v>
      </c>
      <c r="Y44" t="s">
        <v>158</v>
      </c>
      <c r="Z44" t="s">
        <v>195</v>
      </c>
      <c r="AC44" s="3" t="s">
        <v>1219</v>
      </c>
      <c r="AD44" t="s">
        <v>118</v>
      </c>
      <c r="AE44" t="s">
        <v>1220</v>
      </c>
      <c r="AH44" t="s">
        <v>1221</v>
      </c>
      <c r="AI44" t="s">
        <v>121</v>
      </c>
      <c r="AJ44" t="s">
        <v>300</v>
      </c>
      <c r="AK44" t="s">
        <v>1222</v>
      </c>
      <c r="AL44" t="s">
        <v>1223</v>
      </c>
      <c r="AM44" t="s">
        <v>124</v>
      </c>
      <c r="AO44" t="s">
        <v>335</v>
      </c>
      <c r="AP44">
        <v>4.0</v>
      </c>
      <c r="AQ44" t="s">
        <v>126</v>
      </c>
      <c r="AR44" t="s">
        <v>127</v>
      </c>
      <c r="AS44" t="b">
        <v>1</v>
      </c>
      <c r="AT44" t="b">
        <v>1</v>
      </c>
      <c r="AU44" t="s">
        <v>517</v>
      </c>
      <c r="AV44">
        <v>4.0</v>
      </c>
      <c r="AW44" t="b">
        <v>0</v>
      </c>
      <c r="AZ44" t="b">
        <v>1</v>
      </c>
      <c r="BA44" t="b">
        <v>0</v>
      </c>
      <c r="BD44" t="s">
        <v>1224</v>
      </c>
      <c r="BE44" s="4" t="s">
        <v>273</v>
      </c>
      <c r="BF44" s="4" t="s">
        <v>273</v>
      </c>
      <c r="BG44" t="s">
        <v>1225</v>
      </c>
      <c r="BH44" t="s">
        <v>132</v>
      </c>
      <c r="BI44">
        <v>4.0</v>
      </c>
      <c r="BJ44" t="s">
        <v>1226</v>
      </c>
      <c r="BK44">
        <v>3.0</v>
      </c>
      <c r="BL44">
        <v>4.0</v>
      </c>
      <c r="BM44" t="s">
        <v>1227</v>
      </c>
      <c r="BN44">
        <v>3.0</v>
      </c>
      <c r="BO44">
        <v>4.0</v>
      </c>
      <c r="BP44" t="s">
        <v>1228</v>
      </c>
      <c r="BQ44" t="s">
        <v>945</v>
      </c>
      <c r="BR44" t="s">
        <v>1229</v>
      </c>
      <c r="BS44" t="s">
        <v>1230</v>
      </c>
      <c r="BT44" t="s">
        <v>1231</v>
      </c>
      <c r="BU44" t="s">
        <v>1232</v>
      </c>
      <c r="BV44" s="3" t="s">
        <v>1233</v>
      </c>
      <c r="BW44" t="b">
        <v>1</v>
      </c>
      <c r="BX44" t="s">
        <v>180</v>
      </c>
      <c r="BY44" t="s">
        <v>140</v>
      </c>
      <c r="CA44" t="s">
        <v>141</v>
      </c>
      <c r="CD44">
        <v>0.0</v>
      </c>
      <c r="CZ44" s="5">
        <v>44202.84237268518</v>
      </c>
      <c r="DA44" t="s">
        <v>1234</v>
      </c>
    </row>
    <row r="45">
      <c r="A45" t="s">
        <v>98</v>
      </c>
      <c r="B45" t="s">
        <v>99</v>
      </c>
      <c r="D45" t="s">
        <v>1235</v>
      </c>
      <c r="E45" t="s">
        <v>1236</v>
      </c>
      <c r="F45" s="2">
        <v>38481.0</v>
      </c>
      <c r="G45" t="s">
        <v>102</v>
      </c>
      <c r="I45" s="3" t="s">
        <v>1237</v>
      </c>
      <c r="J45" t="s">
        <v>1238</v>
      </c>
      <c r="K45" t="b">
        <v>0</v>
      </c>
      <c r="M45" t="s">
        <v>1239</v>
      </c>
      <c r="N45" t="s">
        <v>354</v>
      </c>
      <c r="O45" t="s">
        <v>1240</v>
      </c>
      <c r="P45" t="s">
        <v>1241</v>
      </c>
      <c r="Q45" t="s">
        <v>152</v>
      </c>
      <c r="R45" t="s">
        <v>1242</v>
      </c>
      <c r="S45" t="s">
        <v>1243</v>
      </c>
      <c r="T45" s="4" t="s">
        <v>1244</v>
      </c>
      <c r="U45" t="s">
        <v>1039</v>
      </c>
      <c r="V45" t="s">
        <v>934</v>
      </c>
      <c r="W45" t="s">
        <v>113</v>
      </c>
      <c r="Y45" t="s">
        <v>158</v>
      </c>
      <c r="Z45" t="s">
        <v>195</v>
      </c>
      <c r="AC45" s="3" t="s">
        <v>1245</v>
      </c>
      <c r="AD45" t="s">
        <v>118</v>
      </c>
      <c r="AE45" t="s">
        <v>729</v>
      </c>
      <c r="AF45" t="s">
        <v>1246</v>
      </c>
      <c r="AG45">
        <v>12.0</v>
      </c>
      <c r="AI45" t="s">
        <v>162</v>
      </c>
      <c r="AJ45" t="s">
        <v>541</v>
      </c>
      <c r="AK45" t="s">
        <v>1247</v>
      </c>
      <c r="AL45" t="s">
        <v>199</v>
      </c>
      <c r="AM45" t="s">
        <v>543</v>
      </c>
      <c r="AN45" t="s">
        <v>1248</v>
      </c>
      <c r="AO45" t="s">
        <v>335</v>
      </c>
      <c r="AP45">
        <v>7.0</v>
      </c>
      <c r="AQ45" t="s">
        <v>1249</v>
      </c>
      <c r="AR45" t="s">
        <v>1250</v>
      </c>
      <c r="AS45" t="b">
        <v>1</v>
      </c>
      <c r="AT45" t="b">
        <v>0</v>
      </c>
      <c r="AU45" t="s">
        <v>786</v>
      </c>
      <c r="AV45">
        <v>7.0</v>
      </c>
      <c r="AW45" t="b">
        <v>0</v>
      </c>
      <c r="AZ45" t="b">
        <v>1</v>
      </c>
      <c r="BA45" t="b">
        <v>0</v>
      </c>
      <c r="BD45" t="s">
        <v>1251</v>
      </c>
      <c r="BE45" t="s">
        <v>1252</v>
      </c>
      <c r="BF45" t="s">
        <v>1253</v>
      </c>
      <c r="BG45" t="s">
        <v>1254</v>
      </c>
      <c r="BH45" t="s">
        <v>132</v>
      </c>
      <c r="BI45">
        <v>4.0</v>
      </c>
      <c r="BJ45" t="s">
        <v>1255</v>
      </c>
      <c r="BK45">
        <v>3.0</v>
      </c>
      <c r="BL45">
        <v>4.0</v>
      </c>
      <c r="BM45" t="s">
        <v>1256</v>
      </c>
      <c r="BN45">
        <v>4.0</v>
      </c>
      <c r="BO45">
        <v>4.0</v>
      </c>
      <c r="BP45" t="s">
        <v>1257</v>
      </c>
      <c r="BQ45" t="s">
        <v>1258</v>
      </c>
      <c r="BR45" t="s">
        <v>1259</v>
      </c>
      <c r="BS45" t="s">
        <v>1260</v>
      </c>
      <c r="BT45" t="s">
        <v>1261</v>
      </c>
      <c r="BU45" t="s">
        <v>1262</v>
      </c>
      <c r="BV45" s="3" t="s">
        <v>1263</v>
      </c>
      <c r="BW45" t="b">
        <v>1</v>
      </c>
      <c r="BX45" t="s">
        <v>180</v>
      </c>
      <c r="BY45" t="s">
        <v>140</v>
      </c>
      <c r="CA45" t="s">
        <v>141</v>
      </c>
      <c r="CD45">
        <v>0.0</v>
      </c>
      <c r="CZ45" s="5">
        <v>44203.91486111111</v>
      </c>
      <c r="DA45" t="s">
        <v>1264</v>
      </c>
    </row>
    <row r="46">
      <c r="A46" t="s">
        <v>98</v>
      </c>
      <c r="B46" t="s">
        <v>99</v>
      </c>
      <c r="D46" t="s">
        <v>1009</v>
      </c>
      <c r="E46" t="s">
        <v>1265</v>
      </c>
      <c r="F46" s="2">
        <v>38452.0</v>
      </c>
      <c r="G46" t="s">
        <v>102</v>
      </c>
      <c r="I46" s="3" t="s">
        <v>1266</v>
      </c>
      <c r="J46" t="s">
        <v>1012</v>
      </c>
      <c r="K46" t="b">
        <v>0</v>
      </c>
      <c r="M46" t="s">
        <v>1267</v>
      </c>
      <c r="N46" t="s">
        <v>354</v>
      </c>
      <c r="O46" t="s">
        <v>1268</v>
      </c>
      <c r="P46" t="s">
        <v>1015</v>
      </c>
      <c r="Q46" t="s">
        <v>189</v>
      </c>
      <c r="R46" t="s">
        <v>1012</v>
      </c>
      <c r="S46" t="s">
        <v>1269</v>
      </c>
      <c r="T46" s="4" t="s">
        <v>1017</v>
      </c>
      <c r="U46" t="s">
        <v>933</v>
      </c>
      <c r="V46" t="s">
        <v>934</v>
      </c>
      <c r="W46" t="s">
        <v>113</v>
      </c>
      <c r="Y46" t="s">
        <v>158</v>
      </c>
      <c r="Z46" t="s">
        <v>195</v>
      </c>
      <c r="AC46" s="3" t="s">
        <v>1270</v>
      </c>
      <c r="AD46" t="s">
        <v>118</v>
      </c>
      <c r="AE46" t="s">
        <v>729</v>
      </c>
      <c r="AF46" t="s">
        <v>1019</v>
      </c>
      <c r="AG46">
        <v>14.0</v>
      </c>
      <c r="AI46" t="s">
        <v>386</v>
      </c>
      <c r="AJ46" t="s">
        <v>387</v>
      </c>
      <c r="AK46" t="s">
        <v>1271</v>
      </c>
      <c r="AL46" t="s">
        <v>1272</v>
      </c>
      <c r="AM46" t="s">
        <v>200</v>
      </c>
      <c r="AO46" t="s">
        <v>335</v>
      </c>
      <c r="AP46">
        <v>7.0</v>
      </c>
      <c r="AQ46" t="s">
        <v>126</v>
      </c>
      <c r="AR46" t="s">
        <v>1273</v>
      </c>
      <c r="AS46" t="b">
        <v>0</v>
      </c>
      <c r="AU46" t="s">
        <v>1274</v>
      </c>
      <c r="AV46">
        <v>7.0</v>
      </c>
      <c r="AW46" t="b">
        <v>0</v>
      </c>
      <c r="AZ46" t="b">
        <v>0</v>
      </c>
      <c r="BA46" t="b">
        <v>0</v>
      </c>
      <c r="BD46" t="s">
        <v>1275</v>
      </c>
      <c r="BE46" t="s">
        <v>164</v>
      </c>
      <c r="BF46" t="s">
        <v>164</v>
      </c>
      <c r="BG46" s="4" t="s">
        <v>1022</v>
      </c>
      <c r="BH46" t="s">
        <v>132</v>
      </c>
      <c r="BI46">
        <v>2.0</v>
      </c>
      <c r="BJ46" s="4" t="s">
        <v>130</v>
      </c>
      <c r="BK46">
        <v>5.0</v>
      </c>
      <c r="BL46">
        <v>7.0</v>
      </c>
      <c r="BM46" t="s">
        <v>1276</v>
      </c>
      <c r="BN46">
        <v>4.0</v>
      </c>
      <c r="BO46">
        <v>7.0</v>
      </c>
      <c r="BP46" t="s">
        <v>1277</v>
      </c>
      <c r="BQ46" t="s">
        <v>1278</v>
      </c>
      <c r="BR46" t="s">
        <v>1279</v>
      </c>
      <c r="BS46" t="s">
        <v>1280</v>
      </c>
      <c r="BT46" t="s">
        <v>1281</v>
      </c>
      <c r="BU46" t="s">
        <v>1282</v>
      </c>
      <c r="BV46" s="3" t="s">
        <v>1283</v>
      </c>
      <c r="BW46" t="b">
        <v>1</v>
      </c>
      <c r="BX46" t="s">
        <v>180</v>
      </c>
      <c r="BY46" t="s">
        <v>140</v>
      </c>
      <c r="CA46" t="s">
        <v>141</v>
      </c>
      <c r="CD46">
        <v>0.0</v>
      </c>
      <c r="CZ46" s="5">
        <v>44203.92888888889</v>
      </c>
      <c r="DA46" t="s">
        <v>1284</v>
      </c>
    </row>
    <row r="47">
      <c r="A47" t="s">
        <v>98</v>
      </c>
      <c r="B47" t="s">
        <v>99</v>
      </c>
      <c r="D47" t="s">
        <v>1285</v>
      </c>
      <c r="E47" t="s">
        <v>1286</v>
      </c>
      <c r="F47" s="2">
        <v>38294.0</v>
      </c>
      <c r="G47" t="s">
        <v>102</v>
      </c>
      <c r="I47" s="3" t="s">
        <v>1287</v>
      </c>
      <c r="J47" t="s">
        <v>1288</v>
      </c>
      <c r="K47" t="b">
        <v>1</v>
      </c>
      <c r="L47" s="4" t="s">
        <v>1289</v>
      </c>
      <c r="M47" t="s">
        <v>1290</v>
      </c>
      <c r="N47" t="s">
        <v>354</v>
      </c>
      <c r="O47" t="s">
        <v>1291</v>
      </c>
      <c r="P47" t="s">
        <v>1292</v>
      </c>
      <c r="Q47" t="s">
        <v>189</v>
      </c>
      <c r="R47" t="s">
        <v>1293</v>
      </c>
      <c r="S47" t="s">
        <v>1290</v>
      </c>
      <c r="T47" s="4" t="s">
        <v>1294</v>
      </c>
      <c r="U47" t="s">
        <v>1295</v>
      </c>
      <c r="V47" t="s">
        <v>1296</v>
      </c>
      <c r="W47" t="s">
        <v>113</v>
      </c>
      <c r="Y47" t="s">
        <v>158</v>
      </c>
      <c r="Z47" t="s">
        <v>262</v>
      </c>
      <c r="AC47" s="3" t="s">
        <v>1297</v>
      </c>
      <c r="AD47" t="s">
        <v>118</v>
      </c>
      <c r="AE47" t="s">
        <v>729</v>
      </c>
      <c r="AF47" t="s">
        <v>197</v>
      </c>
      <c r="AG47">
        <v>14.0</v>
      </c>
      <c r="AI47" t="s">
        <v>162</v>
      </c>
      <c r="AJ47" t="s">
        <v>387</v>
      </c>
      <c r="AK47" t="s">
        <v>1298</v>
      </c>
      <c r="AL47" t="s">
        <v>199</v>
      </c>
      <c r="AM47" t="s">
        <v>200</v>
      </c>
      <c r="AO47" t="s">
        <v>335</v>
      </c>
      <c r="AP47">
        <v>3.0</v>
      </c>
      <c r="AQ47" t="s">
        <v>1299</v>
      </c>
      <c r="AR47" t="s">
        <v>1300</v>
      </c>
      <c r="AS47" t="b">
        <v>1</v>
      </c>
      <c r="AT47" t="b">
        <v>0</v>
      </c>
      <c r="AU47" t="s">
        <v>128</v>
      </c>
      <c r="AV47">
        <v>4.0</v>
      </c>
      <c r="AW47" t="b">
        <v>1</v>
      </c>
      <c r="AX47" s="4" t="s">
        <v>270</v>
      </c>
      <c r="AY47" s="4" t="s">
        <v>170</v>
      </c>
      <c r="AZ47" t="b">
        <v>1</v>
      </c>
      <c r="BA47" t="b">
        <v>0</v>
      </c>
      <c r="BD47" t="s">
        <v>679</v>
      </c>
      <c r="BE47" t="s">
        <v>1301</v>
      </c>
      <c r="BF47" t="s">
        <v>1302</v>
      </c>
      <c r="BG47" t="s">
        <v>1303</v>
      </c>
      <c r="BH47" t="s">
        <v>132</v>
      </c>
      <c r="BI47">
        <v>4.0</v>
      </c>
      <c r="BJ47" t="s">
        <v>1304</v>
      </c>
      <c r="BK47">
        <v>4.0</v>
      </c>
      <c r="BL47">
        <v>2.0</v>
      </c>
      <c r="BM47" t="s">
        <v>1305</v>
      </c>
      <c r="BN47">
        <v>3.0</v>
      </c>
      <c r="BO47">
        <v>4.0</v>
      </c>
      <c r="BP47" t="s">
        <v>1306</v>
      </c>
      <c r="BQ47" t="s">
        <v>916</v>
      </c>
      <c r="BR47" t="s">
        <v>1307</v>
      </c>
      <c r="BS47" t="s">
        <v>1308</v>
      </c>
      <c r="BT47" t="s">
        <v>1309</v>
      </c>
      <c r="BU47" t="s">
        <v>1310</v>
      </c>
      <c r="BV47" s="3" t="s">
        <v>1311</v>
      </c>
      <c r="BW47" t="b">
        <v>1</v>
      </c>
      <c r="BX47" t="s">
        <v>180</v>
      </c>
      <c r="BY47" t="s">
        <v>140</v>
      </c>
      <c r="CA47" t="s">
        <v>141</v>
      </c>
      <c r="CD47">
        <v>0.0</v>
      </c>
      <c r="CZ47" s="5">
        <v>44205.69079861111</v>
      </c>
      <c r="DA47" t="s">
        <v>1312</v>
      </c>
    </row>
    <row r="48">
      <c r="A48" t="s">
        <v>98</v>
      </c>
      <c r="B48" t="s">
        <v>99</v>
      </c>
      <c r="D48" t="s">
        <v>1313</v>
      </c>
      <c r="E48" t="s">
        <v>1314</v>
      </c>
      <c r="F48" s="2">
        <v>37606.0</v>
      </c>
      <c r="G48" t="s">
        <v>102</v>
      </c>
      <c r="I48" s="3" t="s">
        <v>1315</v>
      </c>
      <c r="J48" t="s">
        <v>1316</v>
      </c>
      <c r="K48" t="b">
        <v>1</v>
      </c>
      <c r="L48" s="4" t="s">
        <v>1317</v>
      </c>
      <c r="M48" t="s">
        <v>1318</v>
      </c>
      <c r="N48" t="s">
        <v>255</v>
      </c>
      <c r="O48" t="s">
        <v>1319</v>
      </c>
      <c r="P48" t="s">
        <v>1320</v>
      </c>
      <c r="Q48" t="s">
        <v>292</v>
      </c>
      <c r="R48" t="s">
        <v>1321</v>
      </c>
      <c r="S48" t="s">
        <v>1322</v>
      </c>
      <c r="T48" s="4" t="s">
        <v>1323</v>
      </c>
      <c r="U48" t="s">
        <v>1324</v>
      </c>
      <c r="V48" t="s">
        <v>1325</v>
      </c>
      <c r="W48" t="s">
        <v>113</v>
      </c>
      <c r="Y48" t="s">
        <v>158</v>
      </c>
      <c r="Z48" t="s">
        <v>262</v>
      </c>
      <c r="AC48" s="3" t="s">
        <v>1326</v>
      </c>
      <c r="AD48" t="s">
        <v>118</v>
      </c>
      <c r="AE48" t="s">
        <v>729</v>
      </c>
      <c r="AF48" t="s">
        <v>1019</v>
      </c>
      <c r="AG48">
        <v>16.0</v>
      </c>
      <c r="AI48" t="s">
        <v>205</v>
      </c>
      <c r="AJ48" t="s">
        <v>387</v>
      </c>
      <c r="AK48" t="s">
        <v>528</v>
      </c>
      <c r="AL48" t="s">
        <v>1327</v>
      </c>
      <c r="AO48" t="s">
        <v>335</v>
      </c>
      <c r="AP48">
        <v>1.0</v>
      </c>
      <c r="AQ48" t="s">
        <v>166</v>
      </c>
      <c r="AR48" t="s">
        <v>1328</v>
      </c>
      <c r="AS48" t="b">
        <v>1</v>
      </c>
      <c r="AT48" t="b">
        <v>1</v>
      </c>
      <c r="AU48" t="s">
        <v>1329</v>
      </c>
      <c r="AV48">
        <v>6.0</v>
      </c>
      <c r="AW48" t="b">
        <v>0</v>
      </c>
      <c r="AZ48" t="b">
        <v>1</v>
      </c>
      <c r="BA48" t="b">
        <v>1</v>
      </c>
      <c r="BB48" t="b">
        <v>1</v>
      </c>
      <c r="BC48" t="s">
        <v>1330</v>
      </c>
      <c r="BE48" s="4" t="s">
        <v>273</v>
      </c>
      <c r="BF48" s="4" t="s">
        <v>339</v>
      </c>
      <c r="BG48" t="s">
        <v>1331</v>
      </c>
      <c r="BH48" t="s">
        <v>132</v>
      </c>
      <c r="BI48">
        <v>4.0</v>
      </c>
      <c r="BJ48" t="s">
        <v>1332</v>
      </c>
      <c r="BK48">
        <v>5.0</v>
      </c>
      <c r="BL48">
        <v>4.0</v>
      </c>
      <c r="BM48" t="s">
        <v>1333</v>
      </c>
      <c r="BN48">
        <v>4.0</v>
      </c>
      <c r="BO48">
        <v>4.0</v>
      </c>
      <c r="BP48" t="s">
        <v>1334</v>
      </c>
      <c r="BQ48" t="s">
        <v>1335</v>
      </c>
      <c r="BR48" t="s">
        <v>1336</v>
      </c>
      <c r="BS48" t="s">
        <v>1337</v>
      </c>
      <c r="BT48" t="s">
        <v>980</v>
      </c>
      <c r="BU48" t="s">
        <v>1338</v>
      </c>
      <c r="BV48" s="3" t="s">
        <v>1339</v>
      </c>
      <c r="BW48" t="b">
        <v>1</v>
      </c>
      <c r="BX48" t="s">
        <v>180</v>
      </c>
      <c r="BY48" t="s">
        <v>140</v>
      </c>
      <c r="CA48" t="s">
        <v>141</v>
      </c>
      <c r="CD48">
        <v>0.0</v>
      </c>
      <c r="CE48" t="s">
        <v>1248</v>
      </c>
      <c r="CZ48" s="5">
        <v>44222.8656712963</v>
      </c>
      <c r="DA48" t="s">
        <v>1340</v>
      </c>
    </row>
    <row r="49">
      <c r="A49" t="s">
        <v>98</v>
      </c>
      <c r="B49" t="s">
        <v>99</v>
      </c>
      <c r="D49" t="s">
        <v>1341</v>
      </c>
      <c r="E49" t="s">
        <v>1314</v>
      </c>
      <c r="F49" s="2">
        <v>37606.0</v>
      </c>
      <c r="G49" t="s">
        <v>102</v>
      </c>
      <c r="J49" t="s">
        <v>1342</v>
      </c>
      <c r="K49" t="b">
        <v>1</v>
      </c>
      <c r="L49" s="4" t="s">
        <v>1343</v>
      </c>
      <c r="M49" t="s">
        <v>1344</v>
      </c>
      <c r="N49" t="s">
        <v>149</v>
      </c>
      <c r="P49" t="s">
        <v>1320</v>
      </c>
      <c r="Q49" t="s">
        <v>292</v>
      </c>
      <c r="R49" t="s">
        <v>1321</v>
      </c>
      <c r="S49" t="s">
        <v>1344</v>
      </c>
      <c r="T49" s="4" t="s">
        <v>1323</v>
      </c>
      <c r="U49" t="s">
        <v>1345</v>
      </c>
      <c r="V49" t="s">
        <v>1325</v>
      </c>
      <c r="W49" t="s">
        <v>113</v>
      </c>
      <c r="Y49" t="s">
        <v>158</v>
      </c>
      <c r="Z49" t="s">
        <v>262</v>
      </c>
      <c r="AC49" s="3" t="s">
        <v>1346</v>
      </c>
      <c r="AD49" t="s">
        <v>118</v>
      </c>
      <c r="AE49" t="s">
        <v>729</v>
      </c>
      <c r="AF49" t="s">
        <v>1019</v>
      </c>
      <c r="AG49">
        <v>16.0</v>
      </c>
      <c r="AI49" t="s">
        <v>205</v>
      </c>
      <c r="AJ49" t="s">
        <v>387</v>
      </c>
      <c r="AK49" t="s">
        <v>139</v>
      </c>
      <c r="AL49" t="s">
        <v>1347</v>
      </c>
      <c r="AO49" t="s">
        <v>335</v>
      </c>
      <c r="AP49">
        <v>1.0</v>
      </c>
      <c r="AQ49" t="s">
        <v>126</v>
      </c>
      <c r="AR49" t="s">
        <v>1348</v>
      </c>
      <c r="AS49" t="b">
        <v>1</v>
      </c>
      <c r="AT49" t="b">
        <v>1</v>
      </c>
      <c r="AU49" t="s">
        <v>1349</v>
      </c>
      <c r="AV49">
        <v>4.0</v>
      </c>
      <c r="AW49" t="b">
        <v>0</v>
      </c>
      <c r="AZ49" t="b">
        <v>1</v>
      </c>
      <c r="BA49" t="b">
        <v>1</v>
      </c>
      <c r="BB49" t="b">
        <v>0</v>
      </c>
      <c r="BC49" t="s">
        <v>1350</v>
      </c>
      <c r="BE49" s="4" t="s">
        <v>339</v>
      </c>
      <c r="BF49" s="4" t="s">
        <v>273</v>
      </c>
      <c r="BG49" t="s">
        <v>679</v>
      </c>
      <c r="BH49" t="s">
        <v>132</v>
      </c>
      <c r="BI49">
        <v>1.0</v>
      </c>
      <c r="BJ49" t="s">
        <v>679</v>
      </c>
      <c r="BK49">
        <v>4.0</v>
      </c>
      <c r="BL49">
        <v>3.0</v>
      </c>
      <c r="BM49" t="s">
        <v>1351</v>
      </c>
      <c r="BN49">
        <v>3.0</v>
      </c>
      <c r="BO49">
        <v>5.0</v>
      </c>
      <c r="BP49" t="s">
        <v>1352</v>
      </c>
      <c r="BQ49" t="s">
        <v>1353</v>
      </c>
      <c r="BR49" t="s">
        <v>1354</v>
      </c>
      <c r="BS49" t="s">
        <v>1355</v>
      </c>
      <c r="BT49" t="s">
        <v>980</v>
      </c>
      <c r="BU49" t="s">
        <v>179</v>
      </c>
      <c r="BV49" s="3" t="s">
        <v>1356</v>
      </c>
      <c r="BW49" t="b">
        <v>1</v>
      </c>
      <c r="BX49" t="s">
        <v>180</v>
      </c>
      <c r="BY49" t="s">
        <v>140</v>
      </c>
      <c r="CA49" t="s">
        <v>141</v>
      </c>
      <c r="CD49">
        <v>0.0</v>
      </c>
      <c r="CE49" t="s">
        <v>1248</v>
      </c>
      <c r="CZ49" s="5">
        <v>44222.90337962963</v>
      </c>
      <c r="DA49" t="s">
        <v>1357</v>
      </c>
    </row>
    <row r="50">
      <c r="A50" t="s">
        <v>98</v>
      </c>
      <c r="B50" t="s">
        <v>99</v>
      </c>
      <c r="D50" t="s">
        <v>1358</v>
      </c>
      <c r="E50" t="s">
        <v>1359</v>
      </c>
      <c r="F50" s="2">
        <v>38279.0</v>
      </c>
      <c r="G50" t="s">
        <v>1360</v>
      </c>
      <c r="J50" t="s">
        <v>1361</v>
      </c>
      <c r="K50" t="b">
        <v>1</v>
      </c>
      <c r="L50" s="4" t="s">
        <v>1362</v>
      </c>
      <c r="M50" t="s">
        <v>1363</v>
      </c>
      <c r="N50" t="s">
        <v>255</v>
      </c>
      <c r="O50" t="s">
        <v>645</v>
      </c>
      <c r="P50" t="s">
        <v>1364</v>
      </c>
      <c r="Q50" t="s">
        <v>189</v>
      </c>
      <c r="R50" t="s">
        <v>1361</v>
      </c>
      <c r="S50" t="s">
        <v>1365</v>
      </c>
      <c r="T50" s="4" t="s">
        <v>1366</v>
      </c>
      <c r="U50" t="s">
        <v>1367</v>
      </c>
      <c r="V50" t="s">
        <v>1325</v>
      </c>
      <c r="W50" t="s">
        <v>113</v>
      </c>
      <c r="AC50" s="3" t="s">
        <v>1368</v>
      </c>
      <c r="AE50" t="s">
        <v>729</v>
      </c>
      <c r="AF50" t="s">
        <v>1019</v>
      </c>
      <c r="AG50">
        <v>11.0</v>
      </c>
      <c r="AI50" t="s">
        <v>121</v>
      </c>
      <c r="AL50" t="s">
        <v>199</v>
      </c>
      <c r="AO50" t="s">
        <v>335</v>
      </c>
      <c r="AP50">
        <v>2.0</v>
      </c>
      <c r="AQ50" t="s">
        <v>126</v>
      </c>
      <c r="AR50" t="s">
        <v>1348</v>
      </c>
      <c r="AS50" t="b">
        <v>1</v>
      </c>
      <c r="AT50" t="b">
        <v>1</v>
      </c>
      <c r="AV50">
        <v>5.0</v>
      </c>
      <c r="AW50" t="b">
        <v>0</v>
      </c>
      <c r="AZ50" t="b">
        <v>0</v>
      </c>
      <c r="BA50" t="b">
        <v>0</v>
      </c>
      <c r="BD50" t="s">
        <v>1348</v>
      </c>
      <c r="BE50" s="4" t="s">
        <v>339</v>
      </c>
      <c r="BF50" s="4" t="s">
        <v>339</v>
      </c>
      <c r="BG50" s="4" t="s">
        <v>1369</v>
      </c>
      <c r="BH50" t="s">
        <v>132</v>
      </c>
      <c r="BI50">
        <v>1.0</v>
      </c>
      <c r="BJ50" t="s">
        <v>1370</v>
      </c>
      <c r="BK50">
        <v>4.0</v>
      </c>
      <c r="BL50">
        <v>4.0</v>
      </c>
      <c r="BM50" t="s">
        <v>1371</v>
      </c>
      <c r="BN50">
        <v>4.0</v>
      </c>
      <c r="BO50">
        <v>5.0</v>
      </c>
      <c r="BP50" t="s">
        <v>1372</v>
      </c>
      <c r="BQ50" t="s">
        <v>1179</v>
      </c>
      <c r="BR50" t="s">
        <v>1373</v>
      </c>
      <c r="BS50" t="s">
        <v>1374</v>
      </c>
      <c r="BU50" t="s">
        <v>179</v>
      </c>
      <c r="BV50" s="3" t="s">
        <v>1375</v>
      </c>
      <c r="BW50" t="b">
        <v>1</v>
      </c>
      <c r="BX50" t="s">
        <v>180</v>
      </c>
      <c r="BY50" t="s">
        <v>140</v>
      </c>
      <c r="CA50" t="s">
        <v>141</v>
      </c>
      <c r="CD50">
        <v>0.0</v>
      </c>
      <c r="CF50" t="b">
        <v>0</v>
      </c>
      <c r="CG50" t="b">
        <v>0</v>
      </c>
      <c r="CH50" t="s">
        <v>1376</v>
      </c>
      <c r="CI50" t="s">
        <v>200</v>
      </c>
      <c r="CJ50" t="b">
        <v>0</v>
      </c>
      <c r="CK50" t="b">
        <v>0</v>
      </c>
      <c r="CL50" t="s">
        <v>387</v>
      </c>
      <c r="CZ50" s="5">
        <v>44223.85078703704</v>
      </c>
      <c r="DA50" t="s">
        <v>1377</v>
      </c>
    </row>
    <row r="51">
      <c r="A51" t="s">
        <v>98</v>
      </c>
      <c r="D51" t="s">
        <v>1378</v>
      </c>
      <c r="E51" t="s">
        <v>1379</v>
      </c>
      <c r="F51" s="2">
        <v>30564.0</v>
      </c>
      <c r="G51" t="s">
        <v>543</v>
      </c>
      <c r="I51" s="3" t="s">
        <v>1380</v>
      </c>
      <c r="J51" t="s">
        <v>930</v>
      </c>
      <c r="K51" t="b">
        <v>1</v>
      </c>
      <c r="L51" s="4" t="s">
        <v>1381</v>
      </c>
      <c r="M51" t="s">
        <v>1382</v>
      </c>
      <c r="N51" t="s">
        <v>105</v>
      </c>
      <c r="O51" t="s">
        <v>1383</v>
      </c>
      <c r="P51" t="s">
        <v>1384</v>
      </c>
      <c r="Q51" t="s">
        <v>152</v>
      </c>
      <c r="R51" t="s">
        <v>930</v>
      </c>
      <c r="S51" t="s">
        <v>1385</v>
      </c>
      <c r="T51" s="4" t="s">
        <v>1386</v>
      </c>
      <c r="U51" t="s">
        <v>1387</v>
      </c>
      <c r="V51" t="s">
        <v>1385</v>
      </c>
      <c r="W51" t="s">
        <v>1388</v>
      </c>
      <c r="Y51" t="s">
        <v>158</v>
      </c>
      <c r="Z51" t="s">
        <v>195</v>
      </c>
      <c r="AC51" s="3" t="s">
        <v>1389</v>
      </c>
      <c r="AD51" t="s">
        <v>543</v>
      </c>
      <c r="AE51" t="s">
        <v>781</v>
      </c>
      <c r="AH51" s="4" t="s">
        <v>547</v>
      </c>
      <c r="AI51" t="s">
        <v>543</v>
      </c>
      <c r="AK51" t="s">
        <v>1385</v>
      </c>
      <c r="AL51" t="s">
        <v>1385</v>
      </c>
      <c r="AO51" t="s">
        <v>125</v>
      </c>
      <c r="AP51">
        <v>4.0</v>
      </c>
      <c r="AQ51" t="s">
        <v>166</v>
      </c>
      <c r="AR51" t="s">
        <v>1385</v>
      </c>
      <c r="AS51" t="b">
        <v>1</v>
      </c>
      <c r="AT51" t="b">
        <v>1</v>
      </c>
      <c r="AV51">
        <v>3.0</v>
      </c>
      <c r="AW51" t="b">
        <v>1</v>
      </c>
      <c r="AX51" s="4" t="s">
        <v>169</v>
      </c>
      <c r="AY51" s="4" t="s">
        <v>518</v>
      </c>
      <c r="AZ51" t="b">
        <v>1</v>
      </c>
      <c r="BA51" t="b">
        <v>1</v>
      </c>
      <c r="BB51" t="b">
        <v>1</v>
      </c>
      <c r="BC51" t="s">
        <v>1390</v>
      </c>
      <c r="BE51" s="4" t="s">
        <v>339</v>
      </c>
      <c r="BF51" s="4" t="s">
        <v>339</v>
      </c>
      <c r="BG51" s="4" t="s">
        <v>734</v>
      </c>
      <c r="BH51" t="s">
        <v>132</v>
      </c>
      <c r="BI51">
        <v>3.0</v>
      </c>
      <c r="BJ51" t="s">
        <v>1385</v>
      </c>
      <c r="BK51">
        <v>4.0</v>
      </c>
      <c r="BL51">
        <v>4.0</v>
      </c>
      <c r="BM51" t="s">
        <v>1385</v>
      </c>
      <c r="BN51">
        <v>5.0</v>
      </c>
      <c r="BO51">
        <v>2.0</v>
      </c>
      <c r="BP51" t="s">
        <v>1385</v>
      </c>
      <c r="BQ51" t="s">
        <v>1391</v>
      </c>
      <c r="BR51" t="s">
        <v>1385</v>
      </c>
      <c r="BS51" t="s">
        <v>1385</v>
      </c>
      <c r="BU51" t="s">
        <v>1392</v>
      </c>
      <c r="BV51" s="3" t="s">
        <v>1393</v>
      </c>
      <c r="BW51" t="b">
        <v>1</v>
      </c>
      <c r="BX51" t="s">
        <v>1394</v>
      </c>
      <c r="BY51" t="s">
        <v>140</v>
      </c>
      <c r="CA51" t="s">
        <v>1395</v>
      </c>
      <c r="CD51">
        <v>0.0</v>
      </c>
      <c r="CF51" t="b">
        <v>0</v>
      </c>
      <c r="CG51" t="b">
        <v>0</v>
      </c>
      <c r="CH51" t="s">
        <v>1385</v>
      </c>
      <c r="CJ51" t="b">
        <v>1</v>
      </c>
      <c r="CK51" t="b">
        <v>1</v>
      </c>
      <c r="CL51" t="s">
        <v>413</v>
      </c>
      <c r="CM51" t="s">
        <v>387</v>
      </c>
      <c r="CN51" t="s">
        <v>1396</v>
      </c>
      <c r="CO51" t="s">
        <v>1397</v>
      </c>
      <c r="CP51" t="s">
        <v>1385</v>
      </c>
      <c r="CQ51" t="s">
        <v>810</v>
      </c>
      <c r="CR51" t="b">
        <v>1</v>
      </c>
      <c r="CZ51" s="5">
        <v>44224.68690972222</v>
      </c>
      <c r="DA51" t="s">
        <v>1398</v>
      </c>
    </row>
    <row r="52">
      <c r="A52" t="s">
        <v>1399</v>
      </c>
      <c r="D52" t="s">
        <v>1400</v>
      </c>
      <c r="E52" t="s">
        <v>1401</v>
      </c>
      <c r="F52" s="2">
        <v>44224.0</v>
      </c>
      <c r="G52" t="s">
        <v>1360</v>
      </c>
      <c r="I52" s="3" t="s">
        <v>1402</v>
      </c>
      <c r="J52" t="s">
        <v>1403</v>
      </c>
      <c r="K52" t="b">
        <v>1</v>
      </c>
      <c r="L52" s="4" t="s">
        <v>1404</v>
      </c>
      <c r="M52" s="4" t="s">
        <v>1405</v>
      </c>
      <c r="N52" t="s">
        <v>105</v>
      </c>
      <c r="P52" t="s">
        <v>1406</v>
      </c>
      <c r="Q52" t="s">
        <v>189</v>
      </c>
      <c r="R52" t="s">
        <v>1407</v>
      </c>
      <c r="S52" t="s">
        <v>1408</v>
      </c>
      <c r="T52" s="4" t="s">
        <v>1409</v>
      </c>
      <c r="U52" t="s">
        <v>1410</v>
      </c>
      <c r="V52" t="s">
        <v>1411</v>
      </c>
      <c r="W52" t="s">
        <v>1412</v>
      </c>
      <c r="Y52" t="s">
        <v>158</v>
      </c>
      <c r="Z52" t="s">
        <v>262</v>
      </c>
      <c r="AC52" s="3" t="s">
        <v>1413</v>
      </c>
      <c r="AD52" t="s">
        <v>758</v>
      </c>
      <c r="AE52" t="s">
        <v>1220</v>
      </c>
      <c r="AH52" s="4" t="s">
        <v>1414</v>
      </c>
      <c r="AI52" t="s">
        <v>121</v>
      </c>
      <c r="AL52" t="s">
        <v>460</v>
      </c>
      <c r="AO52" t="s">
        <v>335</v>
      </c>
      <c r="AP52">
        <v>5.0</v>
      </c>
      <c r="AQ52" t="s">
        <v>166</v>
      </c>
      <c r="AR52" t="s">
        <v>638</v>
      </c>
      <c r="AS52" t="b">
        <v>1</v>
      </c>
      <c r="AT52" t="b">
        <v>1</v>
      </c>
      <c r="AV52">
        <v>3.0</v>
      </c>
      <c r="AW52" t="b">
        <v>1</v>
      </c>
      <c r="AX52" s="4" t="s">
        <v>270</v>
      </c>
      <c r="AY52" s="4" t="s">
        <v>170</v>
      </c>
      <c r="AZ52" t="b">
        <v>1</v>
      </c>
      <c r="BA52" t="b">
        <v>1</v>
      </c>
      <c r="BB52" t="b">
        <v>0</v>
      </c>
      <c r="BC52" t="s">
        <v>1415</v>
      </c>
      <c r="BE52" s="4" t="s">
        <v>130</v>
      </c>
      <c r="BF52" s="4" t="s">
        <v>130</v>
      </c>
      <c r="BG52" s="4" t="s">
        <v>520</v>
      </c>
      <c r="BH52" t="s">
        <v>132</v>
      </c>
      <c r="BI52">
        <v>4.0</v>
      </c>
      <c r="BJ52" t="s">
        <v>620</v>
      </c>
      <c r="BK52">
        <v>4.0</v>
      </c>
      <c r="BL52">
        <v>4.0</v>
      </c>
      <c r="BM52" t="s">
        <v>620</v>
      </c>
      <c r="BN52">
        <v>4.0</v>
      </c>
      <c r="BO52">
        <v>4.0</v>
      </c>
      <c r="BP52" t="s">
        <v>620</v>
      </c>
      <c r="BQ52" t="s">
        <v>1416</v>
      </c>
      <c r="BR52" t="s">
        <v>620</v>
      </c>
      <c r="BS52" t="s">
        <v>620</v>
      </c>
      <c r="BU52" t="s">
        <v>1417</v>
      </c>
      <c r="BV52" s="3" t="s">
        <v>1418</v>
      </c>
      <c r="BW52" t="b">
        <v>1</v>
      </c>
      <c r="BX52" t="s">
        <v>1394</v>
      </c>
      <c r="BY52" t="s">
        <v>822</v>
      </c>
      <c r="BZ52" t="s">
        <v>1419</v>
      </c>
      <c r="CA52" t="s">
        <v>1395</v>
      </c>
      <c r="CD52">
        <v>0.0</v>
      </c>
      <c r="CF52" t="b">
        <v>1</v>
      </c>
      <c r="CG52" t="b">
        <v>1</v>
      </c>
      <c r="CH52" t="s">
        <v>1420</v>
      </c>
      <c r="CJ52" t="b">
        <v>1</v>
      </c>
      <c r="CK52" t="b">
        <v>1</v>
      </c>
      <c r="CL52" t="s">
        <v>541</v>
      </c>
      <c r="CO52" t="s">
        <v>1421</v>
      </c>
      <c r="CS52" t="b">
        <v>1</v>
      </c>
      <c r="CZ52" s="5">
        <v>44224.68881944445</v>
      </c>
      <c r="DA52" t="s">
        <v>1422</v>
      </c>
    </row>
    <row r="53">
      <c r="A53" t="s">
        <v>1399</v>
      </c>
      <c r="D53" t="s">
        <v>1400</v>
      </c>
      <c r="E53" t="s">
        <v>1401</v>
      </c>
      <c r="F53" s="2">
        <v>44225.0</v>
      </c>
      <c r="G53" t="s">
        <v>1360</v>
      </c>
      <c r="I53" s="3" t="s">
        <v>1423</v>
      </c>
      <c r="J53" t="s">
        <v>1403</v>
      </c>
      <c r="K53" t="b">
        <v>1</v>
      </c>
      <c r="L53" s="4" t="s">
        <v>1409</v>
      </c>
      <c r="M53" t="s">
        <v>1408</v>
      </c>
      <c r="N53" t="s">
        <v>105</v>
      </c>
      <c r="O53" t="s">
        <v>620</v>
      </c>
      <c r="P53" t="s">
        <v>1424</v>
      </c>
      <c r="Q53" t="s">
        <v>189</v>
      </c>
      <c r="R53" t="s">
        <v>1425</v>
      </c>
      <c r="S53" t="s">
        <v>1408</v>
      </c>
      <c r="T53" s="4" t="s">
        <v>1409</v>
      </c>
      <c r="U53" t="s">
        <v>1426</v>
      </c>
      <c r="V53" t="s">
        <v>1426</v>
      </c>
      <c r="W53" t="s">
        <v>261</v>
      </c>
      <c r="Y53" t="s">
        <v>158</v>
      </c>
      <c r="Z53" t="s">
        <v>262</v>
      </c>
      <c r="AC53" s="3" t="s">
        <v>1427</v>
      </c>
      <c r="AD53" t="s">
        <v>758</v>
      </c>
      <c r="AE53" t="s">
        <v>1220</v>
      </c>
      <c r="AH53" s="4" t="s">
        <v>1428</v>
      </c>
      <c r="AI53" t="s">
        <v>121</v>
      </c>
      <c r="AK53" t="s">
        <v>179</v>
      </c>
      <c r="AL53" t="s">
        <v>1429</v>
      </c>
      <c r="AO53" t="s">
        <v>125</v>
      </c>
      <c r="AP53">
        <v>4.0</v>
      </c>
      <c r="AQ53" t="s">
        <v>166</v>
      </c>
      <c r="AR53" t="s">
        <v>620</v>
      </c>
      <c r="AS53" t="b">
        <v>1</v>
      </c>
      <c r="AT53" t="b">
        <v>1</v>
      </c>
      <c r="AV53">
        <v>4.0</v>
      </c>
      <c r="AW53" t="b">
        <v>1</v>
      </c>
      <c r="AX53" s="4" t="s">
        <v>270</v>
      </c>
      <c r="AY53" t="s">
        <v>1430</v>
      </c>
      <c r="AZ53" t="b">
        <v>1</v>
      </c>
      <c r="BA53" t="b">
        <v>0</v>
      </c>
      <c r="BD53" t="s">
        <v>620</v>
      </c>
      <c r="BE53" t="s">
        <v>620</v>
      </c>
      <c r="BF53" t="s">
        <v>620</v>
      </c>
      <c r="BG53" t="s">
        <v>620</v>
      </c>
      <c r="BH53" t="s">
        <v>132</v>
      </c>
      <c r="BI53">
        <v>4.0</v>
      </c>
      <c r="BJ53" t="s">
        <v>620</v>
      </c>
      <c r="BK53">
        <v>4.0</v>
      </c>
      <c r="BL53">
        <v>4.0</v>
      </c>
      <c r="BM53" t="s">
        <v>620</v>
      </c>
      <c r="BN53">
        <v>4.0</v>
      </c>
      <c r="BO53">
        <v>4.0</v>
      </c>
      <c r="BP53" t="s">
        <v>620</v>
      </c>
      <c r="BQ53" t="s">
        <v>1431</v>
      </c>
      <c r="BR53" t="s">
        <v>620</v>
      </c>
      <c r="BS53" t="s">
        <v>620</v>
      </c>
      <c r="BU53" t="s">
        <v>620</v>
      </c>
      <c r="BV53" s="3" t="s">
        <v>1432</v>
      </c>
      <c r="BW53" t="b">
        <v>1</v>
      </c>
      <c r="BX53" t="s">
        <v>1394</v>
      </c>
      <c r="BY53" t="s">
        <v>822</v>
      </c>
      <c r="BZ53" t="s">
        <v>1419</v>
      </c>
      <c r="CA53" t="s">
        <v>1395</v>
      </c>
      <c r="CD53">
        <v>0.0</v>
      </c>
      <c r="CF53" t="b">
        <v>1</v>
      </c>
      <c r="CG53" t="b">
        <v>1</v>
      </c>
      <c r="CH53" t="s">
        <v>620</v>
      </c>
      <c r="CJ53" t="b">
        <v>1</v>
      </c>
      <c r="CK53" t="b">
        <v>1</v>
      </c>
      <c r="CL53" t="s">
        <v>541</v>
      </c>
      <c r="CM53" t="s">
        <v>362</v>
      </c>
      <c r="CO53" t="s">
        <v>620</v>
      </c>
      <c r="CS53" t="b">
        <v>1</v>
      </c>
      <c r="CZ53" s="5">
        <v>44225.802349537036</v>
      </c>
      <c r="DA53" t="s">
        <v>1433</v>
      </c>
    </row>
    <row r="54">
      <c r="A54" t="s">
        <v>98</v>
      </c>
      <c r="D54" t="s">
        <v>1434</v>
      </c>
      <c r="E54" t="s">
        <v>1435</v>
      </c>
      <c r="F54" s="2">
        <v>38600.0</v>
      </c>
      <c r="G54" t="s">
        <v>543</v>
      </c>
      <c r="I54" s="3" t="s">
        <v>1436</v>
      </c>
      <c r="J54" t="s">
        <v>930</v>
      </c>
      <c r="K54" t="b">
        <v>1</v>
      </c>
      <c r="L54" s="4" t="s">
        <v>1437</v>
      </c>
      <c r="M54" t="s">
        <v>1438</v>
      </c>
      <c r="N54" t="s">
        <v>105</v>
      </c>
      <c r="O54" t="s">
        <v>1439</v>
      </c>
      <c r="P54" t="s">
        <v>1440</v>
      </c>
      <c r="Q54" t="s">
        <v>152</v>
      </c>
      <c r="R54" t="s">
        <v>1441</v>
      </c>
      <c r="S54" t="s">
        <v>1442</v>
      </c>
      <c r="T54" s="4" t="s">
        <v>1443</v>
      </c>
      <c r="U54" t="s">
        <v>192</v>
      </c>
      <c r="V54" t="s">
        <v>1444</v>
      </c>
      <c r="W54" t="s">
        <v>194</v>
      </c>
      <c r="Y54" t="s">
        <v>158</v>
      </c>
      <c r="Z54" t="s">
        <v>195</v>
      </c>
      <c r="AC54" s="3" t="s">
        <v>1445</v>
      </c>
      <c r="AD54" t="s">
        <v>1446</v>
      </c>
      <c r="AE54" t="s">
        <v>1220</v>
      </c>
      <c r="AH54" t="s">
        <v>1447</v>
      </c>
      <c r="AI54" t="s">
        <v>162</v>
      </c>
      <c r="AK54" t="s">
        <v>1448</v>
      </c>
      <c r="AL54" t="s">
        <v>1449</v>
      </c>
      <c r="AO54" t="s">
        <v>125</v>
      </c>
      <c r="AP54">
        <v>3.0</v>
      </c>
      <c r="AQ54" t="s">
        <v>303</v>
      </c>
      <c r="AR54" t="s">
        <v>127</v>
      </c>
      <c r="AS54" t="b">
        <v>1</v>
      </c>
      <c r="AT54" t="b">
        <v>1</v>
      </c>
      <c r="AV54">
        <v>7.0</v>
      </c>
      <c r="AW54" t="b">
        <v>1</v>
      </c>
      <c r="AX54" t="s">
        <v>1450</v>
      </c>
      <c r="AY54" t="s">
        <v>1451</v>
      </c>
      <c r="AZ54" t="b">
        <v>1</v>
      </c>
      <c r="BA54" t="b">
        <v>1</v>
      </c>
      <c r="BB54" t="b">
        <v>1</v>
      </c>
      <c r="BC54" t="s">
        <v>1452</v>
      </c>
      <c r="BG54" s="4" t="s">
        <v>1453</v>
      </c>
      <c r="BH54" t="s">
        <v>132</v>
      </c>
      <c r="BI54">
        <v>2.0</v>
      </c>
      <c r="BJ54" t="s">
        <v>1454</v>
      </c>
      <c r="BK54">
        <v>1.0</v>
      </c>
      <c r="BL54">
        <v>2.0</v>
      </c>
      <c r="BM54" t="s">
        <v>1455</v>
      </c>
      <c r="BN54">
        <v>7.0</v>
      </c>
      <c r="BO54">
        <v>5.0</v>
      </c>
      <c r="BP54" t="s">
        <v>1456</v>
      </c>
      <c r="BQ54" t="s">
        <v>1457</v>
      </c>
      <c r="BR54" t="s">
        <v>1458</v>
      </c>
      <c r="BS54" t="s">
        <v>1459</v>
      </c>
      <c r="BU54" t="s">
        <v>528</v>
      </c>
      <c r="BV54" s="3" t="s">
        <v>1460</v>
      </c>
      <c r="BW54" t="b">
        <v>1</v>
      </c>
      <c r="BX54" t="s">
        <v>1394</v>
      </c>
      <c r="BY54" t="s">
        <v>140</v>
      </c>
      <c r="CA54" t="s">
        <v>1395</v>
      </c>
      <c r="CD54">
        <v>0.0</v>
      </c>
      <c r="CF54" t="b">
        <v>0</v>
      </c>
      <c r="CG54" t="b">
        <v>1</v>
      </c>
      <c r="CH54" t="s">
        <v>168</v>
      </c>
      <c r="CJ54" t="b">
        <v>1</v>
      </c>
      <c r="CK54" t="b">
        <v>1</v>
      </c>
      <c r="CL54" t="s">
        <v>362</v>
      </c>
      <c r="CM54" t="s">
        <v>163</v>
      </c>
      <c r="CO54" t="s">
        <v>620</v>
      </c>
      <c r="CP54" t="s">
        <v>1461</v>
      </c>
      <c r="CQ54" t="s">
        <v>1462</v>
      </c>
      <c r="CR54" t="b">
        <v>1</v>
      </c>
      <c r="CT54">
        <v>2.0</v>
      </c>
      <c r="CU54">
        <v>1.0</v>
      </c>
      <c r="CZ54" s="5">
        <v>44225.969976851855</v>
      </c>
      <c r="DA54" t="s">
        <v>1463</v>
      </c>
    </row>
    <row r="55">
      <c r="A55" t="s">
        <v>1399</v>
      </c>
      <c r="D55" t="s">
        <v>1464</v>
      </c>
      <c r="E55" t="s">
        <v>1465</v>
      </c>
      <c r="F55" s="2">
        <v>42274.0</v>
      </c>
      <c r="G55" t="s">
        <v>1466</v>
      </c>
      <c r="I55" s="3" t="s">
        <v>1467</v>
      </c>
      <c r="J55" t="s">
        <v>1468</v>
      </c>
      <c r="K55" t="b">
        <v>1</v>
      </c>
      <c r="L55" s="4" t="s">
        <v>1469</v>
      </c>
      <c r="M55" t="s">
        <v>1470</v>
      </c>
      <c r="N55" t="s">
        <v>149</v>
      </c>
      <c r="O55" t="s">
        <v>1439</v>
      </c>
      <c r="P55" t="s">
        <v>1385</v>
      </c>
      <c r="Q55" t="s">
        <v>292</v>
      </c>
      <c r="R55" t="s">
        <v>1468</v>
      </c>
      <c r="S55" t="s">
        <v>1471</v>
      </c>
      <c r="T55" s="4" t="s">
        <v>1472</v>
      </c>
      <c r="U55" t="s">
        <v>1473</v>
      </c>
      <c r="V55" t="s">
        <v>1474</v>
      </c>
      <c r="W55" t="s">
        <v>1475</v>
      </c>
      <c r="Y55" t="s">
        <v>1476</v>
      </c>
      <c r="AA55" t="s">
        <v>115</v>
      </c>
      <c r="AB55" t="s">
        <v>1385</v>
      </c>
      <c r="AC55" s="3" t="s">
        <v>1477</v>
      </c>
      <c r="AD55" t="s">
        <v>543</v>
      </c>
      <c r="AE55" t="s">
        <v>1220</v>
      </c>
      <c r="AH55" t="s">
        <v>1385</v>
      </c>
      <c r="AI55" t="s">
        <v>205</v>
      </c>
      <c r="AK55" t="s">
        <v>1390</v>
      </c>
      <c r="AL55" t="s">
        <v>1478</v>
      </c>
      <c r="AO55" t="s">
        <v>1479</v>
      </c>
      <c r="AP55">
        <v>2.0</v>
      </c>
      <c r="AQ55" t="s">
        <v>1480</v>
      </c>
      <c r="AR55" t="s">
        <v>1474</v>
      </c>
      <c r="AS55" t="b">
        <v>1</v>
      </c>
      <c r="AT55" t="b">
        <v>0</v>
      </c>
      <c r="AV55">
        <v>5.0</v>
      </c>
      <c r="AW55" t="b">
        <v>1</v>
      </c>
      <c r="AX55" t="s">
        <v>1481</v>
      </c>
      <c r="AY55" t="s">
        <v>307</v>
      </c>
      <c r="AZ55" t="b">
        <v>1</v>
      </c>
      <c r="BA55" t="b">
        <v>1</v>
      </c>
      <c r="BB55" t="b">
        <v>0</v>
      </c>
      <c r="BC55" t="s">
        <v>1473</v>
      </c>
      <c r="BH55" t="s">
        <v>974</v>
      </c>
      <c r="BL55">
        <v>3.0</v>
      </c>
      <c r="BM55" t="s">
        <v>1482</v>
      </c>
      <c r="BN55">
        <v>2.0</v>
      </c>
      <c r="BO55">
        <v>2.0</v>
      </c>
      <c r="BP55" t="s">
        <v>1483</v>
      </c>
      <c r="BQ55" t="s">
        <v>1484</v>
      </c>
      <c r="BR55" t="s">
        <v>1485</v>
      </c>
      <c r="BS55" t="s">
        <v>1486</v>
      </c>
      <c r="BU55" t="s">
        <v>1487</v>
      </c>
      <c r="BV55" s="3" t="s">
        <v>1488</v>
      </c>
      <c r="BW55" t="b">
        <v>1</v>
      </c>
      <c r="BX55" t="s">
        <v>1394</v>
      </c>
      <c r="BY55" t="s">
        <v>822</v>
      </c>
      <c r="BZ55" t="s">
        <v>1419</v>
      </c>
      <c r="CA55" t="s">
        <v>1395</v>
      </c>
      <c r="CD55">
        <v>0.0</v>
      </c>
      <c r="CF55" t="b">
        <v>1</v>
      </c>
      <c r="CG55" t="b">
        <v>1</v>
      </c>
      <c r="CH55" t="s">
        <v>1474</v>
      </c>
      <c r="CJ55" t="b">
        <v>1</v>
      </c>
      <c r="CK55" t="b">
        <v>0</v>
      </c>
      <c r="CL55" t="s">
        <v>413</v>
      </c>
      <c r="CM55" t="s">
        <v>362</v>
      </c>
      <c r="CO55" t="s">
        <v>1474</v>
      </c>
      <c r="CQ55" t="s">
        <v>1489</v>
      </c>
      <c r="CS55" t="b">
        <v>1</v>
      </c>
      <c r="CT55">
        <v>1.0</v>
      </c>
      <c r="CU55">
        <v>2.0</v>
      </c>
      <c r="CV55" t="s">
        <v>1385</v>
      </c>
      <c r="CW55">
        <v>2.0</v>
      </c>
      <c r="CZ55" s="5">
        <v>44226.174837962964</v>
      </c>
      <c r="DA55" t="s">
        <v>1490</v>
      </c>
    </row>
    <row r="56">
      <c r="A56" t="s">
        <v>1399</v>
      </c>
      <c r="D56" t="s">
        <v>1385</v>
      </c>
      <c r="E56" t="s">
        <v>1385</v>
      </c>
      <c r="F56" s="2">
        <v>241848.0</v>
      </c>
      <c r="G56" t="s">
        <v>1491</v>
      </c>
      <c r="I56" s="3" t="s">
        <v>1492</v>
      </c>
      <c r="J56" t="s">
        <v>1441</v>
      </c>
      <c r="K56" t="b">
        <v>1</v>
      </c>
      <c r="L56" s="4" t="s">
        <v>1493</v>
      </c>
      <c r="M56" t="s">
        <v>1494</v>
      </c>
      <c r="N56" t="s">
        <v>149</v>
      </c>
      <c r="O56" t="s">
        <v>1439</v>
      </c>
      <c r="P56" t="s">
        <v>1390</v>
      </c>
      <c r="Q56" t="s">
        <v>563</v>
      </c>
      <c r="R56" t="s">
        <v>1441</v>
      </c>
      <c r="S56" t="s">
        <v>1385</v>
      </c>
      <c r="T56" s="4" t="s">
        <v>1495</v>
      </c>
      <c r="U56" t="s">
        <v>1473</v>
      </c>
      <c r="V56" t="s">
        <v>1385</v>
      </c>
      <c r="W56" t="s">
        <v>1496</v>
      </c>
      <c r="Y56" t="s">
        <v>1476</v>
      </c>
      <c r="AA56" t="s">
        <v>1497</v>
      </c>
      <c r="AB56" t="s">
        <v>1473</v>
      </c>
      <c r="AC56" s="3" t="s">
        <v>1498</v>
      </c>
      <c r="AD56" t="s">
        <v>1446</v>
      </c>
      <c r="AE56" t="s">
        <v>781</v>
      </c>
      <c r="AH56" t="s">
        <v>1499</v>
      </c>
      <c r="AI56" t="s">
        <v>543</v>
      </c>
      <c r="AK56" t="s">
        <v>1385</v>
      </c>
      <c r="AL56" t="s">
        <v>1473</v>
      </c>
      <c r="AO56" t="s">
        <v>1479</v>
      </c>
      <c r="AP56">
        <v>2.0</v>
      </c>
      <c r="AQ56" t="s">
        <v>268</v>
      </c>
      <c r="AR56" t="s">
        <v>1390</v>
      </c>
      <c r="AS56" t="b">
        <v>0</v>
      </c>
      <c r="AV56">
        <v>2.0</v>
      </c>
      <c r="AW56" t="b">
        <v>0</v>
      </c>
      <c r="AZ56" t="b">
        <v>1</v>
      </c>
      <c r="BA56" t="b">
        <v>0</v>
      </c>
      <c r="BD56" t="s">
        <v>1385</v>
      </c>
      <c r="BH56" t="s">
        <v>974</v>
      </c>
      <c r="BL56">
        <v>3.0</v>
      </c>
      <c r="BM56" t="s">
        <v>1385</v>
      </c>
      <c r="BN56">
        <v>4.0</v>
      </c>
      <c r="BO56">
        <v>1.0</v>
      </c>
      <c r="BP56" t="s">
        <v>1390</v>
      </c>
      <c r="BQ56" t="s">
        <v>1500</v>
      </c>
      <c r="BR56" t="s">
        <v>1385</v>
      </c>
      <c r="BS56" t="s">
        <v>1390</v>
      </c>
      <c r="BU56" t="s">
        <v>1385</v>
      </c>
      <c r="BV56" s="3" t="s">
        <v>1501</v>
      </c>
      <c r="BW56" t="b">
        <v>1</v>
      </c>
      <c r="BX56" t="s">
        <v>1394</v>
      </c>
      <c r="BY56" t="s">
        <v>822</v>
      </c>
      <c r="BZ56" t="s">
        <v>1419</v>
      </c>
      <c r="CD56">
        <v>0.0</v>
      </c>
      <c r="CF56" t="b">
        <v>1</v>
      </c>
      <c r="CG56" t="b">
        <v>0</v>
      </c>
      <c r="CH56" t="s">
        <v>1385</v>
      </c>
      <c r="CJ56" t="b">
        <v>0</v>
      </c>
      <c r="CK56" t="b">
        <v>1</v>
      </c>
      <c r="CL56" t="s">
        <v>413</v>
      </c>
      <c r="CM56" t="s">
        <v>387</v>
      </c>
      <c r="CN56" t="s">
        <v>1390</v>
      </c>
      <c r="CO56" t="s">
        <v>1390</v>
      </c>
      <c r="CQ56" t="s">
        <v>810</v>
      </c>
      <c r="CS56" t="b">
        <v>1</v>
      </c>
      <c r="CT56">
        <v>2.0</v>
      </c>
      <c r="CU56">
        <v>3.0</v>
      </c>
      <c r="CX56" t="s">
        <v>1502</v>
      </c>
      <c r="CZ56" s="5">
        <v>44226.189780092594</v>
      </c>
      <c r="DA56" t="s">
        <v>1503</v>
      </c>
    </row>
    <row r="57">
      <c r="A57" t="s">
        <v>98</v>
      </c>
      <c r="D57" t="s">
        <v>1504</v>
      </c>
      <c r="E57" t="s">
        <v>1505</v>
      </c>
      <c r="F57" s="2">
        <v>422104.0</v>
      </c>
      <c r="G57" t="s">
        <v>1466</v>
      </c>
      <c r="I57" s="3" t="s">
        <v>1506</v>
      </c>
      <c r="J57" t="s">
        <v>930</v>
      </c>
      <c r="K57" t="b">
        <v>1</v>
      </c>
      <c r="L57" s="4" t="s">
        <v>1507</v>
      </c>
      <c r="M57" t="s">
        <v>1508</v>
      </c>
      <c r="N57" t="s">
        <v>255</v>
      </c>
      <c r="O57" t="s">
        <v>1439</v>
      </c>
      <c r="P57" t="s">
        <v>1509</v>
      </c>
      <c r="Q57" t="s">
        <v>1510</v>
      </c>
      <c r="R57" t="s">
        <v>1441</v>
      </c>
      <c r="S57" t="s">
        <v>1511</v>
      </c>
      <c r="T57" s="4" t="s">
        <v>1512</v>
      </c>
      <c r="U57" t="s">
        <v>1513</v>
      </c>
      <c r="V57" s="4" t="s">
        <v>1514</v>
      </c>
      <c r="W57" t="s">
        <v>194</v>
      </c>
      <c r="Y57" t="s">
        <v>158</v>
      </c>
      <c r="Z57" t="s">
        <v>195</v>
      </c>
      <c r="AC57" s="3" t="s">
        <v>1515</v>
      </c>
      <c r="AD57" t="s">
        <v>1516</v>
      </c>
      <c r="AE57" t="s">
        <v>729</v>
      </c>
      <c r="AF57" t="s">
        <v>1517</v>
      </c>
      <c r="AG57">
        <v>12.0</v>
      </c>
      <c r="AI57" t="s">
        <v>386</v>
      </c>
      <c r="AK57" t="s">
        <v>1518</v>
      </c>
      <c r="AL57" t="s">
        <v>1519</v>
      </c>
      <c r="AO57" t="s">
        <v>335</v>
      </c>
      <c r="AP57">
        <v>2.0</v>
      </c>
      <c r="AQ57" t="s">
        <v>1520</v>
      </c>
      <c r="AR57" t="s">
        <v>1473</v>
      </c>
      <c r="AS57" t="b">
        <v>1</v>
      </c>
      <c r="AT57" t="b">
        <v>1</v>
      </c>
      <c r="AV57">
        <v>6.0</v>
      </c>
      <c r="AW57" t="b">
        <v>1</v>
      </c>
      <c r="AX57" s="4" t="s">
        <v>1521</v>
      </c>
      <c r="AY57" t="s">
        <v>1451</v>
      </c>
      <c r="AZ57" t="b">
        <v>1</v>
      </c>
      <c r="BA57" t="b">
        <v>0</v>
      </c>
      <c r="BD57" t="s">
        <v>1522</v>
      </c>
      <c r="BH57" t="s">
        <v>132</v>
      </c>
      <c r="BI57">
        <v>2.0</v>
      </c>
      <c r="BJ57" t="s">
        <v>1523</v>
      </c>
      <c r="BK57">
        <v>5.0</v>
      </c>
      <c r="BL57">
        <v>5.0</v>
      </c>
      <c r="BM57" t="s">
        <v>1524</v>
      </c>
      <c r="BN57">
        <v>4.0</v>
      </c>
      <c r="BO57">
        <v>3.0</v>
      </c>
      <c r="BP57" t="s">
        <v>1525</v>
      </c>
      <c r="BQ57" t="s">
        <v>1526</v>
      </c>
      <c r="BR57" t="s">
        <v>1527</v>
      </c>
      <c r="BS57" t="s">
        <v>1528</v>
      </c>
      <c r="BU57" t="s">
        <v>1529</v>
      </c>
      <c r="BV57" s="3" t="s">
        <v>1530</v>
      </c>
      <c r="BW57" t="b">
        <v>1</v>
      </c>
      <c r="BX57" t="s">
        <v>1394</v>
      </c>
      <c r="BY57" t="s">
        <v>140</v>
      </c>
      <c r="CA57" t="s">
        <v>1395</v>
      </c>
      <c r="CD57">
        <v>0.0</v>
      </c>
      <c r="CF57" t="b">
        <v>0</v>
      </c>
      <c r="CG57" t="b">
        <v>1</v>
      </c>
      <c r="CH57" t="s">
        <v>1531</v>
      </c>
      <c r="CJ57" t="b">
        <v>1</v>
      </c>
      <c r="CK57" t="b">
        <v>0</v>
      </c>
      <c r="CL57" t="s">
        <v>387</v>
      </c>
      <c r="CM57" t="s">
        <v>362</v>
      </c>
      <c r="CO57" t="s">
        <v>1532</v>
      </c>
      <c r="CQ57" t="s">
        <v>163</v>
      </c>
      <c r="CR57" t="b">
        <v>1</v>
      </c>
      <c r="CT57">
        <v>1.0</v>
      </c>
      <c r="CU57">
        <v>3.0</v>
      </c>
      <c r="CX57" t="s">
        <v>1533</v>
      </c>
      <c r="CZ57" s="5">
        <v>44226.96511574074</v>
      </c>
      <c r="DA57" t="s">
        <v>1534</v>
      </c>
    </row>
    <row r="58">
      <c r="A58" t="s">
        <v>98</v>
      </c>
      <c r="D58" t="s">
        <v>1535</v>
      </c>
      <c r="E58" t="s">
        <v>1359</v>
      </c>
      <c r="F58" s="2">
        <v>38279.0</v>
      </c>
      <c r="G58" t="s">
        <v>1360</v>
      </c>
      <c r="I58" s="3" t="s">
        <v>1536</v>
      </c>
      <c r="J58" t="s">
        <v>1537</v>
      </c>
      <c r="K58" t="b">
        <v>1</v>
      </c>
      <c r="L58" s="4" t="s">
        <v>1538</v>
      </c>
      <c r="M58" t="s">
        <v>1539</v>
      </c>
      <c r="N58" t="s">
        <v>255</v>
      </c>
      <c r="P58" t="s">
        <v>1540</v>
      </c>
      <c r="Q58" t="s">
        <v>189</v>
      </c>
      <c r="R58" t="s">
        <v>1541</v>
      </c>
      <c r="S58" t="s">
        <v>1542</v>
      </c>
      <c r="T58" s="4" t="s">
        <v>1366</v>
      </c>
      <c r="U58" t="s">
        <v>1543</v>
      </c>
      <c r="V58" t="s">
        <v>1544</v>
      </c>
      <c r="W58" t="s">
        <v>113</v>
      </c>
      <c r="Y58" t="s">
        <v>158</v>
      </c>
      <c r="Z58" t="s">
        <v>262</v>
      </c>
      <c r="AC58" s="3" t="s">
        <v>1545</v>
      </c>
      <c r="AD58" t="s">
        <v>118</v>
      </c>
      <c r="AE58" t="s">
        <v>729</v>
      </c>
      <c r="AF58" t="s">
        <v>1019</v>
      </c>
      <c r="AG58">
        <v>11.0</v>
      </c>
      <c r="AI58" t="s">
        <v>121</v>
      </c>
      <c r="AK58" t="s">
        <v>179</v>
      </c>
      <c r="AL58" t="s">
        <v>1546</v>
      </c>
      <c r="AO58" t="s">
        <v>125</v>
      </c>
      <c r="AP58">
        <v>4.0</v>
      </c>
      <c r="AQ58" t="s">
        <v>1520</v>
      </c>
      <c r="AR58" t="s">
        <v>1547</v>
      </c>
      <c r="AS58" t="b">
        <v>1</v>
      </c>
      <c r="AT58" t="b">
        <v>0</v>
      </c>
      <c r="AV58">
        <v>4.0</v>
      </c>
      <c r="AW58" t="b">
        <v>0</v>
      </c>
      <c r="AZ58" t="b">
        <v>1</v>
      </c>
      <c r="BA58" t="b">
        <v>0</v>
      </c>
      <c r="BD58" t="s">
        <v>1548</v>
      </c>
      <c r="BH58" t="s">
        <v>132</v>
      </c>
      <c r="BI58">
        <v>4.0</v>
      </c>
      <c r="BJ58" t="s">
        <v>1549</v>
      </c>
      <c r="BK58">
        <v>3.0</v>
      </c>
      <c r="BL58">
        <v>5.0</v>
      </c>
      <c r="BM58" t="s">
        <v>1550</v>
      </c>
      <c r="BN58">
        <v>2.0</v>
      </c>
      <c r="BO58">
        <v>4.0</v>
      </c>
      <c r="BP58" t="s">
        <v>1551</v>
      </c>
      <c r="BQ58" t="s">
        <v>1552</v>
      </c>
      <c r="BR58" t="s">
        <v>1553</v>
      </c>
      <c r="BS58" t="s">
        <v>1554</v>
      </c>
      <c r="BU58" t="s">
        <v>1555</v>
      </c>
      <c r="BV58" s="3" t="s">
        <v>1556</v>
      </c>
      <c r="BW58" t="b">
        <v>1</v>
      </c>
      <c r="BX58" t="s">
        <v>1394</v>
      </c>
      <c r="BY58" t="s">
        <v>140</v>
      </c>
      <c r="CA58" t="s">
        <v>1395</v>
      </c>
      <c r="CD58">
        <v>0.0</v>
      </c>
      <c r="CF58" t="b">
        <v>1</v>
      </c>
      <c r="CG58" t="b">
        <v>0</v>
      </c>
      <c r="CH58" t="s">
        <v>1557</v>
      </c>
      <c r="CJ58" t="b">
        <v>0</v>
      </c>
      <c r="CK58" t="b">
        <v>0</v>
      </c>
      <c r="CL58" t="s">
        <v>387</v>
      </c>
      <c r="CO58" t="s">
        <v>200</v>
      </c>
      <c r="CR58" t="b">
        <v>1</v>
      </c>
      <c r="CT58">
        <v>2.0</v>
      </c>
      <c r="CU58">
        <v>0.0</v>
      </c>
      <c r="CX58" t="s">
        <v>1558</v>
      </c>
      <c r="CZ58" s="5">
        <v>44227.048483796294</v>
      </c>
      <c r="DA58" t="s">
        <v>1559</v>
      </c>
    </row>
    <row r="59">
      <c r="A59" t="s">
        <v>98</v>
      </c>
      <c r="D59" t="s">
        <v>1560</v>
      </c>
      <c r="E59" t="s">
        <v>1561</v>
      </c>
      <c r="F59" s="2">
        <v>12667.0</v>
      </c>
      <c r="G59" t="s">
        <v>1562</v>
      </c>
      <c r="I59" s="3" t="s">
        <v>1563</v>
      </c>
      <c r="J59" t="s">
        <v>1468</v>
      </c>
      <c r="K59" t="b">
        <v>1</v>
      </c>
      <c r="L59" s="4" t="s">
        <v>1564</v>
      </c>
      <c r="M59" t="s">
        <v>1565</v>
      </c>
      <c r="N59" t="s">
        <v>105</v>
      </c>
      <c r="O59" t="s">
        <v>620</v>
      </c>
      <c r="P59" t="s">
        <v>1566</v>
      </c>
      <c r="Q59" t="s">
        <v>108</v>
      </c>
      <c r="R59" t="s">
        <v>930</v>
      </c>
      <c r="S59" t="s">
        <v>1567</v>
      </c>
      <c r="T59" s="4" t="s">
        <v>1568</v>
      </c>
      <c r="U59" t="s">
        <v>1473</v>
      </c>
      <c r="V59" t="s">
        <v>1569</v>
      </c>
      <c r="W59" t="s">
        <v>1388</v>
      </c>
      <c r="Y59" t="s">
        <v>158</v>
      </c>
      <c r="Z59" t="s">
        <v>262</v>
      </c>
      <c r="AC59" s="3" t="s">
        <v>1570</v>
      </c>
      <c r="AD59" t="s">
        <v>1516</v>
      </c>
      <c r="AE59" t="s">
        <v>729</v>
      </c>
      <c r="AF59" t="s">
        <v>1571</v>
      </c>
      <c r="AG59">
        <v>24.0</v>
      </c>
      <c r="AI59" t="s">
        <v>162</v>
      </c>
      <c r="AK59" t="s">
        <v>1572</v>
      </c>
      <c r="AL59" t="s">
        <v>1573</v>
      </c>
      <c r="AO59" t="s">
        <v>125</v>
      </c>
      <c r="AP59">
        <v>6.0</v>
      </c>
      <c r="AQ59" t="s">
        <v>268</v>
      </c>
      <c r="AR59" t="s">
        <v>1573</v>
      </c>
      <c r="AS59" t="b">
        <v>0</v>
      </c>
      <c r="AV59">
        <v>2.0</v>
      </c>
      <c r="AW59" t="b">
        <v>0</v>
      </c>
      <c r="AZ59" t="b">
        <v>0</v>
      </c>
      <c r="BA59" t="b">
        <v>0</v>
      </c>
      <c r="BD59" t="s">
        <v>1574</v>
      </c>
      <c r="BH59" t="s">
        <v>132</v>
      </c>
      <c r="BI59">
        <v>6.0</v>
      </c>
      <c r="BJ59" t="s">
        <v>1575</v>
      </c>
      <c r="BK59">
        <v>4.0</v>
      </c>
      <c r="BL59">
        <v>5.0</v>
      </c>
      <c r="BM59" t="s">
        <v>1576</v>
      </c>
      <c r="BN59">
        <v>3.0</v>
      </c>
      <c r="BO59">
        <v>3.0</v>
      </c>
      <c r="BP59" t="s">
        <v>1525</v>
      </c>
      <c r="BQ59" t="s">
        <v>1577</v>
      </c>
      <c r="BR59" t="s">
        <v>1578</v>
      </c>
      <c r="BS59" t="s">
        <v>1579</v>
      </c>
      <c r="BU59" t="s">
        <v>1580</v>
      </c>
      <c r="BV59" s="3" t="s">
        <v>1581</v>
      </c>
      <c r="BW59" t="b">
        <v>1</v>
      </c>
      <c r="BX59" t="s">
        <v>1394</v>
      </c>
      <c r="BY59" t="s">
        <v>140</v>
      </c>
      <c r="CA59" t="s">
        <v>1395</v>
      </c>
      <c r="CD59">
        <v>0.0</v>
      </c>
      <c r="CF59" t="b">
        <v>1</v>
      </c>
      <c r="CG59" t="b">
        <v>0</v>
      </c>
      <c r="CH59" t="s">
        <v>1582</v>
      </c>
      <c r="CJ59" t="b">
        <v>0</v>
      </c>
      <c r="CK59" t="b">
        <v>0</v>
      </c>
      <c r="CL59" t="s">
        <v>1583</v>
      </c>
      <c r="CM59" t="s">
        <v>810</v>
      </c>
      <c r="CO59" t="s">
        <v>1584</v>
      </c>
      <c r="CQ59" t="s">
        <v>1489</v>
      </c>
      <c r="CR59" t="b">
        <v>1</v>
      </c>
      <c r="CT59">
        <v>1.0</v>
      </c>
      <c r="CU59">
        <v>3.0</v>
      </c>
      <c r="CX59" t="s">
        <v>1585</v>
      </c>
      <c r="CZ59" s="5">
        <v>44227.74462962963</v>
      </c>
      <c r="DA59" t="s">
        <v>1586</v>
      </c>
    </row>
    <row r="60">
      <c r="A60" t="s">
        <v>98</v>
      </c>
      <c r="D60" t="s">
        <v>1587</v>
      </c>
      <c r="E60" t="s">
        <v>1588</v>
      </c>
      <c r="F60" s="2">
        <v>37830.0</v>
      </c>
      <c r="G60" t="s">
        <v>1466</v>
      </c>
      <c r="I60" s="3" t="s">
        <v>1589</v>
      </c>
      <c r="J60" t="s">
        <v>1590</v>
      </c>
      <c r="K60" t="b">
        <v>1</v>
      </c>
      <c r="L60" s="4" t="s">
        <v>1591</v>
      </c>
      <c r="M60" t="s">
        <v>1592</v>
      </c>
      <c r="N60" t="s">
        <v>105</v>
      </c>
      <c r="O60" t="s">
        <v>1593</v>
      </c>
      <c r="P60" t="s">
        <v>1594</v>
      </c>
      <c r="Q60" t="s">
        <v>1510</v>
      </c>
      <c r="R60" t="s">
        <v>1595</v>
      </c>
      <c r="S60" t="s">
        <v>1596</v>
      </c>
      <c r="T60" s="4" t="s">
        <v>1597</v>
      </c>
      <c r="U60" t="s">
        <v>217</v>
      </c>
      <c r="V60" t="s">
        <v>1598</v>
      </c>
      <c r="W60" t="s">
        <v>194</v>
      </c>
      <c r="Y60" t="s">
        <v>158</v>
      </c>
      <c r="Z60" t="s">
        <v>195</v>
      </c>
      <c r="AC60" s="3" t="s">
        <v>1599</v>
      </c>
      <c r="AD60" t="s">
        <v>118</v>
      </c>
      <c r="AE60" t="s">
        <v>1220</v>
      </c>
      <c r="AH60" t="s">
        <v>1600</v>
      </c>
      <c r="AI60" t="s">
        <v>121</v>
      </c>
      <c r="AK60" t="s">
        <v>179</v>
      </c>
      <c r="AL60" t="s">
        <v>621</v>
      </c>
      <c r="AO60" t="s">
        <v>486</v>
      </c>
      <c r="AP60">
        <v>4.0</v>
      </c>
      <c r="AQ60" t="s">
        <v>268</v>
      </c>
      <c r="AR60" t="s">
        <v>1601</v>
      </c>
      <c r="AS60" t="b">
        <v>0</v>
      </c>
      <c r="AV60">
        <v>5.0</v>
      </c>
      <c r="AW60" t="b">
        <v>0</v>
      </c>
      <c r="AZ60" t="b">
        <v>0</v>
      </c>
      <c r="BA60" t="b">
        <v>0</v>
      </c>
      <c r="BD60" t="s">
        <v>1602</v>
      </c>
      <c r="BH60" t="s">
        <v>132</v>
      </c>
      <c r="BI60">
        <v>4.0</v>
      </c>
      <c r="BJ60" t="s">
        <v>1603</v>
      </c>
      <c r="BK60">
        <v>4.0</v>
      </c>
      <c r="BL60">
        <v>6.0</v>
      </c>
      <c r="BM60" t="s">
        <v>1604</v>
      </c>
      <c r="BN60">
        <v>3.0</v>
      </c>
      <c r="BO60">
        <v>5.0</v>
      </c>
      <c r="BP60" t="s">
        <v>1605</v>
      </c>
      <c r="BQ60" t="s">
        <v>1606</v>
      </c>
      <c r="BR60" t="s">
        <v>1607</v>
      </c>
      <c r="BS60" t="s">
        <v>1608</v>
      </c>
      <c r="BU60" t="s">
        <v>1593</v>
      </c>
      <c r="BV60" s="3" t="s">
        <v>1609</v>
      </c>
      <c r="BW60" t="b">
        <v>1</v>
      </c>
      <c r="BX60" t="s">
        <v>1394</v>
      </c>
      <c r="BY60" t="s">
        <v>140</v>
      </c>
      <c r="CA60" t="s">
        <v>1395</v>
      </c>
      <c r="CD60">
        <v>0.0</v>
      </c>
      <c r="CF60" t="b">
        <v>1</v>
      </c>
      <c r="CG60" t="b">
        <v>1</v>
      </c>
      <c r="CH60" t="s">
        <v>628</v>
      </c>
      <c r="CJ60" t="b">
        <v>1</v>
      </c>
      <c r="CK60" t="b">
        <v>1</v>
      </c>
      <c r="CL60" t="s">
        <v>541</v>
      </c>
      <c r="CM60" t="s">
        <v>541</v>
      </c>
      <c r="CO60" t="s">
        <v>1593</v>
      </c>
      <c r="CQ60" t="s">
        <v>541</v>
      </c>
      <c r="CR60" t="b">
        <v>1</v>
      </c>
      <c r="CT60">
        <v>0.0</v>
      </c>
      <c r="CU60">
        <v>0.0</v>
      </c>
      <c r="CX60" s="4" t="s">
        <v>1610</v>
      </c>
      <c r="CZ60" s="5">
        <v>44228.92113425926</v>
      </c>
      <c r="DA60" t="s">
        <v>1611</v>
      </c>
    </row>
    <row r="61">
      <c r="A61" t="s">
        <v>98</v>
      </c>
      <c r="D61" t="s">
        <v>1612</v>
      </c>
      <c r="E61" t="s">
        <v>1613</v>
      </c>
      <c r="F61" s="2">
        <v>37148.0</v>
      </c>
      <c r="G61" t="s">
        <v>1360</v>
      </c>
      <c r="I61" s="3" t="s">
        <v>1614</v>
      </c>
      <c r="J61" t="s">
        <v>1615</v>
      </c>
      <c r="K61" t="b">
        <v>1</v>
      </c>
      <c r="L61" s="4" t="s">
        <v>1616</v>
      </c>
      <c r="M61" t="s">
        <v>1617</v>
      </c>
      <c r="N61" t="s">
        <v>149</v>
      </c>
      <c r="O61" t="s">
        <v>1618</v>
      </c>
      <c r="P61" t="s">
        <v>1619</v>
      </c>
      <c r="Q61" t="s">
        <v>152</v>
      </c>
      <c r="R61" t="s">
        <v>1620</v>
      </c>
      <c r="S61" t="s">
        <v>1621</v>
      </c>
      <c r="T61" s="4" t="s">
        <v>1622</v>
      </c>
      <c r="U61" t="s">
        <v>1623</v>
      </c>
      <c r="V61" t="s">
        <v>1624</v>
      </c>
      <c r="W61" t="s">
        <v>113</v>
      </c>
      <c r="Y61" t="s">
        <v>158</v>
      </c>
      <c r="Z61" t="s">
        <v>262</v>
      </c>
      <c r="AC61" s="3" t="s">
        <v>1625</v>
      </c>
      <c r="AD61" t="s">
        <v>118</v>
      </c>
      <c r="AE61" t="s">
        <v>729</v>
      </c>
      <c r="AF61" t="s">
        <v>197</v>
      </c>
      <c r="AG61">
        <v>17.0</v>
      </c>
      <c r="AI61" t="s">
        <v>162</v>
      </c>
      <c r="AK61" t="s">
        <v>1626</v>
      </c>
      <c r="AL61" t="s">
        <v>199</v>
      </c>
      <c r="AO61" t="s">
        <v>335</v>
      </c>
      <c r="AP61">
        <v>4.0</v>
      </c>
      <c r="AQ61" t="s">
        <v>166</v>
      </c>
      <c r="AR61" t="s">
        <v>678</v>
      </c>
      <c r="AS61" t="b">
        <v>1</v>
      </c>
      <c r="AT61" t="b">
        <v>0</v>
      </c>
      <c r="AV61">
        <v>4.0</v>
      </c>
      <c r="AW61" t="b">
        <v>0</v>
      </c>
      <c r="AZ61" t="b">
        <v>0</v>
      </c>
      <c r="BA61" t="b">
        <v>0</v>
      </c>
      <c r="BD61" t="s">
        <v>678</v>
      </c>
      <c r="BH61" t="s">
        <v>132</v>
      </c>
      <c r="BI61">
        <v>3.0</v>
      </c>
      <c r="BJ61" t="s">
        <v>1627</v>
      </c>
      <c r="BK61">
        <v>4.0</v>
      </c>
      <c r="BL61">
        <v>4.0</v>
      </c>
      <c r="BM61" t="s">
        <v>1628</v>
      </c>
      <c r="BN61">
        <v>4.0</v>
      </c>
      <c r="BO61">
        <v>4.0</v>
      </c>
      <c r="BP61" t="s">
        <v>1629</v>
      </c>
      <c r="BQ61" t="s">
        <v>1050</v>
      </c>
      <c r="BR61" t="s">
        <v>1630</v>
      </c>
      <c r="BS61" t="s">
        <v>1631</v>
      </c>
      <c r="BU61" t="s">
        <v>1632</v>
      </c>
      <c r="BV61" s="3" t="s">
        <v>1633</v>
      </c>
      <c r="BW61" t="b">
        <v>1</v>
      </c>
      <c r="BX61" t="s">
        <v>497</v>
      </c>
      <c r="BY61" t="s">
        <v>140</v>
      </c>
      <c r="CA61" t="s">
        <v>1395</v>
      </c>
      <c r="CB61" t="s">
        <v>1634</v>
      </c>
      <c r="CD61">
        <v>0.0</v>
      </c>
      <c r="CF61" t="b">
        <v>1</v>
      </c>
      <c r="CG61" t="b">
        <v>0</v>
      </c>
      <c r="CH61" t="s">
        <v>366</v>
      </c>
      <c r="CJ61" t="b">
        <v>0</v>
      </c>
      <c r="CK61" t="b">
        <v>1</v>
      </c>
      <c r="CL61" t="s">
        <v>387</v>
      </c>
      <c r="CM61" t="s">
        <v>541</v>
      </c>
      <c r="CO61" t="s">
        <v>1635</v>
      </c>
      <c r="CR61" t="b">
        <v>1</v>
      </c>
      <c r="CT61">
        <v>0.0</v>
      </c>
      <c r="CU61">
        <v>1.0</v>
      </c>
      <c r="CX61" s="4" t="s">
        <v>1636</v>
      </c>
      <c r="CZ61" s="5">
        <v>44230.98875</v>
      </c>
      <c r="DA61" t="s">
        <v>1637</v>
      </c>
    </row>
    <row r="62">
      <c r="A62" t="s">
        <v>98</v>
      </c>
      <c r="D62" t="s">
        <v>1638</v>
      </c>
      <c r="E62" t="s">
        <v>1639</v>
      </c>
      <c r="F62" s="2">
        <v>37580.0</v>
      </c>
      <c r="G62" t="s">
        <v>1360</v>
      </c>
      <c r="I62" s="3" t="s">
        <v>1640</v>
      </c>
      <c r="J62" t="s">
        <v>1641</v>
      </c>
      <c r="K62" t="b">
        <v>1</v>
      </c>
      <c r="L62" s="4" t="s">
        <v>1642</v>
      </c>
      <c r="M62" t="s">
        <v>1643</v>
      </c>
      <c r="N62" t="s">
        <v>354</v>
      </c>
      <c r="O62" t="s">
        <v>1644</v>
      </c>
      <c r="P62" t="s">
        <v>1645</v>
      </c>
      <c r="Q62" t="s">
        <v>189</v>
      </c>
      <c r="R62" t="s">
        <v>1646</v>
      </c>
      <c r="S62" t="s">
        <v>1647</v>
      </c>
      <c r="T62" s="4" t="s">
        <v>1648</v>
      </c>
      <c r="U62" t="s">
        <v>1543</v>
      </c>
      <c r="V62" t="s">
        <v>1325</v>
      </c>
      <c r="W62" t="s">
        <v>261</v>
      </c>
      <c r="Y62" t="s">
        <v>158</v>
      </c>
      <c r="Z62" t="s">
        <v>262</v>
      </c>
      <c r="AC62" s="3" t="s">
        <v>1649</v>
      </c>
      <c r="AD62" t="s">
        <v>118</v>
      </c>
      <c r="AE62" t="s">
        <v>729</v>
      </c>
      <c r="AF62" t="s">
        <v>1650</v>
      </c>
      <c r="AG62">
        <v>16.0</v>
      </c>
      <c r="AI62" t="s">
        <v>121</v>
      </c>
      <c r="AL62" t="s">
        <v>1651</v>
      </c>
      <c r="AO62" t="s">
        <v>125</v>
      </c>
      <c r="AP62">
        <v>4.0</v>
      </c>
      <c r="AQ62" t="s">
        <v>303</v>
      </c>
      <c r="AR62" t="s">
        <v>1652</v>
      </c>
      <c r="AS62" t="b">
        <v>1</v>
      </c>
      <c r="AT62" t="b">
        <v>1</v>
      </c>
      <c r="AV62">
        <v>6.0</v>
      </c>
      <c r="AW62" t="b">
        <v>0</v>
      </c>
      <c r="AZ62" t="b">
        <v>0</v>
      </c>
      <c r="BA62" t="b">
        <v>0</v>
      </c>
      <c r="BD62" t="s">
        <v>1653</v>
      </c>
      <c r="BH62" t="s">
        <v>132</v>
      </c>
      <c r="BI62">
        <v>1.0</v>
      </c>
      <c r="BJ62" t="s">
        <v>1654</v>
      </c>
      <c r="BK62">
        <v>3.0</v>
      </c>
      <c r="BL62">
        <v>2.0</v>
      </c>
      <c r="BM62" t="s">
        <v>1655</v>
      </c>
      <c r="BN62">
        <v>1.0</v>
      </c>
      <c r="BO62">
        <v>4.0</v>
      </c>
      <c r="BP62" t="s">
        <v>1656</v>
      </c>
      <c r="BQ62" t="s">
        <v>1657</v>
      </c>
      <c r="BR62" t="s">
        <v>1658</v>
      </c>
      <c r="BS62" t="s">
        <v>1659</v>
      </c>
      <c r="BU62" t="s">
        <v>1660</v>
      </c>
      <c r="BV62" s="3" t="s">
        <v>1661</v>
      </c>
      <c r="BW62" t="b">
        <v>1</v>
      </c>
      <c r="BX62" t="s">
        <v>1394</v>
      </c>
      <c r="BY62" t="s">
        <v>140</v>
      </c>
      <c r="CA62" t="s">
        <v>1395</v>
      </c>
      <c r="CD62">
        <v>0.0</v>
      </c>
      <c r="CF62" t="b">
        <v>0</v>
      </c>
      <c r="CG62" t="b">
        <v>0</v>
      </c>
      <c r="CH62" t="s">
        <v>168</v>
      </c>
      <c r="CJ62" t="b">
        <v>0</v>
      </c>
      <c r="CK62" t="b">
        <v>0</v>
      </c>
      <c r="CL62" t="s">
        <v>300</v>
      </c>
      <c r="CM62" t="s">
        <v>300</v>
      </c>
      <c r="CO62" t="s">
        <v>124</v>
      </c>
      <c r="CR62" t="b">
        <v>1</v>
      </c>
      <c r="CT62">
        <v>0.0</v>
      </c>
      <c r="CU62">
        <v>0.0</v>
      </c>
      <c r="CX62" s="4" t="s">
        <v>1662</v>
      </c>
      <c r="CZ62" s="5">
        <v>44231.889398148145</v>
      </c>
      <c r="DA62" t="s">
        <v>1663</v>
      </c>
    </row>
    <row r="63">
      <c r="A63" t="s">
        <v>98</v>
      </c>
      <c r="D63" t="s">
        <v>1664</v>
      </c>
      <c r="E63" t="s">
        <v>1665</v>
      </c>
      <c r="F63" s="2">
        <v>37945.0</v>
      </c>
      <c r="G63" t="s">
        <v>1360</v>
      </c>
      <c r="I63" s="3" t="s">
        <v>1666</v>
      </c>
      <c r="J63" t="s">
        <v>1667</v>
      </c>
      <c r="K63" t="b">
        <v>1</v>
      </c>
      <c r="L63" s="4" t="s">
        <v>1668</v>
      </c>
      <c r="M63" t="s">
        <v>1669</v>
      </c>
      <c r="N63" t="s">
        <v>255</v>
      </c>
      <c r="O63" t="s">
        <v>1670</v>
      </c>
      <c r="P63" t="s">
        <v>1671</v>
      </c>
      <c r="Q63" t="s">
        <v>189</v>
      </c>
      <c r="R63" t="s">
        <v>1672</v>
      </c>
      <c r="S63" t="s">
        <v>1669</v>
      </c>
      <c r="T63" s="4" t="s">
        <v>1673</v>
      </c>
      <c r="U63" t="s">
        <v>1674</v>
      </c>
      <c r="V63" t="s">
        <v>1675</v>
      </c>
      <c r="W63" t="s">
        <v>113</v>
      </c>
      <c r="Y63" t="s">
        <v>158</v>
      </c>
      <c r="Z63" t="s">
        <v>262</v>
      </c>
      <c r="AC63" s="3" t="s">
        <v>1676</v>
      </c>
      <c r="AD63" t="s">
        <v>118</v>
      </c>
      <c r="AE63" t="s">
        <v>729</v>
      </c>
      <c r="AF63" t="s">
        <v>1677</v>
      </c>
      <c r="AG63">
        <v>11.0</v>
      </c>
      <c r="AI63" t="s">
        <v>162</v>
      </c>
      <c r="AL63" t="s">
        <v>199</v>
      </c>
      <c r="AO63" t="s">
        <v>335</v>
      </c>
      <c r="AP63">
        <v>7.0</v>
      </c>
      <c r="AQ63" t="s">
        <v>166</v>
      </c>
      <c r="AR63" t="s">
        <v>1678</v>
      </c>
      <c r="AS63" t="b">
        <v>1</v>
      </c>
      <c r="AT63" t="b">
        <v>0</v>
      </c>
      <c r="AV63">
        <v>5.0</v>
      </c>
      <c r="AW63" t="b">
        <v>0</v>
      </c>
      <c r="AZ63" t="b">
        <v>0</v>
      </c>
      <c r="BA63" t="b">
        <v>0</v>
      </c>
      <c r="BD63" t="s">
        <v>1678</v>
      </c>
      <c r="BH63" t="s">
        <v>132</v>
      </c>
      <c r="BI63">
        <v>3.0</v>
      </c>
      <c r="BJ63" t="s">
        <v>1679</v>
      </c>
      <c r="BK63">
        <v>5.0</v>
      </c>
      <c r="BL63">
        <v>7.0</v>
      </c>
      <c r="BM63" t="s">
        <v>1680</v>
      </c>
      <c r="BN63">
        <v>4.0</v>
      </c>
      <c r="BO63">
        <v>4.0</v>
      </c>
      <c r="BP63" t="s">
        <v>1681</v>
      </c>
      <c r="BQ63" t="s">
        <v>1682</v>
      </c>
      <c r="BR63" t="s">
        <v>1683</v>
      </c>
      <c r="BS63" t="s">
        <v>1684</v>
      </c>
      <c r="BU63" t="s">
        <v>1685</v>
      </c>
      <c r="BV63" s="3" t="s">
        <v>1686</v>
      </c>
      <c r="BW63" t="b">
        <v>1</v>
      </c>
      <c r="BX63" t="s">
        <v>1394</v>
      </c>
      <c r="BY63" t="s">
        <v>140</v>
      </c>
      <c r="CA63" t="s">
        <v>1395</v>
      </c>
      <c r="CD63">
        <v>0.0</v>
      </c>
      <c r="CF63" t="b">
        <v>1</v>
      </c>
      <c r="CG63" t="b">
        <v>1</v>
      </c>
      <c r="CH63" t="s">
        <v>1687</v>
      </c>
      <c r="CJ63" t="b">
        <v>1</v>
      </c>
      <c r="CK63" t="b">
        <v>0</v>
      </c>
      <c r="CL63" t="s">
        <v>387</v>
      </c>
      <c r="CM63" t="s">
        <v>1489</v>
      </c>
      <c r="CO63" t="s">
        <v>1688</v>
      </c>
      <c r="CR63" t="b">
        <v>1</v>
      </c>
      <c r="CT63">
        <v>1.0</v>
      </c>
      <c r="CU63">
        <v>1.0</v>
      </c>
      <c r="CX63" t="s">
        <v>1689</v>
      </c>
      <c r="CZ63" s="5">
        <v>44231.91203703704</v>
      </c>
      <c r="DA63" t="s">
        <v>1690</v>
      </c>
    </row>
    <row r="64">
      <c r="A64" t="s">
        <v>98</v>
      </c>
      <c r="D64" t="s">
        <v>1691</v>
      </c>
      <c r="E64" t="s">
        <v>1692</v>
      </c>
      <c r="F64" s="2">
        <v>37807.0</v>
      </c>
      <c r="G64" t="s">
        <v>1360</v>
      </c>
      <c r="I64" s="3" t="s">
        <v>1693</v>
      </c>
      <c r="J64" t="s">
        <v>1694</v>
      </c>
      <c r="K64" t="b">
        <v>1</v>
      </c>
      <c r="L64" s="4" t="s">
        <v>1695</v>
      </c>
      <c r="M64" t="s">
        <v>1696</v>
      </c>
      <c r="N64" t="s">
        <v>149</v>
      </c>
      <c r="O64" t="s">
        <v>1697</v>
      </c>
      <c r="P64" t="s">
        <v>1698</v>
      </c>
      <c r="Q64" t="s">
        <v>152</v>
      </c>
      <c r="R64" t="s">
        <v>1699</v>
      </c>
      <c r="S64" t="s">
        <v>1700</v>
      </c>
      <c r="T64" s="4" t="s">
        <v>1701</v>
      </c>
      <c r="U64" t="s">
        <v>1702</v>
      </c>
      <c r="V64" t="s">
        <v>1703</v>
      </c>
      <c r="W64" t="s">
        <v>113</v>
      </c>
      <c r="Y64" t="s">
        <v>158</v>
      </c>
      <c r="Z64" t="s">
        <v>262</v>
      </c>
      <c r="AC64" s="3" t="s">
        <v>1704</v>
      </c>
      <c r="AD64" t="s">
        <v>118</v>
      </c>
      <c r="AE64" t="s">
        <v>729</v>
      </c>
      <c r="AF64" t="s">
        <v>1705</v>
      </c>
      <c r="AG64">
        <v>15.0</v>
      </c>
      <c r="AI64" t="s">
        <v>162</v>
      </c>
      <c r="AK64" t="s">
        <v>179</v>
      </c>
      <c r="AL64" t="s">
        <v>1706</v>
      </c>
      <c r="AO64" t="s">
        <v>335</v>
      </c>
      <c r="AP64">
        <v>5.0</v>
      </c>
      <c r="AQ64" t="s">
        <v>166</v>
      </c>
      <c r="AR64" t="s">
        <v>1707</v>
      </c>
      <c r="AS64" t="b">
        <v>1</v>
      </c>
      <c r="AT64" t="b">
        <v>0</v>
      </c>
      <c r="AV64">
        <v>5.0</v>
      </c>
      <c r="AW64" t="b">
        <v>0</v>
      </c>
      <c r="AZ64" t="b">
        <v>0</v>
      </c>
      <c r="BA64" t="b">
        <v>0</v>
      </c>
      <c r="BD64" t="s">
        <v>1708</v>
      </c>
      <c r="BH64" t="s">
        <v>132</v>
      </c>
      <c r="BI64">
        <v>1.0</v>
      </c>
      <c r="BJ64" t="s">
        <v>1709</v>
      </c>
      <c r="BK64">
        <v>4.0</v>
      </c>
      <c r="BL64">
        <v>7.0</v>
      </c>
      <c r="BM64" t="s">
        <v>1710</v>
      </c>
      <c r="BN64">
        <v>3.0</v>
      </c>
      <c r="BO64">
        <v>3.0</v>
      </c>
      <c r="BP64" t="s">
        <v>1711</v>
      </c>
      <c r="BQ64" t="s">
        <v>945</v>
      </c>
      <c r="BR64" t="s">
        <v>1712</v>
      </c>
      <c r="BS64" t="s">
        <v>1713</v>
      </c>
      <c r="BU64" t="s">
        <v>1714</v>
      </c>
      <c r="BV64" s="3" t="s">
        <v>1715</v>
      </c>
      <c r="BW64" t="b">
        <v>1</v>
      </c>
      <c r="BX64" t="s">
        <v>1394</v>
      </c>
      <c r="BY64" t="s">
        <v>140</v>
      </c>
      <c r="CA64" t="s">
        <v>1395</v>
      </c>
      <c r="CD64">
        <v>0.0</v>
      </c>
      <c r="CF64" t="b">
        <v>1</v>
      </c>
      <c r="CG64" t="b">
        <v>0</v>
      </c>
      <c r="CH64" t="s">
        <v>1420</v>
      </c>
      <c r="CJ64" t="b">
        <v>1</v>
      </c>
      <c r="CK64" t="b">
        <v>1</v>
      </c>
      <c r="CL64" t="s">
        <v>387</v>
      </c>
      <c r="CM64" t="s">
        <v>387</v>
      </c>
      <c r="CO64" t="s">
        <v>200</v>
      </c>
      <c r="CQ64" t="s">
        <v>387</v>
      </c>
      <c r="CR64" t="b">
        <v>1</v>
      </c>
      <c r="CT64">
        <v>0.0</v>
      </c>
      <c r="CU64">
        <v>0.0</v>
      </c>
      <c r="CX64" t="s">
        <v>1716</v>
      </c>
      <c r="CZ64" s="5">
        <v>44231.916655092595</v>
      </c>
      <c r="DA64" t="s">
        <v>1717</v>
      </c>
    </row>
    <row r="65">
      <c r="A65" t="s">
        <v>98</v>
      </c>
      <c r="D65" t="s">
        <v>1718</v>
      </c>
      <c r="E65" t="s">
        <v>1719</v>
      </c>
      <c r="F65" s="2">
        <v>36717.0</v>
      </c>
      <c r="G65" t="s">
        <v>1360</v>
      </c>
      <c r="I65" s="3" t="s">
        <v>1720</v>
      </c>
      <c r="J65" t="s">
        <v>1721</v>
      </c>
      <c r="K65" t="b">
        <v>0</v>
      </c>
      <c r="M65" t="s">
        <v>1722</v>
      </c>
      <c r="N65" t="s">
        <v>255</v>
      </c>
      <c r="O65" t="s">
        <v>1723</v>
      </c>
      <c r="P65" t="s">
        <v>1724</v>
      </c>
      <c r="Q65" t="s">
        <v>152</v>
      </c>
      <c r="R65" t="s">
        <v>1725</v>
      </c>
      <c r="S65" t="s">
        <v>1726</v>
      </c>
      <c r="T65" s="4" t="s">
        <v>1727</v>
      </c>
      <c r="U65" t="s">
        <v>1728</v>
      </c>
      <c r="V65" t="s">
        <v>1729</v>
      </c>
      <c r="W65" t="s">
        <v>113</v>
      </c>
      <c r="Y65" t="s">
        <v>158</v>
      </c>
      <c r="Z65" t="s">
        <v>262</v>
      </c>
      <c r="AC65" s="3" t="s">
        <v>1730</v>
      </c>
      <c r="AD65" t="s">
        <v>118</v>
      </c>
      <c r="AE65" t="s">
        <v>729</v>
      </c>
      <c r="AF65" t="s">
        <v>1731</v>
      </c>
      <c r="AG65">
        <v>19.0</v>
      </c>
      <c r="AI65" t="s">
        <v>162</v>
      </c>
      <c r="AK65" t="s">
        <v>1732</v>
      </c>
      <c r="AL65" t="s">
        <v>1733</v>
      </c>
      <c r="AO65" t="s">
        <v>125</v>
      </c>
      <c r="AP65">
        <v>6.0</v>
      </c>
      <c r="AQ65" t="s">
        <v>166</v>
      </c>
      <c r="AR65" t="s">
        <v>1734</v>
      </c>
      <c r="AS65" t="b">
        <v>0</v>
      </c>
      <c r="AV65">
        <v>7.0</v>
      </c>
      <c r="AW65" t="b">
        <v>0</v>
      </c>
      <c r="AZ65" t="b">
        <v>1</v>
      </c>
      <c r="BA65" t="b">
        <v>0</v>
      </c>
      <c r="BD65" t="s">
        <v>1735</v>
      </c>
      <c r="BH65" t="s">
        <v>132</v>
      </c>
      <c r="BI65">
        <v>4.0</v>
      </c>
      <c r="BJ65" t="s">
        <v>1736</v>
      </c>
      <c r="BK65">
        <v>6.0</v>
      </c>
      <c r="BL65">
        <v>6.0</v>
      </c>
      <c r="BM65" t="s">
        <v>1737</v>
      </c>
      <c r="BN65">
        <v>1.0</v>
      </c>
      <c r="BO65">
        <v>2.0</v>
      </c>
      <c r="BP65" t="s">
        <v>1738</v>
      </c>
      <c r="BQ65" t="s">
        <v>1739</v>
      </c>
      <c r="BR65" t="s">
        <v>1740</v>
      </c>
      <c r="BS65" t="s">
        <v>1741</v>
      </c>
      <c r="BU65" t="s">
        <v>645</v>
      </c>
      <c r="BV65" s="3" t="s">
        <v>1742</v>
      </c>
      <c r="BW65" t="b">
        <v>1</v>
      </c>
      <c r="BX65" t="s">
        <v>1394</v>
      </c>
      <c r="BY65" t="s">
        <v>140</v>
      </c>
      <c r="CA65" t="s">
        <v>1395</v>
      </c>
      <c r="CD65">
        <v>0.0</v>
      </c>
      <c r="CF65" t="b">
        <v>1</v>
      </c>
      <c r="CG65" t="b">
        <v>1</v>
      </c>
      <c r="CH65" t="s">
        <v>1743</v>
      </c>
      <c r="CJ65" t="b">
        <v>1</v>
      </c>
      <c r="CK65" t="b">
        <v>1</v>
      </c>
      <c r="CL65" t="s">
        <v>636</v>
      </c>
      <c r="CO65" t="s">
        <v>124</v>
      </c>
      <c r="CR65" t="b">
        <v>1</v>
      </c>
      <c r="CT65">
        <v>2.0</v>
      </c>
      <c r="CU65">
        <v>3.0</v>
      </c>
      <c r="CX65" t="s">
        <v>1744</v>
      </c>
      <c r="CZ65" s="5">
        <v>44232.81748842593</v>
      </c>
      <c r="DA65" t="s">
        <v>1745</v>
      </c>
    </row>
    <row r="66">
      <c r="A66" t="s">
        <v>98</v>
      </c>
      <c r="D66" t="s">
        <v>1718</v>
      </c>
      <c r="E66" t="s">
        <v>1719</v>
      </c>
      <c r="F66" s="2">
        <v>36717.0</v>
      </c>
      <c r="G66" t="s">
        <v>1360</v>
      </c>
      <c r="I66" s="3" t="s">
        <v>1746</v>
      </c>
      <c r="J66" t="s">
        <v>1721</v>
      </c>
      <c r="K66" t="b">
        <v>0</v>
      </c>
      <c r="M66" t="s">
        <v>1747</v>
      </c>
      <c r="N66" t="s">
        <v>255</v>
      </c>
      <c r="O66" t="s">
        <v>1748</v>
      </c>
      <c r="P66" t="s">
        <v>1724</v>
      </c>
      <c r="Q66" t="s">
        <v>152</v>
      </c>
      <c r="R66" t="s">
        <v>1725</v>
      </c>
      <c r="S66" t="s">
        <v>1749</v>
      </c>
      <c r="T66" s="4" t="s">
        <v>1750</v>
      </c>
      <c r="U66" t="s">
        <v>1751</v>
      </c>
      <c r="V66" t="s">
        <v>1752</v>
      </c>
      <c r="W66" t="s">
        <v>113</v>
      </c>
      <c r="Y66" t="s">
        <v>158</v>
      </c>
      <c r="Z66" t="s">
        <v>262</v>
      </c>
      <c r="AC66" s="3" t="s">
        <v>1753</v>
      </c>
      <c r="AD66" t="s">
        <v>118</v>
      </c>
      <c r="AE66" t="s">
        <v>729</v>
      </c>
      <c r="AF66" t="s">
        <v>1731</v>
      </c>
      <c r="AG66">
        <v>19.0</v>
      </c>
      <c r="AI66" t="s">
        <v>162</v>
      </c>
      <c r="AK66" t="s">
        <v>1754</v>
      </c>
      <c r="AL66" t="s">
        <v>1755</v>
      </c>
      <c r="AO66" t="s">
        <v>125</v>
      </c>
      <c r="AP66">
        <v>6.0</v>
      </c>
      <c r="AQ66" t="s">
        <v>166</v>
      </c>
      <c r="AR66" t="s">
        <v>1756</v>
      </c>
      <c r="AS66" t="b">
        <v>0</v>
      </c>
      <c r="AV66">
        <v>7.0</v>
      </c>
      <c r="AW66" t="b">
        <v>0</v>
      </c>
      <c r="AZ66" t="b">
        <v>1</v>
      </c>
      <c r="BA66" t="b">
        <v>0</v>
      </c>
      <c r="BD66" t="s">
        <v>1757</v>
      </c>
      <c r="BH66" t="s">
        <v>132</v>
      </c>
      <c r="BI66">
        <v>4.0</v>
      </c>
      <c r="BJ66" t="s">
        <v>1758</v>
      </c>
      <c r="BK66">
        <v>6.0</v>
      </c>
      <c r="BL66">
        <v>6.0</v>
      </c>
      <c r="BM66" t="s">
        <v>1759</v>
      </c>
      <c r="BN66">
        <v>6.0</v>
      </c>
      <c r="BO66">
        <v>6.0</v>
      </c>
      <c r="BP66" t="s">
        <v>1760</v>
      </c>
      <c r="BQ66" t="s">
        <v>1761</v>
      </c>
      <c r="BR66" t="s">
        <v>1762</v>
      </c>
      <c r="BS66" t="s">
        <v>1763</v>
      </c>
      <c r="BU66" t="s">
        <v>1764</v>
      </c>
      <c r="BV66" s="3" t="s">
        <v>1765</v>
      </c>
      <c r="BW66" t="b">
        <v>1</v>
      </c>
      <c r="BX66" t="s">
        <v>1394</v>
      </c>
      <c r="BY66" t="s">
        <v>140</v>
      </c>
      <c r="CA66" t="s">
        <v>1395</v>
      </c>
      <c r="CD66">
        <v>0.0</v>
      </c>
      <c r="CF66" t="b">
        <v>1</v>
      </c>
      <c r="CG66" t="b">
        <v>1</v>
      </c>
      <c r="CH66" t="s">
        <v>1766</v>
      </c>
      <c r="CJ66" t="b">
        <v>1</v>
      </c>
      <c r="CK66" t="b">
        <v>1</v>
      </c>
      <c r="CL66" t="s">
        <v>362</v>
      </c>
      <c r="CM66" t="s">
        <v>362</v>
      </c>
      <c r="CO66" t="s">
        <v>124</v>
      </c>
      <c r="CQ66" t="s">
        <v>362</v>
      </c>
      <c r="CR66" t="b">
        <v>1</v>
      </c>
      <c r="CT66">
        <v>2.0</v>
      </c>
      <c r="CU66">
        <v>3.0</v>
      </c>
      <c r="CX66" s="4" t="s">
        <v>1767</v>
      </c>
      <c r="CZ66" s="5">
        <v>44233.03560185185</v>
      </c>
      <c r="DA66" t="s">
        <v>1768</v>
      </c>
    </row>
    <row r="67">
      <c r="A67" t="s">
        <v>98</v>
      </c>
      <c r="D67" t="s">
        <v>1769</v>
      </c>
      <c r="E67" t="s">
        <v>1770</v>
      </c>
      <c r="F67" s="2">
        <v>38131.0</v>
      </c>
      <c r="G67" t="s">
        <v>1360</v>
      </c>
      <c r="I67" s="3" t="s">
        <v>1771</v>
      </c>
      <c r="J67" t="s">
        <v>1772</v>
      </c>
      <c r="K67" t="b">
        <v>1</v>
      </c>
      <c r="L67" s="4" t="s">
        <v>1773</v>
      </c>
      <c r="M67" t="s">
        <v>1774</v>
      </c>
      <c r="N67" t="s">
        <v>149</v>
      </c>
      <c r="P67" t="s">
        <v>1775</v>
      </c>
      <c r="Q67" t="s">
        <v>152</v>
      </c>
      <c r="R67" t="s">
        <v>1772</v>
      </c>
      <c r="S67" t="s">
        <v>1776</v>
      </c>
      <c r="T67" s="4" t="s">
        <v>1777</v>
      </c>
      <c r="U67" t="s">
        <v>1623</v>
      </c>
      <c r="V67" t="s">
        <v>1778</v>
      </c>
      <c r="W67" t="s">
        <v>113</v>
      </c>
      <c r="Y67" t="s">
        <v>158</v>
      </c>
      <c r="Z67" t="s">
        <v>262</v>
      </c>
      <c r="AC67" s="3" t="s">
        <v>1779</v>
      </c>
      <c r="AD67" t="s">
        <v>118</v>
      </c>
      <c r="AE67" t="s">
        <v>1780</v>
      </c>
      <c r="AI67" t="s">
        <v>121</v>
      </c>
      <c r="AL67" t="s">
        <v>199</v>
      </c>
      <c r="AO67" t="s">
        <v>125</v>
      </c>
      <c r="AP67">
        <v>4.0</v>
      </c>
      <c r="AQ67" t="s">
        <v>126</v>
      </c>
      <c r="AR67" t="s">
        <v>1781</v>
      </c>
      <c r="AS67" t="b">
        <v>1</v>
      </c>
      <c r="AT67" t="b">
        <v>0</v>
      </c>
      <c r="AV67">
        <v>5.0</v>
      </c>
      <c r="AW67" t="b">
        <v>0</v>
      </c>
      <c r="AZ67" t="b">
        <v>0</v>
      </c>
      <c r="BA67" t="b">
        <v>0</v>
      </c>
      <c r="BD67" t="s">
        <v>1782</v>
      </c>
      <c r="BH67" t="s">
        <v>132</v>
      </c>
      <c r="BI67">
        <v>1.0</v>
      </c>
      <c r="BJ67" t="s">
        <v>1783</v>
      </c>
      <c r="BK67">
        <v>7.0</v>
      </c>
      <c r="BL67">
        <v>4.0</v>
      </c>
      <c r="BM67" t="s">
        <v>1784</v>
      </c>
      <c r="BN67">
        <v>5.0</v>
      </c>
      <c r="BO67">
        <v>3.0</v>
      </c>
      <c r="BP67" t="s">
        <v>1785</v>
      </c>
      <c r="BQ67" t="s">
        <v>1050</v>
      </c>
      <c r="BR67" t="s">
        <v>1786</v>
      </c>
      <c r="BS67" t="s">
        <v>1787</v>
      </c>
      <c r="BU67" t="s">
        <v>1788</v>
      </c>
      <c r="BV67" s="3" t="s">
        <v>1789</v>
      </c>
      <c r="BW67" t="b">
        <v>1</v>
      </c>
      <c r="BX67" t="s">
        <v>1394</v>
      </c>
      <c r="BY67" t="s">
        <v>140</v>
      </c>
      <c r="CA67" t="s">
        <v>1395</v>
      </c>
      <c r="CD67">
        <v>0.0</v>
      </c>
      <c r="CF67" t="b">
        <v>1</v>
      </c>
      <c r="CG67" t="b">
        <v>1</v>
      </c>
      <c r="CH67" t="s">
        <v>128</v>
      </c>
      <c r="CJ67" t="b">
        <v>0</v>
      </c>
      <c r="CK67" t="b">
        <v>1</v>
      </c>
      <c r="CL67" t="s">
        <v>387</v>
      </c>
      <c r="CO67" t="s">
        <v>200</v>
      </c>
      <c r="CR67" t="b">
        <v>1</v>
      </c>
      <c r="CT67">
        <v>1.0</v>
      </c>
      <c r="CU67">
        <v>1.0</v>
      </c>
      <c r="CX67" s="4" t="s">
        <v>1790</v>
      </c>
      <c r="CZ67" s="5">
        <v>44233.16402777778</v>
      </c>
      <c r="DA67" t="s">
        <v>1791</v>
      </c>
    </row>
    <row r="68">
      <c r="A68" t="s">
        <v>98</v>
      </c>
      <c r="D68" t="s">
        <v>1792</v>
      </c>
      <c r="E68" t="s">
        <v>1793</v>
      </c>
      <c r="F68" s="2">
        <v>37752.0</v>
      </c>
      <c r="G68" t="s">
        <v>1360</v>
      </c>
      <c r="I68" s="3" t="s">
        <v>1794</v>
      </c>
      <c r="J68" t="s">
        <v>1795</v>
      </c>
      <c r="K68" t="b">
        <v>1</v>
      </c>
      <c r="L68" s="4" t="s">
        <v>1796</v>
      </c>
      <c r="M68" t="s">
        <v>1797</v>
      </c>
      <c r="N68" t="s">
        <v>255</v>
      </c>
      <c r="P68" t="s">
        <v>1798</v>
      </c>
      <c r="Q68" t="s">
        <v>189</v>
      </c>
      <c r="R68" t="s">
        <v>1799</v>
      </c>
      <c r="S68" t="s">
        <v>1797</v>
      </c>
      <c r="T68" s="4" t="s">
        <v>1800</v>
      </c>
      <c r="U68" t="s">
        <v>1674</v>
      </c>
      <c r="V68" t="s">
        <v>1778</v>
      </c>
      <c r="W68" t="s">
        <v>113</v>
      </c>
      <c r="Y68" t="s">
        <v>158</v>
      </c>
      <c r="Z68" t="s">
        <v>262</v>
      </c>
      <c r="AC68" s="3" t="s">
        <v>1801</v>
      </c>
      <c r="AD68" t="s">
        <v>118</v>
      </c>
      <c r="AE68" t="s">
        <v>729</v>
      </c>
      <c r="AF68" t="s">
        <v>197</v>
      </c>
      <c r="AG68">
        <v>16.0</v>
      </c>
      <c r="AI68" t="s">
        <v>162</v>
      </c>
      <c r="AL68" t="s">
        <v>967</v>
      </c>
      <c r="AO68" t="s">
        <v>335</v>
      </c>
      <c r="AP68">
        <v>7.0</v>
      </c>
      <c r="AQ68" t="s">
        <v>201</v>
      </c>
      <c r="AR68" t="s">
        <v>1802</v>
      </c>
      <c r="AS68" t="b">
        <v>1</v>
      </c>
      <c r="AT68" t="b">
        <v>0</v>
      </c>
      <c r="AV68">
        <v>7.0</v>
      </c>
      <c r="AW68" t="b">
        <v>0</v>
      </c>
      <c r="AZ68" t="b">
        <v>0</v>
      </c>
      <c r="BA68" t="b">
        <v>0</v>
      </c>
      <c r="BD68" t="s">
        <v>1803</v>
      </c>
      <c r="BH68" t="s">
        <v>132</v>
      </c>
      <c r="BI68">
        <v>1.0</v>
      </c>
      <c r="BJ68" t="s">
        <v>1804</v>
      </c>
      <c r="BK68">
        <v>3.0</v>
      </c>
      <c r="BL68">
        <v>7.0</v>
      </c>
      <c r="BM68" t="s">
        <v>1805</v>
      </c>
      <c r="BN68">
        <v>3.0</v>
      </c>
      <c r="BO68">
        <v>5.0</v>
      </c>
      <c r="BP68" t="s">
        <v>1806</v>
      </c>
      <c r="BQ68" t="s">
        <v>1807</v>
      </c>
      <c r="BR68" t="s">
        <v>1808</v>
      </c>
      <c r="BS68" t="s">
        <v>1809</v>
      </c>
      <c r="BU68" t="s">
        <v>1810</v>
      </c>
      <c r="BV68" s="3" t="s">
        <v>1811</v>
      </c>
      <c r="BW68" t="b">
        <v>1</v>
      </c>
      <c r="BX68" t="s">
        <v>1394</v>
      </c>
      <c r="BY68" t="s">
        <v>140</v>
      </c>
      <c r="CA68" t="s">
        <v>1395</v>
      </c>
      <c r="CD68">
        <v>0.0</v>
      </c>
      <c r="CF68" t="b">
        <v>1</v>
      </c>
      <c r="CG68" t="b">
        <v>1</v>
      </c>
      <c r="CH68" t="s">
        <v>1812</v>
      </c>
      <c r="CJ68" t="b">
        <v>1</v>
      </c>
      <c r="CK68" t="b">
        <v>1</v>
      </c>
      <c r="CL68" t="s">
        <v>198</v>
      </c>
      <c r="CO68" t="s">
        <v>200</v>
      </c>
      <c r="CR68" t="b">
        <v>1</v>
      </c>
      <c r="CT68">
        <v>2.0</v>
      </c>
      <c r="CU68">
        <v>2.0</v>
      </c>
      <c r="CX68" s="4" t="s">
        <v>1813</v>
      </c>
      <c r="CZ68" s="5">
        <v>44233.773877314816</v>
      </c>
      <c r="DA68" t="s">
        <v>1814</v>
      </c>
    </row>
    <row r="69">
      <c r="A69" t="s">
        <v>98</v>
      </c>
      <c r="D69" t="s">
        <v>1815</v>
      </c>
      <c r="E69" t="s">
        <v>1816</v>
      </c>
      <c r="F69" s="2">
        <v>37752.0</v>
      </c>
      <c r="G69" t="s">
        <v>1360</v>
      </c>
      <c r="I69" s="3" t="s">
        <v>1817</v>
      </c>
      <c r="J69" t="s">
        <v>1818</v>
      </c>
      <c r="K69" t="b">
        <v>1</v>
      </c>
      <c r="L69" s="4" t="s">
        <v>1819</v>
      </c>
      <c r="M69" t="s">
        <v>1820</v>
      </c>
      <c r="N69" t="s">
        <v>255</v>
      </c>
      <c r="O69" t="s">
        <v>1821</v>
      </c>
      <c r="P69" t="s">
        <v>1822</v>
      </c>
      <c r="Q69" t="s">
        <v>189</v>
      </c>
      <c r="R69" t="s">
        <v>1823</v>
      </c>
      <c r="S69" t="s">
        <v>1820</v>
      </c>
      <c r="T69" s="4" t="s">
        <v>1824</v>
      </c>
      <c r="U69" t="s">
        <v>1543</v>
      </c>
      <c r="V69" t="s">
        <v>1825</v>
      </c>
      <c r="W69" t="s">
        <v>113</v>
      </c>
      <c r="Y69" t="s">
        <v>158</v>
      </c>
      <c r="Z69" t="s">
        <v>262</v>
      </c>
      <c r="AC69" s="3" t="s">
        <v>1826</v>
      </c>
      <c r="AD69" t="s">
        <v>118</v>
      </c>
      <c r="AE69" t="s">
        <v>1220</v>
      </c>
      <c r="AH69" t="s">
        <v>620</v>
      </c>
      <c r="AI69" t="s">
        <v>205</v>
      </c>
      <c r="AK69" t="s">
        <v>1827</v>
      </c>
      <c r="AL69" t="s">
        <v>1828</v>
      </c>
      <c r="AO69" t="s">
        <v>335</v>
      </c>
      <c r="AP69">
        <v>5.0</v>
      </c>
      <c r="AQ69" t="s">
        <v>1070</v>
      </c>
      <c r="AR69" t="s">
        <v>1829</v>
      </c>
      <c r="AS69" t="b">
        <v>1</v>
      </c>
      <c r="AT69" t="b">
        <v>1</v>
      </c>
      <c r="AV69">
        <v>7.0</v>
      </c>
      <c r="AW69" t="b">
        <v>0</v>
      </c>
      <c r="AZ69" t="b">
        <v>0</v>
      </c>
      <c r="BA69" t="b">
        <v>1</v>
      </c>
      <c r="BB69" t="b">
        <v>1</v>
      </c>
      <c r="BC69" t="s">
        <v>1830</v>
      </c>
      <c r="BH69" t="s">
        <v>132</v>
      </c>
      <c r="BI69">
        <v>4.0</v>
      </c>
      <c r="BJ69" t="s">
        <v>1831</v>
      </c>
      <c r="BK69">
        <v>4.0</v>
      </c>
      <c r="BL69">
        <v>4.0</v>
      </c>
      <c r="BM69" t="s">
        <v>1832</v>
      </c>
      <c r="BN69">
        <v>7.0</v>
      </c>
      <c r="BO69">
        <v>7.0</v>
      </c>
      <c r="BP69" t="s">
        <v>1833</v>
      </c>
      <c r="BQ69" t="s">
        <v>1834</v>
      </c>
      <c r="BR69" t="s">
        <v>1835</v>
      </c>
      <c r="BS69" t="s">
        <v>1836</v>
      </c>
      <c r="BU69" t="s">
        <v>528</v>
      </c>
      <c r="BV69" s="3" t="s">
        <v>1837</v>
      </c>
      <c r="BW69" t="b">
        <v>1</v>
      </c>
      <c r="BX69" t="s">
        <v>1394</v>
      </c>
      <c r="BY69" t="s">
        <v>140</v>
      </c>
      <c r="CA69" t="s">
        <v>1395</v>
      </c>
      <c r="CD69">
        <v>0.0</v>
      </c>
      <c r="CF69" t="b">
        <v>0</v>
      </c>
      <c r="CG69" t="b">
        <v>1</v>
      </c>
      <c r="CH69" t="s">
        <v>1838</v>
      </c>
      <c r="CJ69" t="b">
        <v>1</v>
      </c>
      <c r="CK69" t="b">
        <v>1</v>
      </c>
      <c r="CL69" t="s">
        <v>387</v>
      </c>
      <c r="CO69" t="s">
        <v>164</v>
      </c>
      <c r="CR69" t="b">
        <v>1</v>
      </c>
      <c r="CT69">
        <v>4.0</v>
      </c>
      <c r="CU69">
        <v>2.0</v>
      </c>
      <c r="CX69" t="s">
        <v>679</v>
      </c>
      <c r="CZ69" s="5">
        <v>44233.83923611111</v>
      </c>
      <c r="DA69" t="s">
        <v>1839</v>
      </c>
    </row>
    <row r="70">
      <c r="A70" t="s">
        <v>98</v>
      </c>
      <c r="D70" t="s">
        <v>1840</v>
      </c>
      <c r="E70" t="s">
        <v>1841</v>
      </c>
      <c r="F70" s="2">
        <v>37966.0</v>
      </c>
      <c r="G70" t="s">
        <v>1360</v>
      </c>
      <c r="I70" s="3" t="s">
        <v>1842</v>
      </c>
      <c r="J70" t="s">
        <v>1843</v>
      </c>
      <c r="K70" t="b">
        <v>1</v>
      </c>
      <c r="L70" s="4" t="s">
        <v>1844</v>
      </c>
      <c r="M70" t="s">
        <v>1845</v>
      </c>
      <c r="N70" t="s">
        <v>149</v>
      </c>
      <c r="O70" s="3" t="s">
        <v>1846</v>
      </c>
      <c r="P70" t="s">
        <v>1847</v>
      </c>
      <c r="Q70" t="s">
        <v>189</v>
      </c>
      <c r="R70" t="s">
        <v>1848</v>
      </c>
      <c r="S70" t="s">
        <v>1849</v>
      </c>
      <c r="T70" s="4" t="s">
        <v>1844</v>
      </c>
      <c r="U70" t="s">
        <v>1543</v>
      </c>
      <c r="V70" t="s">
        <v>1850</v>
      </c>
      <c r="W70" t="s">
        <v>113</v>
      </c>
      <c r="Y70" t="s">
        <v>158</v>
      </c>
      <c r="Z70" t="s">
        <v>262</v>
      </c>
      <c r="AC70" s="3" t="s">
        <v>1851</v>
      </c>
      <c r="AD70" t="s">
        <v>118</v>
      </c>
      <c r="AE70" t="s">
        <v>729</v>
      </c>
      <c r="AF70" t="s">
        <v>197</v>
      </c>
      <c r="AG70">
        <v>16.0</v>
      </c>
      <c r="AI70" t="s">
        <v>162</v>
      </c>
      <c r="AK70" t="s">
        <v>1852</v>
      </c>
      <c r="AL70" t="s">
        <v>967</v>
      </c>
      <c r="AO70" t="s">
        <v>335</v>
      </c>
      <c r="AP70">
        <v>7.0</v>
      </c>
      <c r="AQ70" t="s">
        <v>201</v>
      </c>
      <c r="AR70" t="s">
        <v>1853</v>
      </c>
      <c r="AS70" t="b">
        <v>1</v>
      </c>
      <c r="AT70" t="b">
        <v>0</v>
      </c>
      <c r="AV70">
        <v>6.0</v>
      </c>
      <c r="AW70" t="b">
        <v>0</v>
      </c>
      <c r="AZ70" t="b">
        <v>1</v>
      </c>
      <c r="BA70" t="b">
        <v>0</v>
      </c>
      <c r="BD70" t="s">
        <v>1854</v>
      </c>
      <c r="BH70" t="s">
        <v>132</v>
      </c>
      <c r="BI70">
        <v>7.0</v>
      </c>
      <c r="BJ70" t="s">
        <v>1855</v>
      </c>
      <c r="BK70">
        <v>6.0</v>
      </c>
      <c r="BL70">
        <v>7.0</v>
      </c>
      <c r="BM70" t="s">
        <v>1856</v>
      </c>
      <c r="BN70">
        <v>7.0</v>
      </c>
      <c r="BO70">
        <v>7.0</v>
      </c>
      <c r="BP70" t="s">
        <v>1857</v>
      </c>
      <c r="BQ70" t="s">
        <v>1858</v>
      </c>
      <c r="BR70" t="s">
        <v>1859</v>
      </c>
      <c r="BS70" t="s">
        <v>1860</v>
      </c>
      <c r="BU70" t="s">
        <v>1861</v>
      </c>
      <c r="BV70" s="3" t="s">
        <v>1862</v>
      </c>
      <c r="BW70" t="b">
        <v>1</v>
      </c>
      <c r="BX70" t="s">
        <v>1394</v>
      </c>
      <c r="BY70" t="s">
        <v>140</v>
      </c>
      <c r="CA70" t="s">
        <v>1395</v>
      </c>
      <c r="CD70">
        <v>0.0</v>
      </c>
      <c r="CF70" t="b">
        <v>1</v>
      </c>
      <c r="CG70" t="b">
        <v>1</v>
      </c>
      <c r="CH70" t="s">
        <v>168</v>
      </c>
      <c r="CJ70" t="b">
        <v>0</v>
      </c>
      <c r="CK70" t="b">
        <v>1</v>
      </c>
      <c r="CL70" t="s">
        <v>198</v>
      </c>
      <c r="CO70" t="s">
        <v>1635</v>
      </c>
      <c r="CR70" t="b">
        <v>1</v>
      </c>
      <c r="CT70">
        <v>1.0</v>
      </c>
      <c r="CU70">
        <v>1.0</v>
      </c>
      <c r="CX70" s="4" t="s">
        <v>1863</v>
      </c>
      <c r="CZ70" s="5">
        <v>44233.86010416667</v>
      </c>
      <c r="DA70" t="s">
        <v>1864</v>
      </c>
    </row>
    <row r="71">
      <c r="A71" t="s">
        <v>98</v>
      </c>
      <c r="D71" t="s">
        <v>1865</v>
      </c>
      <c r="E71" t="s">
        <v>1866</v>
      </c>
      <c r="F71" s="2">
        <v>37675.0</v>
      </c>
      <c r="G71" t="s">
        <v>1360</v>
      </c>
      <c r="I71" s="3" t="s">
        <v>1867</v>
      </c>
      <c r="J71" t="s">
        <v>1868</v>
      </c>
      <c r="K71" t="b">
        <v>1</v>
      </c>
      <c r="L71" s="4" t="s">
        <v>1869</v>
      </c>
      <c r="M71" t="s">
        <v>1870</v>
      </c>
      <c r="N71" t="s">
        <v>255</v>
      </c>
      <c r="O71" t="s">
        <v>645</v>
      </c>
      <c r="P71" t="s">
        <v>1871</v>
      </c>
      <c r="Q71" t="s">
        <v>292</v>
      </c>
      <c r="R71" t="s">
        <v>1872</v>
      </c>
      <c r="S71" t="s">
        <v>1870</v>
      </c>
      <c r="T71" s="4" t="s">
        <v>1873</v>
      </c>
      <c r="U71" t="s">
        <v>1874</v>
      </c>
      <c r="V71" t="s">
        <v>1875</v>
      </c>
      <c r="W71" t="s">
        <v>113</v>
      </c>
      <c r="Y71" t="s">
        <v>158</v>
      </c>
      <c r="Z71" t="s">
        <v>262</v>
      </c>
      <c r="AC71" s="3" t="s">
        <v>1876</v>
      </c>
      <c r="AD71" t="s">
        <v>118</v>
      </c>
      <c r="AE71" t="s">
        <v>729</v>
      </c>
      <c r="AF71" t="s">
        <v>197</v>
      </c>
      <c r="AG71">
        <v>15.0</v>
      </c>
      <c r="AI71" t="s">
        <v>162</v>
      </c>
      <c r="AK71" t="s">
        <v>1852</v>
      </c>
      <c r="AL71" t="s">
        <v>967</v>
      </c>
      <c r="AO71" t="s">
        <v>335</v>
      </c>
      <c r="AP71">
        <v>1.0</v>
      </c>
      <c r="AQ71" t="s">
        <v>126</v>
      </c>
      <c r="AR71" t="s">
        <v>1877</v>
      </c>
      <c r="AS71" t="b">
        <v>1</v>
      </c>
      <c r="AT71" t="b">
        <v>0</v>
      </c>
      <c r="AV71">
        <v>3.0</v>
      </c>
      <c r="AW71" t="b">
        <v>0</v>
      </c>
      <c r="AZ71" t="b">
        <v>0</v>
      </c>
      <c r="BA71" t="b">
        <v>0</v>
      </c>
      <c r="BD71" t="s">
        <v>1877</v>
      </c>
      <c r="BH71" t="s">
        <v>132</v>
      </c>
      <c r="BI71">
        <v>5.0</v>
      </c>
      <c r="BJ71" t="s">
        <v>1878</v>
      </c>
      <c r="BK71">
        <v>4.0</v>
      </c>
      <c r="BL71">
        <v>5.0</v>
      </c>
      <c r="BM71" t="s">
        <v>1879</v>
      </c>
      <c r="BN71">
        <v>3.0</v>
      </c>
      <c r="BO71">
        <v>4.0</v>
      </c>
      <c r="BP71" t="s">
        <v>1880</v>
      </c>
      <c r="BQ71" t="s">
        <v>1881</v>
      </c>
      <c r="BR71" t="s">
        <v>1882</v>
      </c>
      <c r="BS71" t="s">
        <v>1883</v>
      </c>
      <c r="BU71" t="s">
        <v>1884</v>
      </c>
      <c r="BV71" s="3" t="s">
        <v>1885</v>
      </c>
      <c r="BW71" t="b">
        <v>1</v>
      </c>
      <c r="BX71" t="s">
        <v>1394</v>
      </c>
      <c r="BY71" t="s">
        <v>140</v>
      </c>
      <c r="CA71" t="s">
        <v>1395</v>
      </c>
      <c r="CD71">
        <v>0.0</v>
      </c>
      <c r="CF71" t="b">
        <v>0</v>
      </c>
      <c r="CG71" t="b">
        <v>1</v>
      </c>
      <c r="CH71" t="s">
        <v>1886</v>
      </c>
      <c r="CJ71" t="b">
        <v>0</v>
      </c>
      <c r="CK71" t="b">
        <v>1</v>
      </c>
      <c r="CL71" t="s">
        <v>198</v>
      </c>
      <c r="CM71" t="s">
        <v>198</v>
      </c>
      <c r="CO71" t="s">
        <v>388</v>
      </c>
      <c r="CQ71" t="s">
        <v>198</v>
      </c>
      <c r="CR71" t="b">
        <v>1</v>
      </c>
      <c r="CT71">
        <v>1.0</v>
      </c>
      <c r="CU71">
        <v>1.0</v>
      </c>
      <c r="CX71" s="4" t="s">
        <v>1887</v>
      </c>
      <c r="CZ71" s="5">
        <v>44233.97520833334</v>
      </c>
      <c r="DA71" t="s">
        <v>1888</v>
      </c>
    </row>
    <row r="72">
      <c r="A72" t="s">
        <v>98</v>
      </c>
      <c r="D72" t="s">
        <v>1889</v>
      </c>
      <c r="E72" t="s">
        <v>1890</v>
      </c>
      <c r="F72" s="2">
        <v>37940.0</v>
      </c>
      <c r="G72" t="s">
        <v>1360</v>
      </c>
      <c r="I72" s="3" t="s">
        <v>1891</v>
      </c>
      <c r="J72" t="s">
        <v>1892</v>
      </c>
      <c r="K72" t="b">
        <v>1</v>
      </c>
      <c r="L72" s="4" t="s">
        <v>1893</v>
      </c>
      <c r="M72" t="s">
        <v>1894</v>
      </c>
      <c r="N72" t="s">
        <v>255</v>
      </c>
      <c r="O72" t="s">
        <v>1895</v>
      </c>
      <c r="P72" t="s">
        <v>1896</v>
      </c>
      <c r="Q72" t="s">
        <v>189</v>
      </c>
      <c r="R72" t="s">
        <v>1897</v>
      </c>
      <c r="S72" t="s">
        <v>1894</v>
      </c>
      <c r="T72" s="4" t="s">
        <v>1898</v>
      </c>
      <c r="U72" t="s">
        <v>1674</v>
      </c>
      <c r="V72" t="s">
        <v>1729</v>
      </c>
      <c r="W72" t="s">
        <v>113</v>
      </c>
      <c r="Y72" t="s">
        <v>158</v>
      </c>
      <c r="Z72" t="s">
        <v>262</v>
      </c>
      <c r="AC72" s="3" t="s">
        <v>1899</v>
      </c>
      <c r="AD72" t="s">
        <v>118</v>
      </c>
      <c r="AE72" t="s">
        <v>729</v>
      </c>
      <c r="AF72" t="s">
        <v>1900</v>
      </c>
      <c r="AG72">
        <v>13.0</v>
      </c>
      <c r="AI72" t="s">
        <v>543</v>
      </c>
      <c r="AK72" t="s">
        <v>620</v>
      </c>
      <c r="AL72" t="s">
        <v>199</v>
      </c>
      <c r="AO72" t="s">
        <v>125</v>
      </c>
      <c r="AP72">
        <v>7.0</v>
      </c>
      <c r="AQ72" t="s">
        <v>201</v>
      </c>
      <c r="AR72" t="s">
        <v>1901</v>
      </c>
      <c r="AS72" t="b">
        <v>1</v>
      </c>
      <c r="AT72" t="b">
        <v>1</v>
      </c>
      <c r="AV72">
        <v>6.0</v>
      </c>
      <c r="AW72" t="b">
        <v>1</v>
      </c>
      <c r="AX72" t="s">
        <v>1902</v>
      </c>
      <c r="AY72" t="s">
        <v>307</v>
      </c>
      <c r="AZ72" t="b">
        <v>0</v>
      </c>
      <c r="BA72" t="b">
        <v>0</v>
      </c>
      <c r="BD72" t="s">
        <v>202</v>
      </c>
      <c r="BH72" t="s">
        <v>132</v>
      </c>
      <c r="BI72">
        <v>3.0</v>
      </c>
      <c r="BJ72" t="s">
        <v>1903</v>
      </c>
      <c r="BK72">
        <v>3.0</v>
      </c>
      <c r="BL72">
        <v>4.0</v>
      </c>
      <c r="BM72" t="s">
        <v>1904</v>
      </c>
      <c r="BN72">
        <v>2.0</v>
      </c>
      <c r="BO72">
        <v>3.0</v>
      </c>
      <c r="BP72" t="s">
        <v>1905</v>
      </c>
      <c r="BQ72" t="s">
        <v>1906</v>
      </c>
      <c r="BR72" t="s">
        <v>1907</v>
      </c>
      <c r="BS72" t="s">
        <v>1908</v>
      </c>
      <c r="BU72" t="s">
        <v>620</v>
      </c>
      <c r="BV72" s="3" t="s">
        <v>1909</v>
      </c>
      <c r="BW72" t="b">
        <v>1</v>
      </c>
      <c r="BX72" t="s">
        <v>1394</v>
      </c>
      <c r="BY72" t="s">
        <v>140</v>
      </c>
      <c r="CA72" t="s">
        <v>1395</v>
      </c>
      <c r="CD72">
        <v>0.0</v>
      </c>
      <c r="CF72" t="b">
        <v>0</v>
      </c>
      <c r="CG72" t="b">
        <v>1</v>
      </c>
      <c r="CH72" t="s">
        <v>128</v>
      </c>
      <c r="CJ72" t="b">
        <v>0</v>
      </c>
      <c r="CK72" t="b">
        <v>1</v>
      </c>
      <c r="CL72" t="s">
        <v>387</v>
      </c>
      <c r="CN72" t="s">
        <v>1910</v>
      </c>
      <c r="CO72" t="s">
        <v>388</v>
      </c>
      <c r="CR72" t="b">
        <v>1</v>
      </c>
      <c r="CT72">
        <v>0.0</v>
      </c>
      <c r="CU72">
        <v>0.0</v>
      </c>
      <c r="CX72" s="4" t="s">
        <v>1911</v>
      </c>
      <c r="CZ72" s="5">
        <v>44235.05767361111</v>
      </c>
      <c r="DA72" t="s">
        <v>1912</v>
      </c>
    </row>
    <row r="73">
      <c r="A73" t="s">
        <v>98</v>
      </c>
      <c r="D73" t="s">
        <v>1913</v>
      </c>
      <c r="E73" t="s">
        <v>1914</v>
      </c>
      <c r="F73" s="2">
        <v>38168.0</v>
      </c>
      <c r="G73" t="s">
        <v>1360</v>
      </c>
      <c r="I73" s="3" t="s">
        <v>1915</v>
      </c>
      <c r="J73" t="s">
        <v>1916</v>
      </c>
      <c r="K73" t="b">
        <v>1</v>
      </c>
      <c r="L73" s="4" t="s">
        <v>1917</v>
      </c>
      <c r="M73" t="s">
        <v>1918</v>
      </c>
      <c r="N73" t="s">
        <v>255</v>
      </c>
      <c r="O73" t="s">
        <v>1919</v>
      </c>
      <c r="P73" t="s">
        <v>1920</v>
      </c>
      <c r="Q73" t="s">
        <v>152</v>
      </c>
      <c r="R73" t="s">
        <v>1921</v>
      </c>
      <c r="S73" t="s">
        <v>1922</v>
      </c>
      <c r="T73" s="4" t="s">
        <v>1923</v>
      </c>
      <c r="U73" t="s">
        <v>1674</v>
      </c>
      <c r="V73" t="s">
        <v>1729</v>
      </c>
      <c r="W73" t="s">
        <v>113</v>
      </c>
      <c r="Y73" t="s">
        <v>158</v>
      </c>
      <c r="Z73" t="s">
        <v>262</v>
      </c>
      <c r="AC73" s="3" t="s">
        <v>1924</v>
      </c>
      <c r="AD73" t="s">
        <v>118</v>
      </c>
      <c r="AE73" t="s">
        <v>729</v>
      </c>
      <c r="AF73" t="s">
        <v>197</v>
      </c>
      <c r="AG73">
        <v>13.0</v>
      </c>
      <c r="AI73" t="s">
        <v>162</v>
      </c>
      <c r="AK73" t="s">
        <v>139</v>
      </c>
      <c r="AL73" t="s">
        <v>1925</v>
      </c>
      <c r="AO73" t="s">
        <v>335</v>
      </c>
      <c r="AP73">
        <v>4.0</v>
      </c>
      <c r="AQ73" t="s">
        <v>1520</v>
      </c>
      <c r="AR73" t="s">
        <v>1926</v>
      </c>
      <c r="AS73" t="b">
        <v>1</v>
      </c>
      <c r="AT73" t="b">
        <v>0</v>
      </c>
      <c r="AV73">
        <v>7.0</v>
      </c>
      <c r="AW73" t="b">
        <v>0</v>
      </c>
      <c r="AZ73" t="b">
        <v>0</v>
      </c>
      <c r="BA73" t="b">
        <v>0</v>
      </c>
      <c r="BD73" t="s">
        <v>1927</v>
      </c>
      <c r="BH73" t="s">
        <v>132</v>
      </c>
      <c r="BI73">
        <v>4.0</v>
      </c>
      <c r="BJ73" t="s">
        <v>1928</v>
      </c>
      <c r="BK73">
        <v>4.0</v>
      </c>
      <c r="BL73">
        <v>6.0</v>
      </c>
      <c r="BM73" t="s">
        <v>1929</v>
      </c>
      <c r="BN73">
        <v>4.0</v>
      </c>
      <c r="BO73">
        <v>5.0</v>
      </c>
      <c r="BP73" t="s">
        <v>1930</v>
      </c>
      <c r="BQ73" t="s">
        <v>1931</v>
      </c>
      <c r="BR73" t="s">
        <v>1932</v>
      </c>
      <c r="BS73" t="s">
        <v>1933</v>
      </c>
      <c r="BU73" t="s">
        <v>139</v>
      </c>
      <c r="BV73" s="3" t="s">
        <v>1934</v>
      </c>
      <c r="BW73" t="b">
        <v>1</v>
      </c>
      <c r="BX73" t="s">
        <v>1394</v>
      </c>
      <c r="BY73" t="s">
        <v>140</v>
      </c>
      <c r="CA73" t="s">
        <v>1395</v>
      </c>
      <c r="CD73">
        <v>0.0</v>
      </c>
      <c r="CF73" t="b">
        <v>1</v>
      </c>
      <c r="CG73" t="b">
        <v>1</v>
      </c>
      <c r="CH73" t="s">
        <v>1935</v>
      </c>
      <c r="CJ73" t="b">
        <v>1</v>
      </c>
      <c r="CK73" t="b">
        <v>1</v>
      </c>
      <c r="CL73" t="s">
        <v>387</v>
      </c>
      <c r="CO73" t="s">
        <v>1936</v>
      </c>
      <c r="CR73" t="b">
        <v>1</v>
      </c>
      <c r="CT73">
        <v>2.0</v>
      </c>
      <c r="CU73">
        <v>0.0</v>
      </c>
      <c r="CX73" s="4" t="s">
        <v>1937</v>
      </c>
      <c r="CZ73" s="5">
        <v>44235.09664351852</v>
      </c>
      <c r="DA73" t="s">
        <v>1938</v>
      </c>
    </row>
    <row r="74">
      <c r="A74" t="s">
        <v>98</v>
      </c>
      <c r="D74" t="s">
        <v>1939</v>
      </c>
      <c r="E74" t="s">
        <v>1940</v>
      </c>
      <c r="F74" s="2">
        <v>38079.0</v>
      </c>
      <c r="G74" t="s">
        <v>1360</v>
      </c>
      <c r="I74" s="3" t="s">
        <v>1941</v>
      </c>
      <c r="J74" t="s">
        <v>1942</v>
      </c>
      <c r="K74" t="b">
        <v>1</v>
      </c>
      <c r="L74" s="4" t="s">
        <v>1943</v>
      </c>
      <c r="M74" t="s">
        <v>1944</v>
      </c>
      <c r="N74" t="s">
        <v>255</v>
      </c>
      <c r="O74" s="3" t="s">
        <v>1945</v>
      </c>
      <c r="P74" t="s">
        <v>1946</v>
      </c>
      <c r="Q74" t="s">
        <v>152</v>
      </c>
      <c r="R74" t="s">
        <v>1947</v>
      </c>
      <c r="S74" t="s">
        <v>1944</v>
      </c>
      <c r="T74" s="4" t="s">
        <v>1948</v>
      </c>
      <c r="U74" t="s">
        <v>1674</v>
      </c>
      <c r="V74" t="s">
        <v>1729</v>
      </c>
      <c r="W74" t="s">
        <v>113</v>
      </c>
      <c r="Y74" t="s">
        <v>158</v>
      </c>
      <c r="Z74" t="s">
        <v>262</v>
      </c>
      <c r="AC74" s="3" t="s">
        <v>1949</v>
      </c>
      <c r="AD74" t="s">
        <v>118</v>
      </c>
      <c r="AE74" t="s">
        <v>729</v>
      </c>
      <c r="AF74" t="s">
        <v>1950</v>
      </c>
      <c r="AG74">
        <v>13.0</v>
      </c>
      <c r="AI74" t="s">
        <v>205</v>
      </c>
      <c r="AK74" t="s">
        <v>1951</v>
      </c>
      <c r="AL74" t="s">
        <v>1952</v>
      </c>
      <c r="AO74" t="s">
        <v>486</v>
      </c>
      <c r="AP74">
        <v>7.0</v>
      </c>
      <c r="AQ74" t="s">
        <v>126</v>
      </c>
      <c r="AR74" t="s">
        <v>1953</v>
      </c>
      <c r="AS74" t="b">
        <v>0</v>
      </c>
      <c r="AV74">
        <v>7.0</v>
      </c>
      <c r="AW74" t="b">
        <v>0</v>
      </c>
      <c r="AZ74" t="b">
        <v>0</v>
      </c>
      <c r="BA74" t="b">
        <v>0</v>
      </c>
      <c r="BD74" t="s">
        <v>1954</v>
      </c>
      <c r="BH74" t="s">
        <v>132</v>
      </c>
      <c r="BI74">
        <v>5.0</v>
      </c>
      <c r="BJ74" t="s">
        <v>1955</v>
      </c>
      <c r="BK74">
        <v>4.0</v>
      </c>
      <c r="BL74">
        <v>5.0</v>
      </c>
      <c r="BM74" t="s">
        <v>1956</v>
      </c>
      <c r="BN74">
        <v>6.0</v>
      </c>
      <c r="BO74">
        <v>7.0</v>
      </c>
      <c r="BP74" t="s">
        <v>1957</v>
      </c>
      <c r="BQ74" t="s">
        <v>1958</v>
      </c>
      <c r="BR74" t="s">
        <v>1959</v>
      </c>
      <c r="BS74" t="s">
        <v>1960</v>
      </c>
      <c r="BU74" t="s">
        <v>1961</v>
      </c>
      <c r="BV74" s="3" t="s">
        <v>1962</v>
      </c>
      <c r="BW74" t="b">
        <v>1</v>
      </c>
      <c r="BX74" t="s">
        <v>1394</v>
      </c>
      <c r="BY74" t="s">
        <v>140</v>
      </c>
      <c r="CA74" t="s">
        <v>1395</v>
      </c>
      <c r="CD74">
        <v>0.0</v>
      </c>
      <c r="CF74" t="b">
        <v>1</v>
      </c>
      <c r="CG74" t="b">
        <v>1</v>
      </c>
      <c r="CH74" t="s">
        <v>1963</v>
      </c>
      <c r="CJ74" t="b">
        <v>1</v>
      </c>
      <c r="CK74" t="b">
        <v>1</v>
      </c>
      <c r="CL74" t="s">
        <v>300</v>
      </c>
      <c r="CM74" t="s">
        <v>300</v>
      </c>
      <c r="CO74" t="s">
        <v>124</v>
      </c>
      <c r="CQ74" t="s">
        <v>300</v>
      </c>
      <c r="CR74" t="b">
        <v>1</v>
      </c>
      <c r="CT74">
        <v>5.0</v>
      </c>
      <c r="CU74">
        <v>1.0</v>
      </c>
      <c r="CX74" t="s">
        <v>1964</v>
      </c>
      <c r="CZ74" s="5">
        <v>44235.16181712963</v>
      </c>
      <c r="DA74" t="s">
        <v>1965</v>
      </c>
    </row>
    <row r="75">
      <c r="A75" t="s">
        <v>98</v>
      </c>
      <c r="D75" t="s">
        <v>1966</v>
      </c>
      <c r="E75" t="s">
        <v>1967</v>
      </c>
      <c r="F75" s="2">
        <v>38393.0</v>
      </c>
      <c r="G75" t="s">
        <v>1360</v>
      </c>
      <c r="I75" s="3" t="s">
        <v>1968</v>
      </c>
      <c r="J75" t="s">
        <v>1969</v>
      </c>
      <c r="K75" t="b">
        <v>1</v>
      </c>
      <c r="L75" s="4" t="s">
        <v>1970</v>
      </c>
      <c r="M75" t="s">
        <v>1971</v>
      </c>
      <c r="N75" t="s">
        <v>255</v>
      </c>
      <c r="O75" t="s">
        <v>1972</v>
      </c>
      <c r="P75" t="s">
        <v>1973</v>
      </c>
      <c r="Q75" t="s">
        <v>152</v>
      </c>
      <c r="R75" t="s">
        <v>1974</v>
      </c>
      <c r="S75" t="s">
        <v>1971</v>
      </c>
      <c r="T75" s="4" t="s">
        <v>1975</v>
      </c>
      <c r="U75" t="s">
        <v>1976</v>
      </c>
      <c r="V75" t="s">
        <v>1729</v>
      </c>
      <c r="W75" t="s">
        <v>261</v>
      </c>
      <c r="Y75" t="s">
        <v>158</v>
      </c>
      <c r="Z75" t="s">
        <v>262</v>
      </c>
      <c r="AC75" s="3" t="s">
        <v>1977</v>
      </c>
      <c r="AD75" t="s">
        <v>118</v>
      </c>
      <c r="AE75" t="s">
        <v>729</v>
      </c>
      <c r="AF75" t="s">
        <v>1978</v>
      </c>
      <c r="AG75">
        <v>11.0</v>
      </c>
      <c r="AI75" t="s">
        <v>162</v>
      </c>
      <c r="AK75" t="s">
        <v>179</v>
      </c>
      <c r="AL75" t="s">
        <v>199</v>
      </c>
      <c r="AO75" t="s">
        <v>335</v>
      </c>
      <c r="AP75">
        <v>5.0</v>
      </c>
      <c r="AQ75" t="s">
        <v>126</v>
      </c>
      <c r="AR75" t="s">
        <v>1979</v>
      </c>
      <c r="AS75" t="b">
        <v>1</v>
      </c>
      <c r="AT75" t="b">
        <v>0</v>
      </c>
      <c r="AV75">
        <v>4.0</v>
      </c>
      <c r="AW75" t="b">
        <v>0</v>
      </c>
      <c r="AZ75" t="b">
        <v>0</v>
      </c>
      <c r="BA75" t="b">
        <v>0</v>
      </c>
      <c r="BD75" t="s">
        <v>1980</v>
      </c>
      <c r="BH75" t="s">
        <v>132</v>
      </c>
      <c r="BI75">
        <v>2.0</v>
      </c>
      <c r="BJ75" t="s">
        <v>1981</v>
      </c>
      <c r="BK75">
        <v>4.0</v>
      </c>
      <c r="BL75">
        <v>4.0</v>
      </c>
      <c r="BM75" t="s">
        <v>1982</v>
      </c>
      <c r="BN75">
        <v>3.0</v>
      </c>
      <c r="BO75">
        <v>5.0</v>
      </c>
      <c r="BP75" t="s">
        <v>1983</v>
      </c>
      <c r="BQ75" t="s">
        <v>1984</v>
      </c>
      <c r="BR75" t="s">
        <v>1985</v>
      </c>
      <c r="BS75" t="s">
        <v>1986</v>
      </c>
      <c r="BU75" t="s">
        <v>139</v>
      </c>
      <c r="BV75" s="3" t="s">
        <v>1987</v>
      </c>
      <c r="BW75" t="b">
        <v>1</v>
      </c>
      <c r="BX75" t="s">
        <v>1394</v>
      </c>
      <c r="BY75" t="s">
        <v>140</v>
      </c>
      <c r="CA75" t="s">
        <v>1395</v>
      </c>
      <c r="CD75">
        <v>0.0</v>
      </c>
      <c r="CF75" t="b">
        <v>1</v>
      </c>
      <c r="CG75" t="b">
        <v>1</v>
      </c>
      <c r="CH75" t="s">
        <v>1988</v>
      </c>
      <c r="CJ75" t="b">
        <v>1</v>
      </c>
      <c r="CK75" t="b">
        <v>1</v>
      </c>
      <c r="CL75" t="s">
        <v>198</v>
      </c>
      <c r="CM75" t="s">
        <v>198</v>
      </c>
      <c r="CO75" t="s">
        <v>1635</v>
      </c>
      <c r="CQ75" t="s">
        <v>198</v>
      </c>
      <c r="CR75" t="b">
        <v>1</v>
      </c>
      <c r="CT75">
        <v>0.0</v>
      </c>
      <c r="CU75">
        <v>0.0</v>
      </c>
      <c r="CX75" s="4" t="s">
        <v>1989</v>
      </c>
      <c r="CZ75" s="5">
        <v>44235.22021990741</v>
      </c>
      <c r="DA75" t="s">
        <v>1990</v>
      </c>
    </row>
    <row r="76">
      <c r="A76" t="s">
        <v>98</v>
      </c>
      <c r="D76" t="s">
        <v>1991</v>
      </c>
      <c r="E76" t="s">
        <v>284</v>
      </c>
      <c r="F76" s="2">
        <v>38366.0</v>
      </c>
      <c r="G76" t="s">
        <v>1360</v>
      </c>
      <c r="I76" s="3" t="s">
        <v>1992</v>
      </c>
      <c r="J76" t="s">
        <v>1993</v>
      </c>
      <c r="K76" t="b">
        <v>1</v>
      </c>
      <c r="L76" s="4" t="s">
        <v>1994</v>
      </c>
      <c r="M76" t="s">
        <v>1995</v>
      </c>
      <c r="N76" t="s">
        <v>255</v>
      </c>
      <c r="O76" t="s">
        <v>1996</v>
      </c>
      <c r="P76" t="s">
        <v>1997</v>
      </c>
      <c r="Q76" t="s">
        <v>292</v>
      </c>
      <c r="R76" t="s">
        <v>1998</v>
      </c>
      <c r="S76" t="s">
        <v>1999</v>
      </c>
      <c r="T76" s="4" t="s">
        <v>2000</v>
      </c>
      <c r="U76" t="s">
        <v>1543</v>
      </c>
      <c r="V76" t="s">
        <v>1325</v>
      </c>
      <c r="W76" t="s">
        <v>113</v>
      </c>
      <c r="Y76" t="s">
        <v>158</v>
      </c>
      <c r="Z76" t="s">
        <v>262</v>
      </c>
      <c r="AC76" s="3" t="s">
        <v>2001</v>
      </c>
      <c r="AD76" t="s">
        <v>118</v>
      </c>
      <c r="AE76" t="s">
        <v>729</v>
      </c>
      <c r="AF76" t="s">
        <v>2002</v>
      </c>
      <c r="AG76">
        <v>13.0</v>
      </c>
      <c r="AI76" t="s">
        <v>121</v>
      </c>
      <c r="AK76" t="s">
        <v>528</v>
      </c>
      <c r="AL76" t="s">
        <v>2003</v>
      </c>
      <c r="AO76" t="s">
        <v>125</v>
      </c>
      <c r="AP76">
        <v>5.0</v>
      </c>
      <c r="AQ76" t="s">
        <v>126</v>
      </c>
      <c r="AR76" t="s">
        <v>2004</v>
      </c>
      <c r="AS76" t="b">
        <v>1</v>
      </c>
      <c r="AT76" t="b">
        <v>1</v>
      </c>
      <c r="AV76">
        <v>5.0</v>
      </c>
      <c r="AW76" t="b">
        <v>1</v>
      </c>
      <c r="AX76" t="s">
        <v>1902</v>
      </c>
      <c r="AY76" s="4" t="s">
        <v>518</v>
      </c>
      <c r="AZ76" t="b">
        <v>0</v>
      </c>
      <c r="BA76" t="b">
        <v>0</v>
      </c>
      <c r="BD76" t="s">
        <v>2005</v>
      </c>
      <c r="BH76" t="s">
        <v>132</v>
      </c>
      <c r="BI76">
        <v>1.0</v>
      </c>
      <c r="BJ76" t="s">
        <v>2006</v>
      </c>
      <c r="BK76">
        <v>1.0</v>
      </c>
      <c r="BL76">
        <v>1.0</v>
      </c>
      <c r="BM76" t="s">
        <v>2007</v>
      </c>
      <c r="BN76">
        <v>1.0</v>
      </c>
      <c r="BO76">
        <v>1.0</v>
      </c>
      <c r="BP76" t="s">
        <v>2008</v>
      </c>
      <c r="BQ76" t="s">
        <v>2009</v>
      </c>
      <c r="BR76" t="s">
        <v>2010</v>
      </c>
      <c r="BS76" t="s">
        <v>2011</v>
      </c>
      <c r="BU76" t="s">
        <v>2012</v>
      </c>
      <c r="BV76" s="3" t="s">
        <v>2013</v>
      </c>
      <c r="BW76" t="b">
        <v>1</v>
      </c>
      <c r="BX76" t="s">
        <v>1394</v>
      </c>
      <c r="BY76" t="s">
        <v>140</v>
      </c>
      <c r="CA76" t="s">
        <v>1395</v>
      </c>
      <c r="CD76">
        <v>0.0</v>
      </c>
      <c r="CF76" t="b">
        <v>1</v>
      </c>
      <c r="CG76" t="b">
        <v>1</v>
      </c>
      <c r="CH76" t="s">
        <v>128</v>
      </c>
      <c r="CJ76" t="b">
        <v>1</v>
      </c>
      <c r="CK76" t="b">
        <v>1</v>
      </c>
      <c r="CL76" t="s">
        <v>265</v>
      </c>
      <c r="CO76" t="s">
        <v>124</v>
      </c>
      <c r="CR76" t="b">
        <v>1</v>
      </c>
      <c r="CT76">
        <v>0.0</v>
      </c>
      <c r="CU76">
        <v>1.0</v>
      </c>
      <c r="CX76" s="4" t="s">
        <v>2014</v>
      </c>
      <c r="CZ76" s="5">
        <v>44235.66105324074</v>
      </c>
      <c r="DA76" t="s">
        <v>2015</v>
      </c>
    </row>
    <row r="77">
      <c r="A77" t="s">
        <v>98</v>
      </c>
      <c r="D77" t="s">
        <v>2016</v>
      </c>
      <c r="E77" t="s">
        <v>2017</v>
      </c>
      <c r="F77" s="2">
        <v>37766.0</v>
      </c>
      <c r="G77" t="s">
        <v>1360</v>
      </c>
      <c r="I77" s="3" t="s">
        <v>2018</v>
      </c>
      <c r="J77" t="s">
        <v>2019</v>
      </c>
      <c r="K77" t="b">
        <v>1</v>
      </c>
      <c r="L77" s="4" t="s">
        <v>2020</v>
      </c>
      <c r="M77" t="s">
        <v>2021</v>
      </c>
      <c r="N77" t="s">
        <v>255</v>
      </c>
      <c r="O77" t="s">
        <v>2022</v>
      </c>
      <c r="P77" t="s">
        <v>2023</v>
      </c>
      <c r="Q77" t="s">
        <v>152</v>
      </c>
      <c r="R77" t="s">
        <v>2024</v>
      </c>
      <c r="S77" t="s">
        <v>2025</v>
      </c>
      <c r="T77" s="4" t="s">
        <v>2026</v>
      </c>
      <c r="U77" t="s">
        <v>2027</v>
      </c>
      <c r="V77" t="s">
        <v>1729</v>
      </c>
      <c r="W77" t="s">
        <v>113</v>
      </c>
      <c r="Y77" t="s">
        <v>158</v>
      </c>
      <c r="Z77" t="s">
        <v>262</v>
      </c>
      <c r="AC77" s="3" t="s">
        <v>2028</v>
      </c>
      <c r="AD77" t="s">
        <v>118</v>
      </c>
      <c r="AE77" t="s">
        <v>729</v>
      </c>
      <c r="AF77" t="s">
        <v>2029</v>
      </c>
      <c r="AG77">
        <v>15.0</v>
      </c>
      <c r="AI77" t="s">
        <v>162</v>
      </c>
      <c r="AK77" t="s">
        <v>2030</v>
      </c>
      <c r="AL77" t="s">
        <v>1043</v>
      </c>
      <c r="AO77" t="s">
        <v>335</v>
      </c>
      <c r="AP77">
        <v>5.0</v>
      </c>
      <c r="AQ77" t="s">
        <v>303</v>
      </c>
      <c r="AR77" t="s">
        <v>2031</v>
      </c>
      <c r="AS77" t="b">
        <v>1</v>
      </c>
      <c r="AT77" t="b">
        <v>0</v>
      </c>
      <c r="AV77">
        <v>5.0</v>
      </c>
      <c r="AW77" t="b">
        <v>0</v>
      </c>
      <c r="AZ77" t="b">
        <v>0</v>
      </c>
      <c r="BA77" t="b">
        <v>0</v>
      </c>
      <c r="BD77" t="s">
        <v>2032</v>
      </c>
      <c r="BH77" t="s">
        <v>132</v>
      </c>
      <c r="BI77">
        <v>1.0</v>
      </c>
      <c r="BJ77" t="s">
        <v>2033</v>
      </c>
      <c r="BK77">
        <v>2.0</v>
      </c>
      <c r="BL77">
        <v>5.0</v>
      </c>
      <c r="BM77" t="s">
        <v>2034</v>
      </c>
      <c r="BN77">
        <v>3.0</v>
      </c>
      <c r="BO77">
        <v>5.0</v>
      </c>
      <c r="BP77" t="s">
        <v>2035</v>
      </c>
      <c r="BQ77" t="s">
        <v>2036</v>
      </c>
      <c r="BR77" t="s">
        <v>2037</v>
      </c>
      <c r="BS77" t="s">
        <v>2038</v>
      </c>
      <c r="BU77" t="s">
        <v>2039</v>
      </c>
      <c r="BV77" s="3" t="s">
        <v>2040</v>
      </c>
      <c r="BW77" t="b">
        <v>1</v>
      </c>
      <c r="BX77" t="s">
        <v>1394</v>
      </c>
      <c r="BY77" t="s">
        <v>140</v>
      </c>
      <c r="CA77" t="s">
        <v>1395</v>
      </c>
      <c r="CD77">
        <v>0.0</v>
      </c>
      <c r="CF77" t="b">
        <v>1</v>
      </c>
      <c r="CG77" t="b">
        <v>1</v>
      </c>
      <c r="CH77" t="s">
        <v>2041</v>
      </c>
      <c r="CJ77" t="b">
        <v>1</v>
      </c>
      <c r="CK77" t="b">
        <v>0</v>
      </c>
      <c r="CL77" t="s">
        <v>387</v>
      </c>
      <c r="CO77" t="s">
        <v>2042</v>
      </c>
      <c r="CR77" t="b">
        <v>1</v>
      </c>
      <c r="CT77">
        <v>0.0</v>
      </c>
      <c r="CU77">
        <v>0.0</v>
      </c>
      <c r="CX77" s="4" t="s">
        <v>1813</v>
      </c>
      <c r="CZ77" s="5">
        <v>44236.695625</v>
      </c>
      <c r="DA77" t="s">
        <v>2043</v>
      </c>
    </row>
    <row r="78">
      <c r="A78" t="s">
        <v>98</v>
      </c>
      <c r="D78" t="s">
        <v>2044</v>
      </c>
      <c r="E78" t="s">
        <v>2045</v>
      </c>
      <c r="F78" s="2">
        <v>37672.0</v>
      </c>
      <c r="G78" t="s">
        <v>1466</v>
      </c>
      <c r="I78" s="3" t="s">
        <v>2046</v>
      </c>
      <c r="J78" t="s">
        <v>2047</v>
      </c>
      <c r="K78" t="b">
        <v>1</v>
      </c>
      <c r="L78" s="4" t="s">
        <v>2048</v>
      </c>
      <c r="M78" s="4" t="s">
        <v>2049</v>
      </c>
      <c r="N78" t="s">
        <v>255</v>
      </c>
      <c r="O78" t="s">
        <v>2050</v>
      </c>
      <c r="P78" t="s">
        <v>2051</v>
      </c>
      <c r="Q78" t="s">
        <v>152</v>
      </c>
      <c r="R78" t="s">
        <v>2047</v>
      </c>
      <c r="S78" s="4" t="s">
        <v>2049</v>
      </c>
      <c r="T78" s="4" t="s">
        <v>2052</v>
      </c>
      <c r="U78" t="s">
        <v>2027</v>
      </c>
      <c r="V78" s="4" t="s">
        <v>2053</v>
      </c>
      <c r="W78" t="s">
        <v>113</v>
      </c>
      <c r="Y78" t="s">
        <v>158</v>
      </c>
      <c r="Z78" t="s">
        <v>262</v>
      </c>
      <c r="AC78" s="3" t="s">
        <v>2054</v>
      </c>
      <c r="AD78" t="s">
        <v>118</v>
      </c>
      <c r="AE78" t="s">
        <v>729</v>
      </c>
      <c r="AF78" t="s">
        <v>2055</v>
      </c>
      <c r="AG78">
        <v>15.0</v>
      </c>
      <c r="AI78" t="s">
        <v>162</v>
      </c>
      <c r="AK78" t="s">
        <v>2056</v>
      </c>
      <c r="AL78" t="s">
        <v>2057</v>
      </c>
      <c r="AO78" t="s">
        <v>125</v>
      </c>
      <c r="AP78">
        <v>6.0</v>
      </c>
      <c r="AQ78" t="s">
        <v>1480</v>
      </c>
      <c r="AR78" t="s">
        <v>2058</v>
      </c>
      <c r="AS78" t="b">
        <v>0</v>
      </c>
      <c r="AV78">
        <v>4.0</v>
      </c>
      <c r="AW78" t="b">
        <v>1</v>
      </c>
      <c r="AX78" t="s">
        <v>1902</v>
      </c>
      <c r="AY78" s="4" t="s">
        <v>518</v>
      </c>
      <c r="AZ78" t="b">
        <v>0</v>
      </c>
      <c r="BA78" t="b">
        <v>0</v>
      </c>
      <c r="BD78" t="s">
        <v>2059</v>
      </c>
      <c r="BH78" t="s">
        <v>132</v>
      </c>
      <c r="BI78">
        <v>2.0</v>
      </c>
      <c r="BJ78" t="s">
        <v>2060</v>
      </c>
      <c r="BK78">
        <v>4.0</v>
      </c>
      <c r="BL78">
        <v>3.0</v>
      </c>
      <c r="BM78" t="s">
        <v>2061</v>
      </c>
      <c r="BN78">
        <v>1.0</v>
      </c>
      <c r="BO78">
        <v>4.0</v>
      </c>
      <c r="BP78" t="s">
        <v>2062</v>
      </c>
      <c r="BQ78" t="s">
        <v>2063</v>
      </c>
      <c r="BR78" t="s">
        <v>2064</v>
      </c>
      <c r="BS78" t="s">
        <v>2065</v>
      </c>
      <c r="BU78" t="s">
        <v>2066</v>
      </c>
      <c r="BV78" s="3" t="s">
        <v>2067</v>
      </c>
      <c r="BW78" t="b">
        <v>1</v>
      </c>
      <c r="BX78" t="s">
        <v>1394</v>
      </c>
      <c r="BY78" t="s">
        <v>140</v>
      </c>
      <c r="CA78" t="s">
        <v>1395</v>
      </c>
      <c r="CD78">
        <v>0.0</v>
      </c>
      <c r="CF78" t="b">
        <v>1</v>
      </c>
      <c r="CG78" t="b">
        <v>1</v>
      </c>
      <c r="CH78" t="s">
        <v>1935</v>
      </c>
      <c r="CJ78" t="b">
        <v>1</v>
      </c>
      <c r="CK78" t="b">
        <v>1</v>
      </c>
      <c r="CL78" t="s">
        <v>300</v>
      </c>
      <c r="CM78" t="s">
        <v>300</v>
      </c>
      <c r="CO78" t="s">
        <v>2068</v>
      </c>
      <c r="CQ78" t="s">
        <v>300</v>
      </c>
      <c r="CR78" t="b">
        <v>1</v>
      </c>
      <c r="CT78">
        <v>0.0</v>
      </c>
      <c r="CU78">
        <v>0.0</v>
      </c>
      <c r="CX78" s="4" t="s">
        <v>2069</v>
      </c>
      <c r="CZ78" s="5">
        <v>44236.723703703705</v>
      </c>
      <c r="DA78" t="s">
        <v>2070</v>
      </c>
    </row>
    <row r="79">
      <c r="A79" t="s">
        <v>98</v>
      </c>
      <c r="D79" t="s">
        <v>2071</v>
      </c>
      <c r="E79" t="s">
        <v>2072</v>
      </c>
      <c r="F79" s="2">
        <v>37595.0</v>
      </c>
      <c r="G79" t="s">
        <v>1466</v>
      </c>
      <c r="I79" s="3" t="s">
        <v>2073</v>
      </c>
      <c r="J79" t="s">
        <v>2074</v>
      </c>
      <c r="K79" t="b">
        <v>1</v>
      </c>
      <c r="L79" s="4" t="s">
        <v>2075</v>
      </c>
      <c r="M79" t="s">
        <v>2076</v>
      </c>
      <c r="N79" t="s">
        <v>149</v>
      </c>
      <c r="O79" t="s">
        <v>2077</v>
      </c>
      <c r="P79" t="s">
        <v>2078</v>
      </c>
      <c r="Q79" t="s">
        <v>1510</v>
      </c>
      <c r="R79" t="s">
        <v>2079</v>
      </c>
      <c r="S79" t="s">
        <v>2080</v>
      </c>
      <c r="T79" s="4" t="s">
        <v>2081</v>
      </c>
      <c r="U79" t="s">
        <v>1674</v>
      </c>
      <c r="V79" t="s">
        <v>1729</v>
      </c>
      <c r="W79" t="s">
        <v>113</v>
      </c>
      <c r="Y79" t="s">
        <v>158</v>
      </c>
      <c r="Z79" t="s">
        <v>262</v>
      </c>
      <c r="AC79" s="3" t="s">
        <v>2082</v>
      </c>
      <c r="AD79" t="s">
        <v>118</v>
      </c>
      <c r="AE79" t="s">
        <v>729</v>
      </c>
      <c r="AF79" t="s">
        <v>2083</v>
      </c>
      <c r="AG79">
        <v>14.0</v>
      </c>
      <c r="AI79" t="s">
        <v>162</v>
      </c>
      <c r="AK79" t="s">
        <v>2084</v>
      </c>
      <c r="AL79" t="s">
        <v>2085</v>
      </c>
      <c r="AO79" t="s">
        <v>1479</v>
      </c>
      <c r="AP79">
        <v>4.0</v>
      </c>
      <c r="AQ79" t="s">
        <v>461</v>
      </c>
      <c r="AR79" t="s">
        <v>2086</v>
      </c>
      <c r="AS79" t="b">
        <v>1</v>
      </c>
      <c r="AT79" t="b">
        <v>0</v>
      </c>
      <c r="AV79">
        <v>5.0</v>
      </c>
      <c r="AW79" t="b">
        <v>0</v>
      </c>
      <c r="AZ79" t="b">
        <v>0</v>
      </c>
      <c r="BA79" t="b">
        <v>1</v>
      </c>
      <c r="BB79" t="b">
        <v>1</v>
      </c>
      <c r="BC79" t="s">
        <v>2087</v>
      </c>
      <c r="BH79" t="s">
        <v>132</v>
      </c>
      <c r="BI79">
        <v>5.0</v>
      </c>
      <c r="BJ79" t="s">
        <v>2088</v>
      </c>
      <c r="BK79">
        <v>6.0</v>
      </c>
      <c r="BL79">
        <v>4.0</v>
      </c>
      <c r="BM79" t="s">
        <v>2089</v>
      </c>
      <c r="BN79">
        <v>4.0</v>
      </c>
      <c r="BO79">
        <v>7.0</v>
      </c>
      <c r="BP79" t="s">
        <v>2090</v>
      </c>
      <c r="BQ79" t="s">
        <v>2091</v>
      </c>
      <c r="BR79" t="s">
        <v>2092</v>
      </c>
      <c r="BS79" t="s">
        <v>2093</v>
      </c>
      <c r="BU79" t="s">
        <v>2094</v>
      </c>
      <c r="BV79" s="3" t="s">
        <v>2095</v>
      </c>
      <c r="BW79" t="b">
        <v>1</v>
      </c>
      <c r="BX79" t="s">
        <v>1394</v>
      </c>
      <c r="BY79" t="s">
        <v>140</v>
      </c>
      <c r="CA79" t="s">
        <v>1395</v>
      </c>
      <c r="CD79">
        <v>0.0</v>
      </c>
      <c r="CF79" t="b">
        <v>1</v>
      </c>
      <c r="CG79" t="b">
        <v>0</v>
      </c>
      <c r="CH79" t="s">
        <v>2096</v>
      </c>
      <c r="CJ79" t="b">
        <v>1</v>
      </c>
      <c r="CK79" t="b">
        <v>1</v>
      </c>
      <c r="CL79" t="s">
        <v>300</v>
      </c>
      <c r="CM79" t="s">
        <v>300</v>
      </c>
      <c r="CO79" t="s">
        <v>124</v>
      </c>
      <c r="CQ79" t="s">
        <v>300</v>
      </c>
      <c r="CR79" t="b">
        <v>1</v>
      </c>
      <c r="CT79">
        <v>0.0</v>
      </c>
      <c r="CU79">
        <v>10.0</v>
      </c>
      <c r="CX79" s="4" t="s">
        <v>2097</v>
      </c>
      <c r="CZ79" s="5">
        <v>44236.727951388886</v>
      </c>
      <c r="DA79" t="s">
        <v>2098</v>
      </c>
    </row>
    <row r="80">
      <c r="A80" t="s">
        <v>98</v>
      </c>
      <c r="D80" t="s">
        <v>2099</v>
      </c>
      <c r="E80" t="s">
        <v>2100</v>
      </c>
      <c r="F80" s="2">
        <v>37839.0</v>
      </c>
      <c r="G80" t="s">
        <v>1466</v>
      </c>
      <c r="I80" s="3" t="s">
        <v>2101</v>
      </c>
      <c r="J80" t="s">
        <v>2102</v>
      </c>
      <c r="K80" t="b">
        <v>1</v>
      </c>
      <c r="L80" s="4" t="s">
        <v>2103</v>
      </c>
      <c r="M80" t="s">
        <v>2104</v>
      </c>
      <c r="N80" t="s">
        <v>255</v>
      </c>
      <c r="O80" t="s">
        <v>2105</v>
      </c>
      <c r="P80" t="s">
        <v>2106</v>
      </c>
      <c r="Q80" t="s">
        <v>189</v>
      </c>
      <c r="R80" t="s">
        <v>2107</v>
      </c>
      <c r="S80" t="s">
        <v>2104</v>
      </c>
      <c r="T80" s="4" t="s">
        <v>2108</v>
      </c>
      <c r="U80" t="s">
        <v>1543</v>
      </c>
      <c r="V80" t="s">
        <v>2109</v>
      </c>
      <c r="W80" t="s">
        <v>113</v>
      </c>
      <c r="Y80" t="s">
        <v>158</v>
      </c>
      <c r="Z80" t="s">
        <v>262</v>
      </c>
      <c r="AC80" s="3" t="s">
        <v>2110</v>
      </c>
      <c r="AD80" t="s">
        <v>118</v>
      </c>
      <c r="AE80" t="s">
        <v>729</v>
      </c>
      <c r="AF80" t="s">
        <v>936</v>
      </c>
      <c r="AG80">
        <v>14.0</v>
      </c>
      <c r="AI80" t="s">
        <v>162</v>
      </c>
      <c r="AL80" t="s">
        <v>2111</v>
      </c>
      <c r="AO80" t="s">
        <v>335</v>
      </c>
      <c r="AP80">
        <v>5.0</v>
      </c>
      <c r="AQ80" t="s">
        <v>303</v>
      </c>
      <c r="AR80" t="s">
        <v>2112</v>
      </c>
      <c r="AS80" t="b">
        <v>1</v>
      </c>
      <c r="AT80" t="b">
        <v>0</v>
      </c>
      <c r="AV80">
        <v>6.0</v>
      </c>
      <c r="AW80" t="b">
        <v>0</v>
      </c>
      <c r="AZ80" t="b">
        <v>0</v>
      </c>
      <c r="BA80" t="b">
        <v>0</v>
      </c>
      <c r="BD80" t="s">
        <v>2113</v>
      </c>
      <c r="BH80" t="s">
        <v>132</v>
      </c>
      <c r="BI80">
        <v>3.0</v>
      </c>
      <c r="BJ80" t="s">
        <v>2114</v>
      </c>
      <c r="BK80">
        <v>4.0</v>
      </c>
      <c r="BL80">
        <v>4.0</v>
      </c>
      <c r="BM80" t="s">
        <v>2115</v>
      </c>
      <c r="BN80">
        <v>3.0</v>
      </c>
      <c r="BO80">
        <v>4.0</v>
      </c>
      <c r="BP80" t="s">
        <v>2116</v>
      </c>
      <c r="BQ80" t="s">
        <v>1050</v>
      </c>
      <c r="BR80" t="s">
        <v>2117</v>
      </c>
      <c r="BS80" t="s">
        <v>2118</v>
      </c>
      <c r="BU80" t="s">
        <v>2119</v>
      </c>
      <c r="BV80" s="3" t="s">
        <v>2120</v>
      </c>
      <c r="BW80" t="b">
        <v>1</v>
      </c>
      <c r="BX80" t="s">
        <v>1394</v>
      </c>
      <c r="BY80" t="s">
        <v>140</v>
      </c>
      <c r="CA80" t="s">
        <v>1395</v>
      </c>
      <c r="CD80">
        <v>0.0</v>
      </c>
      <c r="CF80" t="b">
        <v>1</v>
      </c>
      <c r="CG80" t="b">
        <v>1</v>
      </c>
      <c r="CH80" t="s">
        <v>168</v>
      </c>
      <c r="CJ80" t="b">
        <v>1</v>
      </c>
      <c r="CK80" t="b">
        <v>1</v>
      </c>
      <c r="CL80" t="s">
        <v>300</v>
      </c>
      <c r="CO80" t="s">
        <v>124</v>
      </c>
      <c r="CR80" t="b">
        <v>1</v>
      </c>
      <c r="CT80">
        <v>0.0</v>
      </c>
      <c r="CU80">
        <v>0.0</v>
      </c>
      <c r="CX80" s="4" t="s">
        <v>2121</v>
      </c>
      <c r="CZ80" s="5">
        <v>44236.73027777778</v>
      </c>
      <c r="DA80" t="s">
        <v>2122</v>
      </c>
    </row>
    <row r="81">
      <c r="A81" t="s">
        <v>98</v>
      </c>
      <c r="D81" t="s">
        <v>2123</v>
      </c>
      <c r="E81" t="s">
        <v>2124</v>
      </c>
      <c r="F81" s="2">
        <v>37652.0</v>
      </c>
      <c r="G81" t="s">
        <v>1466</v>
      </c>
      <c r="I81" s="3" t="s">
        <v>2125</v>
      </c>
      <c r="J81" t="s">
        <v>2126</v>
      </c>
      <c r="K81" t="b">
        <v>1</v>
      </c>
      <c r="L81" s="4" t="s">
        <v>2127</v>
      </c>
      <c r="M81" t="s">
        <v>2128</v>
      </c>
      <c r="N81" t="s">
        <v>149</v>
      </c>
      <c r="P81" t="s">
        <v>2129</v>
      </c>
      <c r="Q81" t="s">
        <v>1510</v>
      </c>
      <c r="R81" t="s">
        <v>2130</v>
      </c>
      <c r="S81" t="s">
        <v>2128</v>
      </c>
      <c r="T81" s="4" t="s">
        <v>2131</v>
      </c>
      <c r="U81" t="s">
        <v>1674</v>
      </c>
      <c r="V81" t="s">
        <v>2132</v>
      </c>
      <c r="W81" t="s">
        <v>113</v>
      </c>
      <c r="Y81" t="s">
        <v>158</v>
      </c>
      <c r="Z81" t="s">
        <v>262</v>
      </c>
      <c r="AC81" s="3" t="s">
        <v>2133</v>
      </c>
      <c r="AD81" t="s">
        <v>118</v>
      </c>
      <c r="AE81" t="s">
        <v>1220</v>
      </c>
      <c r="AH81" t="s">
        <v>2134</v>
      </c>
      <c r="AI81" t="s">
        <v>121</v>
      </c>
      <c r="AL81" t="s">
        <v>2135</v>
      </c>
      <c r="AO81" t="s">
        <v>335</v>
      </c>
      <c r="AP81">
        <v>6.0</v>
      </c>
      <c r="AQ81" t="s">
        <v>303</v>
      </c>
      <c r="AR81" t="s">
        <v>2136</v>
      </c>
      <c r="AS81" t="b">
        <v>1</v>
      </c>
      <c r="AT81" t="b">
        <v>1</v>
      </c>
      <c r="AV81">
        <v>5.0</v>
      </c>
      <c r="AW81" t="b">
        <v>0</v>
      </c>
      <c r="AZ81" t="b">
        <v>0</v>
      </c>
      <c r="BA81" t="b">
        <v>1</v>
      </c>
      <c r="BB81" t="b">
        <v>0</v>
      </c>
      <c r="BC81" t="s">
        <v>2137</v>
      </c>
      <c r="BH81" t="s">
        <v>132</v>
      </c>
      <c r="BI81">
        <v>1.0</v>
      </c>
      <c r="BJ81" t="s">
        <v>2138</v>
      </c>
      <c r="BK81">
        <v>4.0</v>
      </c>
      <c r="BL81">
        <v>5.0</v>
      </c>
      <c r="BM81" t="s">
        <v>2139</v>
      </c>
      <c r="BN81">
        <v>4.0</v>
      </c>
      <c r="BO81">
        <v>4.0</v>
      </c>
      <c r="BP81" t="s">
        <v>2140</v>
      </c>
      <c r="BQ81" t="s">
        <v>1931</v>
      </c>
      <c r="BR81" t="s">
        <v>2141</v>
      </c>
      <c r="BS81" t="s">
        <v>2142</v>
      </c>
      <c r="BU81" t="s">
        <v>2143</v>
      </c>
      <c r="BV81" s="3" t="s">
        <v>2144</v>
      </c>
      <c r="BW81" t="b">
        <v>1</v>
      </c>
      <c r="BX81" t="s">
        <v>1394</v>
      </c>
      <c r="BY81" t="s">
        <v>140</v>
      </c>
      <c r="CA81" t="s">
        <v>1395</v>
      </c>
      <c r="CD81">
        <v>0.0</v>
      </c>
      <c r="CF81" t="b">
        <v>1</v>
      </c>
      <c r="CG81" t="b">
        <v>1</v>
      </c>
      <c r="CH81" t="s">
        <v>2145</v>
      </c>
      <c r="CJ81" t="b">
        <v>1</v>
      </c>
      <c r="CK81" t="b">
        <v>1</v>
      </c>
      <c r="CL81" t="s">
        <v>300</v>
      </c>
      <c r="CO81" t="s">
        <v>124</v>
      </c>
      <c r="CR81" t="b">
        <v>1</v>
      </c>
      <c r="CT81">
        <v>0.0</v>
      </c>
      <c r="CU81">
        <v>0.0</v>
      </c>
      <c r="CX81" s="4" t="s">
        <v>2146</v>
      </c>
      <c r="CZ81" s="5">
        <v>44236.75071759259</v>
      </c>
      <c r="DA81" t="s">
        <v>2147</v>
      </c>
    </row>
    <row r="82">
      <c r="A82" t="s">
        <v>98</v>
      </c>
      <c r="D82" t="s">
        <v>2148</v>
      </c>
      <c r="E82" t="s">
        <v>2149</v>
      </c>
      <c r="F82" s="2">
        <v>38172.0</v>
      </c>
      <c r="G82" t="s">
        <v>1360</v>
      </c>
      <c r="I82" s="3" t="s">
        <v>2150</v>
      </c>
      <c r="J82" t="s">
        <v>2151</v>
      </c>
      <c r="K82" t="b">
        <v>1</v>
      </c>
      <c r="L82" s="4" t="s">
        <v>2152</v>
      </c>
      <c r="M82" t="s">
        <v>2153</v>
      </c>
      <c r="N82" t="s">
        <v>149</v>
      </c>
      <c r="O82" t="s">
        <v>2154</v>
      </c>
      <c r="P82" t="s">
        <v>2155</v>
      </c>
      <c r="Q82" t="s">
        <v>189</v>
      </c>
      <c r="R82" t="s">
        <v>2156</v>
      </c>
      <c r="S82" t="s">
        <v>2157</v>
      </c>
      <c r="T82" s="4" t="s">
        <v>2158</v>
      </c>
      <c r="U82" t="s">
        <v>2159</v>
      </c>
      <c r="V82" t="s">
        <v>2160</v>
      </c>
      <c r="W82" t="s">
        <v>113</v>
      </c>
      <c r="Y82" t="s">
        <v>158</v>
      </c>
      <c r="Z82" t="s">
        <v>262</v>
      </c>
      <c r="AC82" s="3" t="s">
        <v>2161</v>
      </c>
      <c r="AD82" t="s">
        <v>118</v>
      </c>
      <c r="AE82" t="s">
        <v>1220</v>
      </c>
      <c r="AH82" s="4" t="s">
        <v>2162</v>
      </c>
      <c r="AI82" t="s">
        <v>205</v>
      </c>
      <c r="AK82" t="s">
        <v>2163</v>
      </c>
      <c r="AL82" t="s">
        <v>2164</v>
      </c>
      <c r="AO82" t="s">
        <v>125</v>
      </c>
      <c r="AP82">
        <v>4.0</v>
      </c>
      <c r="AQ82" t="s">
        <v>1520</v>
      </c>
      <c r="AR82" t="s">
        <v>2165</v>
      </c>
      <c r="AS82" t="b">
        <v>0</v>
      </c>
      <c r="AV82">
        <v>6.0</v>
      </c>
      <c r="AW82" t="b">
        <v>0</v>
      </c>
      <c r="AZ82" t="b">
        <v>0</v>
      </c>
      <c r="BA82" t="b">
        <v>0</v>
      </c>
      <c r="BD82" t="s">
        <v>680</v>
      </c>
      <c r="BH82" t="s">
        <v>132</v>
      </c>
      <c r="BI82">
        <v>4.0</v>
      </c>
      <c r="BJ82" t="s">
        <v>2166</v>
      </c>
      <c r="BK82">
        <v>3.0</v>
      </c>
      <c r="BL82">
        <v>4.0</v>
      </c>
      <c r="BM82" t="s">
        <v>680</v>
      </c>
      <c r="BN82">
        <v>2.0</v>
      </c>
      <c r="BO82">
        <v>6.0</v>
      </c>
      <c r="BP82" t="s">
        <v>2167</v>
      </c>
      <c r="BQ82" t="s">
        <v>1931</v>
      </c>
      <c r="BR82" t="s">
        <v>2168</v>
      </c>
      <c r="BS82" t="s">
        <v>2169</v>
      </c>
      <c r="BU82" t="s">
        <v>2170</v>
      </c>
      <c r="BV82" s="3" t="s">
        <v>2171</v>
      </c>
      <c r="BW82" t="b">
        <v>1</v>
      </c>
      <c r="BX82" t="s">
        <v>1394</v>
      </c>
      <c r="BY82" t="s">
        <v>140</v>
      </c>
      <c r="CA82" t="s">
        <v>1395</v>
      </c>
      <c r="CD82">
        <v>0.0</v>
      </c>
      <c r="CF82" t="b">
        <v>1</v>
      </c>
      <c r="CG82" t="b">
        <v>1</v>
      </c>
      <c r="CH82" t="s">
        <v>305</v>
      </c>
      <c r="CJ82" t="b">
        <v>1</v>
      </c>
      <c r="CK82" t="b">
        <v>1</v>
      </c>
      <c r="CL82" t="s">
        <v>541</v>
      </c>
      <c r="CO82" t="s">
        <v>1635</v>
      </c>
      <c r="CR82" t="b">
        <v>1</v>
      </c>
      <c r="CT82">
        <v>0.0</v>
      </c>
      <c r="CU82">
        <v>0.0</v>
      </c>
      <c r="CX82" s="4" t="s">
        <v>392</v>
      </c>
      <c r="CZ82" s="5">
        <v>44237.68342592593</v>
      </c>
      <c r="DA82" t="s">
        <v>2172</v>
      </c>
    </row>
    <row r="83">
      <c r="A83" t="s">
        <v>98</v>
      </c>
      <c r="D83" t="s">
        <v>2173</v>
      </c>
      <c r="E83" t="s">
        <v>2174</v>
      </c>
      <c r="F83" s="2">
        <v>37921.0</v>
      </c>
      <c r="G83" t="s">
        <v>1466</v>
      </c>
      <c r="I83" s="3" t="s">
        <v>2175</v>
      </c>
      <c r="J83" t="s">
        <v>2176</v>
      </c>
      <c r="K83" t="b">
        <v>1</v>
      </c>
      <c r="L83" s="4" t="s">
        <v>2177</v>
      </c>
      <c r="M83" t="s">
        <v>2178</v>
      </c>
      <c r="N83" t="s">
        <v>149</v>
      </c>
      <c r="P83" t="s">
        <v>2179</v>
      </c>
      <c r="Q83" t="s">
        <v>152</v>
      </c>
      <c r="R83" t="s">
        <v>2180</v>
      </c>
      <c r="S83" t="s">
        <v>2178</v>
      </c>
      <c r="T83" s="4" t="s">
        <v>2181</v>
      </c>
      <c r="U83" t="s">
        <v>2182</v>
      </c>
      <c r="V83" t="s">
        <v>2183</v>
      </c>
      <c r="W83" t="s">
        <v>261</v>
      </c>
      <c r="Y83" t="s">
        <v>158</v>
      </c>
      <c r="Z83" t="s">
        <v>262</v>
      </c>
      <c r="AC83" s="3" t="s">
        <v>2184</v>
      </c>
      <c r="AD83" t="s">
        <v>118</v>
      </c>
      <c r="AE83" t="s">
        <v>729</v>
      </c>
      <c r="AF83" t="s">
        <v>2185</v>
      </c>
      <c r="AG83">
        <v>13.0</v>
      </c>
      <c r="AI83" t="s">
        <v>121</v>
      </c>
      <c r="AK83" t="s">
        <v>2186</v>
      </c>
      <c r="AL83" t="s">
        <v>2187</v>
      </c>
      <c r="AO83" t="s">
        <v>125</v>
      </c>
      <c r="AP83">
        <v>6.0</v>
      </c>
      <c r="AQ83" t="s">
        <v>303</v>
      </c>
      <c r="AR83" t="s">
        <v>2188</v>
      </c>
      <c r="AS83" t="b">
        <v>1</v>
      </c>
      <c r="AT83" t="b">
        <v>0</v>
      </c>
      <c r="AV83">
        <v>5.0</v>
      </c>
      <c r="AW83" t="b">
        <v>0</v>
      </c>
      <c r="AZ83" t="b">
        <v>0</v>
      </c>
      <c r="BA83" t="b">
        <v>1</v>
      </c>
      <c r="BB83" t="b">
        <v>0</v>
      </c>
      <c r="BC83" t="s">
        <v>2189</v>
      </c>
      <c r="BH83" t="s">
        <v>132</v>
      </c>
      <c r="BI83">
        <v>1.0</v>
      </c>
      <c r="BJ83" t="s">
        <v>2190</v>
      </c>
      <c r="BK83">
        <v>1.0</v>
      </c>
      <c r="BL83">
        <v>4.0</v>
      </c>
      <c r="BM83" t="s">
        <v>2191</v>
      </c>
      <c r="BN83">
        <v>3.0</v>
      </c>
      <c r="BO83">
        <v>3.0</v>
      </c>
      <c r="BP83" t="s">
        <v>2192</v>
      </c>
      <c r="BQ83" t="s">
        <v>2193</v>
      </c>
      <c r="BR83" t="s">
        <v>2194</v>
      </c>
      <c r="BS83" t="s">
        <v>2195</v>
      </c>
      <c r="BU83" t="s">
        <v>2196</v>
      </c>
      <c r="BV83" s="3" t="s">
        <v>2197</v>
      </c>
      <c r="BW83" t="b">
        <v>1</v>
      </c>
      <c r="BX83" t="s">
        <v>1394</v>
      </c>
      <c r="BY83" t="s">
        <v>140</v>
      </c>
      <c r="CA83" t="s">
        <v>1395</v>
      </c>
      <c r="CD83">
        <v>0.0</v>
      </c>
      <c r="CF83" t="b">
        <v>0</v>
      </c>
      <c r="CG83" t="b">
        <v>0</v>
      </c>
      <c r="CH83" t="s">
        <v>2198</v>
      </c>
      <c r="CJ83" t="b">
        <v>0</v>
      </c>
      <c r="CK83" t="b">
        <v>0</v>
      </c>
      <c r="CL83" t="s">
        <v>300</v>
      </c>
      <c r="CM83" t="s">
        <v>541</v>
      </c>
      <c r="CO83" t="s">
        <v>124</v>
      </c>
      <c r="CR83" t="b">
        <v>1</v>
      </c>
      <c r="CT83">
        <v>2.0</v>
      </c>
      <c r="CU83">
        <v>2.0</v>
      </c>
      <c r="CX83" s="4" t="s">
        <v>2199</v>
      </c>
      <c r="CZ83" s="5">
        <v>44238.084189814814</v>
      </c>
      <c r="DA83" t="s">
        <v>2200</v>
      </c>
    </row>
    <row r="84">
      <c r="A84" t="s">
        <v>98</v>
      </c>
      <c r="D84" t="s">
        <v>2201</v>
      </c>
      <c r="E84" t="s">
        <v>2202</v>
      </c>
      <c r="F84" s="2">
        <v>805465.0</v>
      </c>
      <c r="G84" t="s">
        <v>1491</v>
      </c>
      <c r="I84" s="3" t="s">
        <v>2203</v>
      </c>
      <c r="J84" t="s">
        <v>1468</v>
      </c>
      <c r="K84" t="b">
        <v>1</v>
      </c>
      <c r="L84" s="4" t="s">
        <v>2204</v>
      </c>
      <c r="M84" t="s">
        <v>2205</v>
      </c>
      <c r="N84" t="s">
        <v>255</v>
      </c>
      <c r="O84" t="s">
        <v>2206</v>
      </c>
      <c r="P84" t="s">
        <v>2206</v>
      </c>
      <c r="Q84" t="s">
        <v>189</v>
      </c>
      <c r="R84" t="s">
        <v>2207</v>
      </c>
      <c r="S84" t="s">
        <v>2208</v>
      </c>
      <c r="T84" s="4" t="s">
        <v>2209</v>
      </c>
      <c r="U84" t="s">
        <v>2210</v>
      </c>
      <c r="V84" t="s">
        <v>2211</v>
      </c>
      <c r="W84" t="s">
        <v>113</v>
      </c>
      <c r="Y84" t="s">
        <v>158</v>
      </c>
      <c r="Z84" t="s">
        <v>384</v>
      </c>
      <c r="AC84" s="3" t="s">
        <v>2212</v>
      </c>
      <c r="AD84" t="s">
        <v>1446</v>
      </c>
      <c r="AE84" t="s">
        <v>1780</v>
      </c>
      <c r="AI84" t="s">
        <v>121</v>
      </c>
      <c r="AK84" t="s">
        <v>2213</v>
      </c>
      <c r="AL84" t="s">
        <v>2211</v>
      </c>
      <c r="AO84" t="s">
        <v>486</v>
      </c>
      <c r="AP84">
        <v>3.0</v>
      </c>
      <c r="AQ84" t="s">
        <v>166</v>
      </c>
      <c r="AR84" t="s">
        <v>2214</v>
      </c>
      <c r="AS84" t="b">
        <v>1</v>
      </c>
      <c r="AT84" t="b">
        <v>0</v>
      </c>
      <c r="AV84">
        <v>4.0</v>
      </c>
      <c r="AW84" t="b">
        <v>0</v>
      </c>
      <c r="AZ84" t="b">
        <v>0</v>
      </c>
      <c r="BA84" t="b">
        <v>0</v>
      </c>
      <c r="BD84" t="s">
        <v>2215</v>
      </c>
      <c r="BH84" t="s">
        <v>132</v>
      </c>
      <c r="BI84">
        <v>3.0</v>
      </c>
      <c r="BJ84" t="s">
        <v>2216</v>
      </c>
      <c r="BK84">
        <v>4.0</v>
      </c>
      <c r="BL84">
        <v>3.0</v>
      </c>
      <c r="BM84" t="s">
        <v>2216</v>
      </c>
      <c r="BN84">
        <v>4.0</v>
      </c>
      <c r="BO84">
        <v>6.0</v>
      </c>
      <c r="BP84" t="s">
        <v>2217</v>
      </c>
      <c r="BQ84" t="s">
        <v>2218</v>
      </c>
      <c r="BR84" t="s">
        <v>2219</v>
      </c>
      <c r="BS84" t="s">
        <v>2220</v>
      </c>
      <c r="BU84" t="s">
        <v>2221</v>
      </c>
      <c r="BV84" s="3" t="s">
        <v>2222</v>
      </c>
      <c r="BW84" t="b">
        <v>1</v>
      </c>
      <c r="BX84" t="s">
        <v>1394</v>
      </c>
      <c r="BY84" t="s">
        <v>140</v>
      </c>
      <c r="CA84" t="s">
        <v>1395</v>
      </c>
      <c r="CD84">
        <v>0.0</v>
      </c>
      <c r="CF84" t="b">
        <v>1</v>
      </c>
      <c r="CG84" t="b">
        <v>1</v>
      </c>
      <c r="CH84" t="s">
        <v>2223</v>
      </c>
      <c r="CJ84" t="b">
        <v>1</v>
      </c>
      <c r="CK84" t="b">
        <v>1</v>
      </c>
      <c r="CL84" t="s">
        <v>810</v>
      </c>
      <c r="CO84" t="s">
        <v>2224</v>
      </c>
      <c r="CR84" t="b">
        <v>1</v>
      </c>
      <c r="CT84">
        <v>1.0</v>
      </c>
      <c r="CU84">
        <v>1.0</v>
      </c>
      <c r="CX84" t="s">
        <v>2225</v>
      </c>
      <c r="CZ84" s="5">
        <v>44239.123125</v>
      </c>
      <c r="DA84" t="s">
        <v>2226</v>
      </c>
    </row>
    <row r="85">
      <c r="A85" t="s">
        <v>98</v>
      </c>
      <c r="D85" t="s">
        <v>2227</v>
      </c>
      <c r="E85" t="s">
        <v>2228</v>
      </c>
      <c r="F85" s="2">
        <v>38462.0</v>
      </c>
      <c r="G85" t="s">
        <v>1562</v>
      </c>
      <c r="I85" s="3" t="s">
        <v>2229</v>
      </c>
      <c r="J85" t="s">
        <v>1468</v>
      </c>
      <c r="K85" t="b">
        <v>1</v>
      </c>
      <c r="L85" s="4" t="s">
        <v>2230</v>
      </c>
      <c r="M85" t="s">
        <v>2231</v>
      </c>
      <c r="N85" t="s">
        <v>149</v>
      </c>
      <c r="P85" t="s">
        <v>2232</v>
      </c>
      <c r="Q85" t="s">
        <v>189</v>
      </c>
      <c r="R85" t="s">
        <v>1441</v>
      </c>
      <c r="S85" t="s">
        <v>2233</v>
      </c>
      <c r="T85" s="4" t="s">
        <v>2209</v>
      </c>
      <c r="U85" t="s">
        <v>2234</v>
      </c>
      <c r="V85" t="s">
        <v>2235</v>
      </c>
      <c r="W85" t="s">
        <v>113</v>
      </c>
      <c r="Y85" t="s">
        <v>158</v>
      </c>
      <c r="Z85" t="s">
        <v>195</v>
      </c>
      <c r="AC85" s="3" t="s">
        <v>2236</v>
      </c>
      <c r="AD85" t="s">
        <v>118</v>
      </c>
      <c r="AE85" t="s">
        <v>781</v>
      </c>
      <c r="AH85" t="s">
        <v>2237</v>
      </c>
      <c r="AI85" t="s">
        <v>386</v>
      </c>
      <c r="AK85" t="s">
        <v>2238</v>
      </c>
      <c r="AL85" t="s">
        <v>2239</v>
      </c>
      <c r="AO85" t="s">
        <v>335</v>
      </c>
      <c r="AP85">
        <v>3.0</v>
      </c>
      <c r="AQ85" t="s">
        <v>2240</v>
      </c>
      <c r="AR85" t="s">
        <v>2241</v>
      </c>
      <c r="AS85" t="b">
        <v>0</v>
      </c>
      <c r="AV85">
        <v>3.0</v>
      </c>
      <c r="AW85" t="b">
        <v>0</v>
      </c>
      <c r="AZ85" t="b">
        <v>0</v>
      </c>
      <c r="BA85" t="b">
        <v>0</v>
      </c>
      <c r="BD85" t="s">
        <v>2242</v>
      </c>
      <c r="BH85" t="s">
        <v>132</v>
      </c>
      <c r="BI85">
        <v>3.0</v>
      </c>
      <c r="BJ85" t="s">
        <v>2243</v>
      </c>
      <c r="BK85">
        <v>2.0</v>
      </c>
      <c r="BL85">
        <v>3.0</v>
      </c>
      <c r="BM85" t="s">
        <v>2202</v>
      </c>
      <c r="BN85">
        <v>2.0</v>
      </c>
      <c r="BO85">
        <v>3.0</v>
      </c>
      <c r="BP85" t="s">
        <v>2244</v>
      </c>
      <c r="BQ85" t="s">
        <v>916</v>
      </c>
      <c r="BR85" t="s">
        <v>2244</v>
      </c>
      <c r="BS85" t="s">
        <v>2244</v>
      </c>
      <c r="BU85" t="s">
        <v>2244</v>
      </c>
      <c r="BV85" s="3" t="s">
        <v>2245</v>
      </c>
      <c r="BW85" t="b">
        <v>1</v>
      </c>
      <c r="BX85" t="s">
        <v>1394</v>
      </c>
      <c r="BY85" t="s">
        <v>140</v>
      </c>
      <c r="CA85" t="s">
        <v>1395</v>
      </c>
      <c r="CD85">
        <v>0.0</v>
      </c>
      <c r="CF85" t="b">
        <v>0</v>
      </c>
      <c r="CG85" t="b">
        <v>0</v>
      </c>
      <c r="CH85" t="s">
        <v>2246</v>
      </c>
      <c r="CJ85" t="b">
        <v>0</v>
      </c>
      <c r="CK85" t="b">
        <v>0</v>
      </c>
      <c r="CL85" t="s">
        <v>810</v>
      </c>
      <c r="CO85" t="s">
        <v>2247</v>
      </c>
      <c r="CR85" t="b">
        <v>1</v>
      </c>
      <c r="CT85">
        <v>1.0</v>
      </c>
      <c r="CU85">
        <v>1.0</v>
      </c>
      <c r="CX85" t="s">
        <v>2248</v>
      </c>
      <c r="CZ85" s="5">
        <v>44239.12945601852</v>
      </c>
      <c r="DA85" t="s">
        <v>2249</v>
      </c>
    </row>
    <row r="86">
      <c r="A86" t="s">
        <v>98</v>
      </c>
      <c r="D86" t="s">
        <v>2250</v>
      </c>
      <c r="E86" t="s">
        <v>2251</v>
      </c>
      <c r="F86" s="2">
        <v>38045.0</v>
      </c>
      <c r="G86" t="s">
        <v>1466</v>
      </c>
      <c r="I86" s="3" t="s">
        <v>2252</v>
      </c>
      <c r="J86" t="s">
        <v>2253</v>
      </c>
      <c r="K86" t="b">
        <v>1</v>
      </c>
      <c r="L86" s="4" t="s">
        <v>2254</v>
      </c>
      <c r="M86" t="s">
        <v>2255</v>
      </c>
      <c r="N86" t="s">
        <v>255</v>
      </c>
      <c r="O86" s="3" t="s">
        <v>2256</v>
      </c>
      <c r="P86" t="s">
        <v>2257</v>
      </c>
      <c r="Q86" t="s">
        <v>189</v>
      </c>
      <c r="R86" t="s">
        <v>2258</v>
      </c>
      <c r="S86" t="s">
        <v>2255</v>
      </c>
      <c r="T86" s="4" t="s">
        <v>2259</v>
      </c>
      <c r="U86" t="s">
        <v>1674</v>
      </c>
      <c r="V86" t="s">
        <v>2260</v>
      </c>
      <c r="W86" t="s">
        <v>113</v>
      </c>
      <c r="Y86" t="s">
        <v>158</v>
      </c>
      <c r="Z86" t="s">
        <v>262</v>
      </c>
      <c r="AC86" s="3" t="s">
        <v>2261</v>
      </c>
      <c r="AD86" t="s">
        <v>118</v>
      </c>
      <c r="AE86" t="s">
        <v>729</v>
      </c>
      <c r="AF86" t="s">
        <v>197</v>
      </c>
      <c r="AG86">
        <v>14.0</v>
      </c>
      <c r="AI86" t="s">
        <v>162</v>
      </c>
      <c r="AK86" t="s">
        <v>2262</v>
      </c>
      <c r="AL86" t="s">
        <v>2263</v>
      </c>
      <c r="AO86" t="s">
        <v>125</v>
      </c>
      <c r="AP86">
        <v>5.0</v>
      </c>
      <c r="AQ86" t="s">
        <v>2240</v>
      </c>
      <c r="AR86" t="s">
        <v>2264</v>
      </c>
      <c r="AS86" t="b">
        <v>1</v>
      </c>
      <c r="AT86" t="b">
        <v>0</v>
      </c>
      <c r="AV86">
        <v>5.0</v>
      </c>
      <c r="AW86" t="b">
        <v>0</v>
      </c>
      <c r="AZ86" t="b">
        <v>0</v>
      </c>
      <c r="BA86" t="b">
        <v>0</v>
      </c>
      <c r="BD86" t="s">
        <v>2265</v>
      </c>
      <c r="BH86" t="s">
        <v>132</v>
      </c>
      <c r="BI86">
        <v>2.0</v>
      </c>
      <c r="BJ86" t="s">
        <v>2266</v>
      </c>
      <c r="BK86">
        <v>5.0</v>
      </c>
      <c r="BL86">
        <v>3.0</v>
      </c>
      <c r="BM86" t="s">
        <v>2267</v>
      </c>
      <c r="BN86">
        <v>3.0</v>
      </c>
      <c r="BO86">
        <v>4.0</v>
      </c>
      <c r="BP86" t="s">
        <v>2268</v>
      </c>
      <c r="BQ86" t="s">
        <v>2269</v>
      </c>
      <c r="BR86" t="s">
        <v>2270</v>
      </c>
      <c r="BS86" t="s">
        <v>2271</v>
      </c>
      <c r="BU86" t="s">
        <v>2272</v>
      </c>
      <c r="BV86" s="3" t="s">
        <v>2273</v>
      </c>
      <c r="BW86" t="b">
        <v>1</v>
      </c>
      <c r="BX86" t="s">
        <v>1394</v>
      </c>
      <c r="BY86" t="s">
        <v>140</v>
      </c>
      <c r="CA86" t="s">
        <v>1395</v>
      </c>
      <c r="CD86">
        <v>0.0</v>
      </c>
      <c r="CF86" t="b">
        <v>1</v>
      </c>
      <c r="CG86" t="b">
        <v>1</v>
      </c>
      <c r="CH86" t="s">
        <v>2274</v>
      </c>
      <c r="CJ86" t="b">
        <v>0</v>
      </c>
      <c r="CK86" t="b">
        <v>1</v>
      </c>
      <c r="CL86" t="s">
        <v>541</v>
      </c>
      <c r="CM86" t="s">
        <v>541</v>
      </c>
      <c r="CO86" t="s">
        <v>2275</v>
      </c>
      <c r="CQ86" t="s">
        <v>541</v>
      </c>
      <c r="CR86" t="b">
        <v>1</v>
      </c>
      <c r="CT86">
        <v>0.0</v>
      </c>
      <c r="CU86">
        <v>0.0</v>
      </c>
      <c r="CX86" s="4" t="s">
        <v>2276</v>
      </c>
      <c r="CZ86" s="5">
        <v>44240.088055555556</v>
      </c>
      <c r="DA86" t="s">
        <v>2277</v>
      </c>
    </row>
    <row r="87">
      <c r="A87" t="s">
        <v>98</v>
      </c>
      <c r="D87" t="s">
        <v>2278</v>
      </c>
      <c r="E87" t="s">
        <v>2279</v>
      </c>
      <c r="F87" s="2">
        <v>37207.0</v>
      </c>
      <c r="G87" t="s">
        <v>1360</v>
      </c>
      <c r="I87" s="3" t="s">
        <v>2280</v>
      </c>
      <c r="J87" t="s">
        <v>2281</v>
      </c>
      <c r="K87" t="b">
        <v>1</v>
      </c>
      <c r="L87" s="4" t="s">
        <v>2282</v>
      </c>
      <c r="M87" t="s">
        <v>2283</v>
      </c>
      <c r="N87" t="s">
        <v>255</v>
      </c>
      <c r="O87" t="s">
        <v>1014</v>
      </c>
      <c r="P87" t="s">
        <v>2284</v>
      </c>
      <c r="Q87" t="s">
        <v>189</v>
      </c>
      <c r="R87" t="s">
        <v>2285</v>
      </c>
      <c r="S87" t="s">
        <v>2286</v>
      </c>
      <c r="T87" s="4" t="s">
        <v>2287</v>
      </c>
      <c r="U87" t="s">
        <v>2288</v>
      </c>
      <c r="V87" t="s">
        <v>2289</v>
      </c>
      <c r="W87" t="s">
        <v>2290</v>
      </c>
      <c r="Y87" t="s">
        <v>158</v>
      </c>
      <c r="Z87" t="s">
        <v>159</v>
      </c>
      <c r="AC87" s="3" t="s">
        <v>2291</v>
      </c>
      <c r="AD87" t="s">
        <v>118</v>
      </c>
      <c r="AE87" t="s">
        <v>729</v>
      </c>
      <c r="AF87" t="s">
        <v>2292</v>
      </c>
      <c r="AG87">
        <v>16.0</v>
      </c>
      <c r="AI87" t="s">
        <v>162</v>
      </c>
      <c r="AK87" t="s">
        <v>179</v>
      </c>
      <c r="AL87" t="s">
        <v>967</v>
      </c>
      <c r="AO87" t="s">
        <v>125</v>
      </c>
      <c r="AP87">
        <v>6.0</v>
      </c>
      <c r="AQ87" t="s">
        <v>126</v>
      </c>
      <c r="AR87" t="s">
        <v>1877</v>
      </c>
      <c r="AS87" t="b">
        <v>1</v>
      </c>
      <c r="AT87" t="b">
        <v>1</v>
      </c>
      <c r="AV87">
        <v>5.0</v>
      </c>
      <c r="AW87" t="b">
        <v>0</v>
      </c>
      <c r="AZ87" t="b">
        <v>1</v>
      </c>
      <c r="BA87" t="b">
        <v>1</v>
      </c>
      <c r="BB87" t="b">
        <v>0</v>
      </c>
      <c r="BC87" t="s">
        <v>2293</v>
      </c>
      <c r="BH87" t="s">
        <v>132</v>
      </c>
      <c r="BI87">
        <v>6.0</v>
      </c>
      <c r="BJ87" t="s">
        <v>2294</v>
      </c>
      <c r="BK87">
        <v>6.0</v>
      </c>
      <c r="BL87">
        <v>7.0</v>
      </c>
      <c r="BM87" t="s">
        <v>2295</v>
      </c>
      <c r="BN87">
        <v>7.0</v>
      </c>
      <c r="BO87">
        <v>5.0</v>
      </c>
      <c r="BP87" t="s">
        <v>2296</v>
      </c>
      <c r="BQ87" t="s">
        <v>1050</v>
      </c>
      <c r="BR87" t="s">
        <v>2297</v>
      </c>
      <c r="BS87" t="s">
        <v>2298</v>
      </c>
      <c r="BU87" t="s">
        <v>179</v>
      </c>
      <c r="BV87" s="3" t="s">
        <v>2299</v>
      </c>
      <c r="BW87" t="b">
        <v>1</v>
      </c>
      <c r="BX87" t="s">
        <v>1394</v>
      </c>
      <c r="BY87" t="s">
        <v>140</v>
      </c>
      <c r="CA87" t="s">
        <v>1395</v>
      </c>
      <c r="CD87">
        <v>0.0</v>
      </c>
      <c r="CF87" t="b">
        <v>1</v>
      </c>
      <c r="CG87" t="b">
        <v>1</v>
      </c>
      <c r="CH87" s="4" t="s">
        <v>2300</v>
      </c>
      <c r="CJ87" t="b">
        <v>1</v>
      </c>
      <c r="CK87" t="b">
        <v>1</v>
      </c>
      <c r="CL87" t="s">
        <v>2301</v>
      </c>
      <c r="CM87" t="s">
        <v>2301</v>
      </c>
      <c r="CO87" t="s">
        <v>1248</v>
      </c>
      <c r="CQ87" t="s">
        <v>2301</v>
      </c>
      <c r="CR87" t="b">
        <v>1</v>
      </c>
      <c r="CT87">
        <v>3.0</v>
      </c>
      <c r="CU87">
        <v>1.0</v>
      </c>
      <c r="CX87" s="4" t="s">
        <v>1148</v>
      </c>
      <c r="CZ87" s="5">
        <v>44242.717777777776</v>
      </c>
      <c r="DA87" t="s">
        <v>2302</v>
      </c>
    </row>
    <row r="88">
      <c r="A88" t="s">
        <v>98</v>
      </c>
      <c r="D88" t="s">
        <v>2303</v>
      </c>
      <c r="E88" t="s">
        <v>2304</v>
      </c>
      <c r="F88" s="2">
        <v>37900.0</v>
      </c>
      <c r="G88" t="s">
        <v>1360</v>
      </c>
      <c r="I88" s="3" t="s">
        <v>2305</v>
      </c>
      <c r="J88" t="s">
        <v>2306</v>
      </c>
      <c r="K88" t="b">
        <v>1</v>
      </c>
      <c r="L88" s="4" t="s">
        <v>2307</v>
      </c>
      <c r="M88" t="s">
        <v>2308</v>
      </c>
      <c r="N88" t="s">
        <v>354</v>
      </c>
      <c r="O88" t="s">
        <v>2309</v>
      </c>
      <c r="P88" t="s">
        <v>2310</v>
      </c>
      <c r="Q88" t="s">
        <v>292</v>
      </c>
      <c r="R88" t="s">
        <v>2311</v>
      </c>
      <c r="S88" t="s">
        <v>2308</v>
      </c>
      <c r="T88" s="4" t="s">
        <v>2312</v>
      </c>
      <c r="U88" t="s">
        <v>2313</v>
      </c>
      <c r="V88" t="s">
        <v>2314</v>
      </c>
      <c r="W88" t="s">
        <v>261</v>
      </c>
      <c r="Y88" t="s">
        <v>158</v>
      </c>
      <c r="Z88" t="s">
        <v>262</v>
      </c>
      <c r="AC88" s="3" t="s">
        <v>2315</v>
      </c>
      <c r="AD88" t="s">
        <v>118</v>
      </c>
      <c r="AE88" t="s">
        <v>729</v>
      </c>
      <c r="AF88" t="s">
        <v>459</v>
      </c>
      <c r="AG88">
        <v>13.0</v>
      </c>
      <c r="AI88" t="s">
        <v>543</v>
      </c>
      <c r="AK88" t="s">
        <v>139</v>
      </c>
      <c r="AL88" t="s">
        <v>2316</v>
      </c>
      <c r="AO88" t="s">
        <v>335</v>
      </c>
      <c r="AP88">
        <v>4.0</v>
      </c>
      <c r="AQ88" t="s">
        <v>1520</v>
      </c>
      <c r="AR88" t="s">
        <v>2317</v>
      </c>
      <c r="AS88" t="b">
        <v>1</v>
      </c>
      <c r="AT88" t="b">
        <v>0</v>
      </c>
      <c r="AV88">
        <v>4.0</v>
      </c>
      <c r="AW88" t="b">
        <v>0</v>
      </c>
      <c r="AZ88" t="b">
        <v>0</v>
      </c>
      <c r="BA88" t="b">
        <v>0</v>
      </c>
      <c r="BD88" t="s">
        <v>2318</v>
      </c>
      <c r="BH88" t="s">
        <v>132</v>
      </c>
      <c r="BI88">
        <v>1.0</v>
      </c>
      <c r="BJ88" t="s">
        <v>679</v>
      </c>
      <c r="BK88">
        <v>4.0</v>
      </c>
      <c r="BL88">
        <v>7.0</v>
      </c>
      <c r="BM88" t="s">
        <v>164</v>
      </c>
      <c r="BN88">
        <v>1.0</v>
      </c>
      <c r="BO88">
        <v>3.0</v>
      </c>
      <c r="BP88" t="s">
        <v>2319</v>
      </c>
      <c r="BQ88" t="s">
        <v>1050</v>
      </c>
      <c r="BR88" t="s">
        <v>2320</v>
      </c>
      <c r="BS88" t="s">
        <v>2321</v>
      </c>
      <c r="BU88" t="s">
        <v>2322</v>
      </c>
      <c r="BV88" s="3" t="s">
        <v>2323</v>
      </c>
      <c r="BW88" t="b">
        <v>1</v>
      </c>
      <c r="BX88" t="s">
        <v>1394</v>
      </c>
      <c r="BY88" t="s">
        <v>140</v>
      </c>
      <c r="CA88" t="s">
        <v>1395</v>
      </c>
      <c r="CD88">
        <v>0.0</v>
      </c>
      <c r="CF88" t="b">
        <v>1</v>
      </c>
      <c r="CG88" t="b">
        <v>1</v>
      </c>
      <c r="CH88" t="s">
        <v>168</v>
      </c>
      <c r="CJ88" t="b">
        <v>1</v>
      </c>
      <c r="CK88" t="b">
        <v>1</v>
      </c>
      <c r="CL88" t="s">
        <v>413</v>
      </c>
      <c r="CN88" t="s">
        <v>2324</v>
      </c>
      <c r="CO88" t="s">
        <v>2325</v>
      </c>
      <c r="CR88" t="b">
        <v>1</v>
      </c>
      <c r="CT88">
        <v>1.0</v>
      </c>
      <c r="CU88">
        <v>1.0</v>
      </c>
      <c r="CX88" t="s">
        <v>679</v>
      </c>
      <c r="CZ88" s="5">
        <v>44243.211875</v>
      </c>
      <c r="DA88" t="s">
        <v>2326</v>
      </c>
    </row>
    <row r="89">
      <c r="A89" t="s">
        <v>98</v>
      </c>
      <c r="D89" t="s">
        <v>2327</v>
      </c>
      <c r="E89" t="s">
        <v>2328</v>
      </c>
      <c r="F89" s="2">
        <v>37090.0</v>
      </c>
      <c r="G89" t="s">
        <v>1466</v>
      </c>
      <c r="I89" s="3" t="s">
        <v>2329</v>
      </c>
      <c r="J89" t="s">
        <v>2330</v>
      </c>
      <c r="K89" t="b">
        <v>0</v>
      </c>
      <c r="M89" t="s">
        <v>2331</v>
      </c>
      <c r="N89" t="s">
        <v>354</v>
      </c>
      <c r="O89" t="s">
        <v>2332</v>
      </c>
      <c r="P89" t="s">
        <v>2333</v>
      </c>
      <c r="Q89" t="s">
        <v>189</v>
      </c>
      <c r="R89" t="s">
        <v>2334</v>
      </c>
      <c r="S89" t="s">
        <v>2335</v>
      </c>
      <c r="T89" s="4" t="s">
        <v>2336</v>
      </c>
      <c r="U89" t="s">
        <v>2313</v>
      </c>
      <c r="V89" t="s">
        <v>2337</v>
      </c>
      <c r="W89" t="s">
        <v>2290</v>
      </c>
      <c r="Y89" t="s">
        <v>158</v>
      </c>
      <c r="Z89" t="s">
        <v>159</v>
      </c>
      <c r="AC89" s="3" t="s">
        <v>2338</v>
      </c>
      <c r="AD89" t="s">
        <v>118</v>
      </c>
      <c r="AE89" t="s">
        <v>729</v>
      </c>
      <c r="AF89" t="s">
        <v>459</v>
      </c>
      <c r="AG89">
        <v>15.0</v>
      </c>
      <c r="AI89" t="s">
        <v>543</v>
      </c>
      <c r="AK89" t="s">
        <v>2339</v>
      </c>
      <c r="AL89" t="s">
        <v>460</v>
      </c>
      <c r="AO89" t="s">
        <v>335</v>
      </c>
      <c r="AP89">
        <v>6.0</v>
      </c>
      <c r="AQ89" t="s">
        <v>1520</v>
      </c>
      <c r="AR89" t="s">
        <v>2340</v>
      </c>
      <c r="AS89" t="b">
        <v>1</v>
      </c>
      <c r="AT89" t="b">
        <v>1</v>
      </c>
      <c r="AV89">
        <v>5.0</v>
      </c>
      <c r="AW89" t="b">
        <v>1</v>
      </c>
      <c r="AX89" t="s">
        <v>1902</v>
      </c>
      <c r="AY89" s="4" t="s">
        <v>170</v>
      </c>
      <c r="AZ89" t="b">
        <v>1</v>
      </c>
      <c r="BA89" t="b">
        <v>1</v>
      </c>
      <c r="BB89" t="b">
        <v>0</v>
      </c>
      <c r="BC89" t="s">
        <v>2341</v>
      </c>
      <c r="BH89" t="s">
        <v>132</v>
      </c>
      <c r="BI89">
        <v>4.0</v>
      </c>
      <c r="BJ89" t="s">
        <v>2342</v>
      </c>
      <c r="BK89">
        <v>4.0</v>
      </c>
      <c r="BL89">
        <v>1.0</v>
      </c>
      <c r="BM89" t="s">
        <v>164</v>
      </c>
      <c r="BN89">
        <v>3.0</v>
      </c>
      <c r="BO89">
        <v>4.0</v>
      </c>
      <c r="BP89" t="s">
        <v>2343</v>
      </c>
      <c r="BQ89" t="s">
        <v>626</v>
      </c>
      <c r="BR89" t="s">
        <v>2344</v>
      </c>
      <c r="BS89" t="s">
        <v>2345</v>
      </c>
      <c r="BU89" t="s">
        <v>2346</v>
      </c>
      <c r="BV89" s="3" t="s">
        <v>2347</v>
      </c>
      <c r="BW89" t="b">
        <v>1</v>
      </c>
      <c r="BX89" t="s">
        <v>1394</v>
      </c>
      <c r="BY89" t="s">
        <v>140</v>
      </c>
      <c r="CA89" t="s">
        <v>1395</v>
      </c>
      <c r="CD89">
        <v>0.0</v>
      </c>
      <c r="CF89" t="b">
        <v>0</v>
      </c>
      <c r="CG89" t="b">
        <v>0</v>
      </c>
      <c r="CH89" t="s">
        <v>168</v>
      </c>
      <c r="CJ89" t="b">
        <v>0</v>
      </c>
      <c r="CK89" t="b">
        <v>1</v>
      </c>
      <c r="CL89" t="s">
        <v>413</v>
      </c>
      <c r="CM89" t="s">
        <v>413</v>
      </c>
      <c r="CN89" t="s">
        <v>459</v>
      </c>
      <c r="CO89" t="s">
        <v>200</v>
      </c>
      <c r="CQ89" t="s">
        <v>413</v>
      </c>
      <c r="CR89" t="b">
        <v>1</v>
      </c>
      <c r="CT89">
        <v>3.0</v>
      </c>
      <c r="CU89">
        <v>2.0</v>
      </c>
      <c r="CX89" s="4" t="s">
        <v>419</v>
      </c>
      <c r="CZ89" s="5">
        <v>44243.678981481484</v>
      </c>
      <c r="DA89" t="s">
        <v>2348</v>
      </c>
    </row>
    <row r="90">
      <c r="A90" t="s">
        <v>98</v>
      </c>
      <c r="D90" t="s">
        <v>2349</v>
      </c>
      <c r="E90" t="s">
        <v>2350</v>
      </c>
      <c r="F90" s="2">
        <v>37812.0</v>
      </c>
      <c r="G90" t="s">
        <v>1360</v>
      </c>
      <c r="I90" s="3" t="s">
        <v>2351</v>
      </c>
      <c r="J90" t="s">
        <v>2352</v>
      </c>
      <c r="K90" t="b">
        <v>1</v>
      </c>
      <c r="L90" s="4" t="s">
        <v>2353</v>
      </c>
      <c r="M90" t="s">
        <v>2354</v>
      </c>
      <c r="N90" t="s">
        <v>255</v>
      </c>
      <c r="P90" t="s">
        <v>2355</v>
      </c>
      <c r="Q90" t="s">
        <v>292</v>
      </c>
      <c r="R90" t="s">
        <v>2356</v>
      </c>
      <c r="S90" t="s">
        <v>2354</v>
      </c>
      <c r="T90" s="4" t="s">
        <v>2357</v>
      </c>
      <c r="U90" t="s">
        <v>2313</v>
      </c>
      <c r="V90" t="s">
        <v>2358</v>
      </c>
      <c r="W90" t="s">
        <v>2290</v>
      </c>
      <c r="Y90" t="s">
        <v>158</v>
      </c>
      <c r="Z90" t="s">
        <v>262</v>
      </c>
      <c r="AC90" s="3" t="s">
        <v>2359</v>
      </c>
      <c r="AD90" t="s">
        <v>118</v>
      </c>
      <c r="AE90" t="s">
        <v>729</v>
      </c>
      <c r="AF90" t="s">
        <v>459</v>
      </c>
      <c r="AG90">
        <v>16.0</v>
      </c>
      <c r="AI90" t="s">
        <v>386</v>
      </c>
      <c r="AL90" t="s">
        <v>1429</v>
      </c>
      <c r="AO90" t="s">
        <v>1479</v>
      </c>
      <c r="AP90">
        <v>3.0</v>
      </c>
      <c r="AQ90" t="s">
        <v>2240</v>
      </c>
      <c r="AR90" t="s">
        <v>2360</v>
      </c>
      <c r="AS90" t="b">
        <v>1</v>
      </c>
      <c r="AT90" t="b">
        <v>0</v>
      </c>
      <c r="AV90">
        <v>5.0</v>
      </c>
      <c r="AW90" t="b">
        <v>1</v>
      </c>
      <c r="AX90" t="s">
        <v>1902</v>
      </c>
      <c r="AY90" s="4" t="s">
        <v>518</v>
      </c>
      <c r="AZ90" t="b">
        <v>0</v>
      </c>
      <c r="BA90" t="b">
        <v>1</v>
      </c>
      <c r="BB90" t="b">
        <v>0</v>
      </c>
      <c r="BC90" t="s">
        <v>2361</v>
      </c>
      <c r="BH90" t="s">
        <v>132</v>
      </c>
      <c r="BI90">
        <v>3.0</v>
      </c>
      <c r="BJ90" t="s">
        <v>2362</v>
      </c>
      <c r="BK90">
        <v>4.0</v>
      </c>
      <c r="BL90">
        <v>3.0</v>
      </c>
      <c r="BM90" t="s">
        <v>2363</v>
      </c>
      <c r="BN90">
        <v>3.0</v>
      </c>
      <c r="BO90">
        <v>3.0</v>
      </c>
      <c r="BP90" t="s">
        <v>2364</v>
      </c>
      <c r="BQ90" t="s">
        <v>1050</v>
      </c>
      <c r="BR90" t="s">
        <v>2365</v>
      </c>
      <c r="BS90" t="s">
        <v>2366</v>
      </c>
      <c r="BU90" t="s">
        <v>2367</v>
      </c>
      <c r="BV90" s="3" t="s">
        <v>2368</v>
      </c>
      <c r="BW90" t="b">
        <v>1</v>
      </c>
      <c r="BX90" t="s">
        <v>1394</v>
      </c>
      <c r="BY90" t="s">
        <v>140</v>
      </c>
      <c r="CA90" t="s">
        <v>1395</v>
      </c>
      <c r="CD90">
        <v>0.0</v>
      </c>
      <c r="CF90" t="b">
        <v>1</v>
      </c>
      <c r="CG90" t="b">
        <v>1</v>
      </c>
      <c r="CH90" t="s">
        <v>128</v>
      </c>
      <c r="CJ90" t="b">
        <v>1</v>
      </c>
      <c r="CK90" t="b">
        <v>1</v>
      </c>
      <c r="CL90" t="s">
        <v>362</v>
      </c>
      <c r="CO90" t="s">
        <v>388</v>
      </c>
      <c r="CR90" t="b">
        <v>1</v>
      </c>
      <c r="CT90">
        <v>0.0</v>
      </c>
      <c r="CU90">
        <v>0.0</v>
      </c>
      <c r="CX90" s="4" t="s">
        <v>941</v>
      </c>
      <c r="CZ90" s="5">
        <v>44243.71104166667</v>
      </c>
      <c r="DA90" t="s">
        <v>2369</v>
      </c>
    </row>
    <row r="91">
      <c r="A91" t="s">
        <v>98</v>
      </c>
      <c r="D91" t="s">
        <v>2370</v>
      </c>
      <c r="E91" t="s">
        <v>2371</v>
      </c>
      <c r="F91" s="2">
        <v>38241.0</v>
      </c>
      <c r="G91" t="s">
        <v>1466</v>
      </c>
      <c r="I91" s="3" t="s">
        <v>2372</v>
      </c>
      <c r="J91" t="s">
        <v>2373</v>
      </c>
      <c r="K91" t="b">
        <v>1</v>
      </c>
      <c r="L91" s="4" t="s">
        <v>2374</v>
      </c>
      <c r="M91" t="s">
        <v>2375</v>
      </c>
      <c r="N91" t="s">
        <v>105</v>
      </c>
      <c r="O91" t="s">
        <v>2376</v>
      </c>
      <c r="P91" t="s">
        <v>2377</v>
      </c>
      <c r="Q91" t="s">
        <v>189</v>
      </c>
      <c r="R91" t="s">
        <v>2378</v>
      </c>
      <c r="S91" t="s">
        <v>2375</v>
      </c>
      <c r="T91" s="4" t="s">
        <v>2379</v>
      </c>
      <c r="U91" t="s">
        <v>2380</v>
      </c>
      <c r="V91" t="s">
        <v>2381</v>
      </c>
      <c r="W91" t="s">
        <v>261</v>
      </c>
      <c r="Y91" t="s">
        <v>158</v>
      </c>
      <c r="Z91" t="s">
        <v>262</v>
      </c>
      <c r="AC91" s="3" t="s">
        <v>2382</v>
      </c>
      <c r="AD91" t="s">
        <v>118</v>
      </c>
      <c r="AE91" t="s">
        <v>781</v>
      </c>
      <c r="AH91" t="s">
        <v>2383</v>
      </c>
      <c r="AI91" t="s">
        <v>121</v>
      </c>
      <c r="AK91" t="s">
        <v>2384</v>
      </c>
      <c r="AL91" t="s">
        <v>621</v>
      </c>
      <c r="AO91" t="s">
        <v>125</v>
      </c>
      <c r="AP91">
        <v>5.0</v>
      </c>
      <c r="AQ91" t="s">
        <v>2240</v>
      </c>
      <c r="AR91" t="s">
        <v>2385</v>
      </c>
      <c r="AS91" t="b">
        <v>1</v>
      </c>
      <c r="AT91" t="b">
        <v>0</v>
      </c>
      <c r="AV91">
        <v>7.0</v>
      </c>
      <c r="AW91" t="b">
        <v>1</v>
      </c>
      <c r="AX91" t="s">
        <v>1450</v>
      </c>
      <c r="AY91" t="s">
        <v>1045</v>
      </c>
      <c r="AZ91" t="b">
        <v>0</v>
      </c>
      <c r="BA91" t="b">
        <v>0</v>
      </c>
      <c r="BD91" t="s">
        <v>2386</v>
      </c>
      <c r="BH91" t="s">
        <v>132</v>
      </c>
      <c r="BI91">
        <v>5.0</v>
      </c>
      <c r="BJ91" t="s">
        <v>2387</v>
      </c>
      <c r="BK91">
        <v>6.0</v>
      </c>
      <c r="BL91">
        <v>6.0</v>
      </c>
      <c r="BM91" t="s">
        <v>2388</v>
      </c>
      <c r="BN91">
        <v>4.0</v>
      </c>
      <c r="BO91">
        <v>5.0</v>
      </c>
      <c r="BP91" t="s">
        <v>2389</v>
      </c>
      <c r="BQ91" t="s">
        <v>2390</v>
      </c>
      <c r="BR91" t="s">
        <v>2391</v>
      </c>
      <c r="BS91" t="s">
        <v>2392</v>
      </c>
      <c r="BU91" t="s">
        <v>2393</v>
      </c>
      <c r="BV91" s="3" t="s">
        <v>2394</v>
      </c>
      <c r="BW91" t="b">
        <v>1</v>
      </c>
      <c r="BX91" t="s">
        <v>1394</v>
      </c>
      <c r="BY91" t="s">
        <v>140</v>
      </c>
      <c r="CA91" t="s">
        <v>1395</v>
      </c>
      <c r="CD91">
        <v>0.0</v>
      </c>
      <c r="CF91" t="b">
        <v>1</v>
      </c>
      <c r="CG91" t="b">
        <v>0</v>
      </c>
      <c r="CH91" t="s">
        <v>128</v>
      </c>
      <c r="CJ91" t="b">
        <v>0</v>
      </c>
      <c r="CK91" t="b">
        <v>0</v>
      </c>
      <c r="CL91" t="s">
        <v>541</v>
      </c>
      <c r="CM91" t="s">
        <v>541</v>
      </c>
      <c r="CO91" t="s">
        <v>200</v>
      </c>
      <c r="CQ91" t="s">
        <v>541</v>
      </c>
      <c r="CR91" t="b">
        <v>1</v>
      </c>
      <c r="CT91">
        <v>0.0</v>
      </c>
      <c r="CU91">
        <v>0.0</v>
      </c>
      <c r="CX91" s="4" t="s">
        <v>2395</v>
      </c>
      <c r="CZ91" s="5">
        <v>44243.75777777778</v>
      </c>
      <c r="DA91" t="s">
        <v>2396</v>
      </c>
    </row>
    <row r="92">
      <c r="A92" t="s">
        <v>98</v>
      </c>
      <c r="D92" t="s">
        <v>2397</v>
      </c>
      <c r="E92" t="s">
        <v>2398</v>
      </c>
      <c r="F92" s="2">
        <v>37908.0</v>
      </c>
      <c r="G92" t="s">
        <v>1360</v>
      </c>
      <c r="I92" s="3" t="s">
        <v>2399</v>
      </c>
      <c r="J92" t="s">
        <v>2400</v>
      </c>
      <c r="K92" t="b">
        <v>1</v>
      </c>
      <c r="L92" s="4" t="s">
        <v>2401</v>
      </c>
      <c r="M92" t="s">
        <v>2402</v>
      </c>
      <c r="N92" t="s">
        <v>149</v>
      </c>
      <c r="O92" t="s">
        <v>2403</v>
      </c>
      <c r="P92" t="s">
        <v>2404</v>
      </c>
      <c r="Q92" t="s">
        <v>189</v>
      </c>
      <c r="R92" t="s">
        <v>2405</v>
      </c>
      <c r="S92" t="s">
        <v>2402</v>
      </c>
      <c r="T92" s="4" t="s">
        <v>2406</v>
      </c>
      <c r="U92" t="s">
        <v>2313</v>
      </c>
      <c r="V92" t="s">
        <v>2407</v>
      </c>
      <c r="W92" t="s">
        <v>2290</v>
      </c>
      <c r="Y92" t="s">
        <v>158</v>
      </c>
      <c r="Z92" t="s">
        <v>262</v>
      </c>
      <c r="AC92" s="3" t="s">
        <v>2408</v>
      </c>
      <c r="AD92" t="s">
        <v>118</v>
      </c>
      <c r="AE92" t="s">
        <v>1220</v>
      </c>
      <c r="AH92" t="s">
        <v>2409</v>
      </c>
      <c r="AI92" t="s">
        <v>121</v>
      </c>
      <c r="AK92" t="s">
        <v>2410</v>
      </c>
      <c r="AL92" t="s">
        <v>460</v>
      </c>
      <c r="AO92" t="s">
        <v>335</v>
      </c>
      <c r="AP92">
        <v>4.0</v>
      </c>
      <c r="AQ92" t="s">
        <v>2240</v>
      </c>
      <c r="AR92" t="s">
        <v>2411</v>
      </c>
      <c r="AS92" t="b">
        <v>1</v>
      </c>
      <c r="AT92" t="b">
        <v>1</v>
      </c>
      <c r="AV92">
        <v>6.0</v>
      </c>
      <c r="AW92" t="b">
        <v>1</v>
      </c>
      <c r="AX92" t="s">
        <v>1902</v>
      </c>
      <c r="AY92" s="4" t="s">
        <v>518</v>
      </c>
      <c r="AZ92" t="b">
        <v>0</v>
      </c>
      <c r="BA92" t="b">
        <v>0</v>
      </c>
      <c r="BD92" t="s">
        <v>2412</v>
      </c>
      <c r="BH92" t="s">
        <v>132</v>
      </c>
      <c r="BI92">
        <v>2.0</v>
      </c>
      <c r="BJ92" t="s">
        <v>2413</v>
      </c>
      <c r="BK92">
        <v>1.0</v>
      </c>
      <c r="BL92">
        <v>3.0</v>
      </c>
      <c r="BM92" t="s">
        <v>2414</v>
      </c>
      <c r="BN92">
        <v>3.0</v>
      </c>
      <c r="BO92">
        <v>3.0</v>
      </c>
      <c r="BP92" t="s">
        <v>2415</v>
      </c>
      <c r="BQ92" t="s">
        <v>2416</v>
      </c>
      <c r="BR92" t="s">
        <v>2417</v>
      </c>
      <c r="BS92" t="s">
        <v>2418</v>
      </c>
      <c r="BU92" t="s">
        <v>179</v>
      </c>
      <c r="BV92" s="3" t="s">
        <v>2419</v>
      </c>
      <c r="BW92" t="b">
        <v>1</v>
      </c>
      <c r="BX92" t="s">
        <v>1394</v>
      </c>
      <c r="BY92" t="s">
        <v>140</v>
      </c>
      <c r="CA92" t="s">
        <v>1395</v>
      </c>
      <c r="CD92">
        <v>0.0</v>
      </c>
      <c r="CF92" t="b">
        <v>1</v>
      </c>
      <c r="CG92" t="b">
        <v>0</v>
      </c>
      <c r="CH92" t="s">
        <v>1935</v>
      </c>
      <c r="CJ92" t="b">
        <v>1</v>
      </c>
      <c r="CK92" t="b">
        <v>0</v>
      </c>
      <c r="CL92" t="s">
        <v>362</v>
      </c>
      <c r="CO92" t="s">
        <v>1688</v>
      </c>
      <c r="CR92" t="b">
        <v>1</v>
      </c>
      <c r="CT92">
        <v>0.0</v>
      </c>
      <c r="CU92">
        <v>0.0</v>
      </c>
      <c r="CX92" s="4" t="s">
        <v>2420</v>
      </c>
      <c r="CZ92" s="5">
        <v>44244.071076388886</v>
      </c>
      <c r="DA92" t="s">
        <v>2421</v>
      </c>
    </row>
    <row r="93">
      <c r="A93" t="s">
        <v>98</v>
      </c>
      <c r="D93" t="s">
        <v>2422</v>
      </c>
      <c r="E93" t="s">
        <v>2423</v>
      </c>
      <c r="F93" s="2">
        <v>38387.0</v>
      </c>
      <c r="G93" t="s">
        <v>1466</v>
      </c>
      <c r="I93" s="3" t="s">
        <v>2424</v>
      </c>
      <c r="J93" t="s">
        <v>2425</v>
      </c>
      <c r="K93" t="b">
        <v>1</v>
      </c>
      <c r="L93" s="4" t="s">
        <v>2426</v>
      </c>
      <c r="M93" t="s">
        <v>2427</v>
      </c>
      <c r="N93" t="s">
        <v>255</v>
      </c>
      <c r="P93" t="s">
        <v>2428</v>
      </c>
      <c r="Q93" t="s">
        <v>189</v>
      </c>
      <c r="R93" t="s">
        <v>2429</v>
      </c>
      <c r="S93" t="s">
        <v>2430</v>
      </c>
      <c r="T93" s="4" t="s">
        <v>2431</v>
      </c>
      <c r="U93" t="s">
        <v>2432</v>
      </c>
      <c r="V93" t="s">
        <v>2381</v>
      </c>
      <c r="W93" t="s">
        <v>2290</v>
      </c>
      <c r="Y93" t="s">
        <v>158</v>
      </c>
      <c r="Z93" t="s">
        <v>195</v>
      </c>
      <c r="AC93" s="3" t="s">
        <v>2433</v>
      </c>
      <c r="AD93" t="s">
        <v>118</v>
      </c>
      <c r="AE93" t="s">
        <v>729</v>
      </c>
      <c r="AF93" t="s">
        <v>540</v>
      </c>
      <c r="AG93">
        <v>9.0</v>
      </c>
      <c r="AI93" t="s">
        <v>162</v>
      </c>
      <c r="AK93" t="s">
        <v>2434</v>
      </c>
      <c r="AL93" t="s">
        <v>2435</v>
      </c>
      <c r="AO93" t="s">
        <v>125</v>
      </c>
      <c r="AP93">
        <v>5.0</v>
      </c>
      <c r="AQ93" t="s">
        <v>461</v>
      </c>
      <c r="AR93" t="s">
        <v>2436</v>
      </c>
      <c r="AS93" t="b">
        <v>1</v>
      </c>
      <c r="AT93" t="b">
        <v>0</v>
      </c>
      <c r="AV93">
        <v>4.0</v>
      </c>
      <c r="AW93" t="b">
        <v>0</v>
      </c>
      <c r="AZ93" t="b">
        <v>1</v>
      </c>
      <c r="BA93" t="b">
        <v>1</v>
      </c>
      <c r="BB93" t="b">
        <v>1</v>
      </c>
      <c r="BC93" t="s">
        <v>2437</v>
      </c>
      <c r="BH93" t="s">
        <v>132</v>
      </c>
      <c r="BI93">
        <v>4.0</v>
      </c>
      <c r="BJ93" t="s">
        <v>2438</v>
      </c>
      <c r="BK93">
        <v>4.0</v>
      </c>
      <c r="BL93">
        <v>5.0</v>
      </c>
      <c r="BM93" t="s">
        <v>2439</v>
      </c>
      <c r="BN93">
        <v>5.0</v>
      </c>
      <c r="BO93">
        <v>6.0</v>
      </c>
      <c r="BP93" t="s">
        <v>2440</v>
      </c>
      <c r="BQ93" t="s">
        <v>2441</v>
      </c>
      <c r="BR93" t="s">
        <v>2442</v>
      </c>
      <c r="BS93" t="s">
        <v>2443</v>
      </c>
      <c r="BU93" t="s">
        <v>2444</v>
      </c>
      <c r="BV93" s="3" t="s">
        <v>2445</v>
      </c>
      <c r="BW93" t="b">
        <v>1</v>
      </c>
      <c r="BX93" t="s">
        <v>1394</v>
      </c>
      <c r="BY93" t="s">
        <v>140</v>
      </c>
      <c r="CA93" t="s">
        <v>1395</v>
      </c>
      <c r="CD93">
        <v>0.0</v>
      </c>
      <c r="CF93" t="b">
        <v>1</v>
      </c>
      <c r="CG93" t="b">
        <v>1</v>
      </c>
      <c r="CH93" t="s">
        <v>2446</v>
      </c>
      <c r="CJ93" t="b">
        <v>1</v>
      </c>
      <c r="CK93" t="b">
        <v>1</v>
      </c>
      <c r="CL93" t="s">
        <v>198</v>
      </c>
      <c r="CO93" t="s">
        <v>200</v>
      </c>
      <c r="CR93" t="b">
        <v>1</v>
      </c>
      <c r="CT93">
        <v>0.0</v>
      </c>
      <c r="CU93">
        <v>0.0</v>
      </c>
      <c r="CX93" s="4" t="s">
        <v>2447</v>
      </c>
      <c r="CZ93" s="5">
        <v>44244.71672453704</v>
      </c>
      <c r="DA93" t="s">
        <v>2448</v>
      </c>
    </row>
    <row r="94">
      <c r="A94" t="s">
        <v>98</v>
      </c>
      <c r="D94" t="s">
        <v>2449</v>
      </c>
      <c r="E94" t="s">
        <v>2450</v>
      </c>
      <c r="F94" s="2">
        <v>38122.0</v>
      </c>
      <c r="G94" t="s">
        <v>1360</v>
      </c>
      <c r="I94" s="3" t="s">
        <v>2451</v>
      </c>
      <c r="J94" t="s">
        <v>2452</v>
      </c>
      <c r="K94" t="b">
        <v>1</v>
      </c>
      <c r="L94" s="4" t="s">
        <v>2453</v>
      </c>
      <c r="M94" t="s">
        <v>2454</v>
      </c>
      <c r="N94" t="s">
        <v>105</v>
      </c>
      <c r="P94" t="s">
        <v>2455</v>
      </c>
      <c r="Q94" t="s">
        <v>189</v>
      </c>
      <c r="R94" t="s">
        <v>2456</v>
      </c>
      <c r="S94" t="s">
        <v>2454</v>
      </c>
      <c r="T94" s="4" t="s">
        <v>2457</v>
      </c>
      <c r="U94" t="s">
        <v>2380</v>
      </c>
      <c r="V94" t="s">
        <v>2458</v>
      </c>
      <c r="W94" t="s">
        <v>2290</v>
      </c>
      <c r="Y94" t="s">
        <v>158</v>
      </c>
      <c r="Z94" t="s">
        <v>262</v>
      </c>
      <c r="AC94" s="3" t="s">
        <v>2459</v>
      </c>
      <c r="AD94" t="s">
        <v>118</v>
      </c>
      <c r="AE94" t="s">
        <v>1220</v>
      </c>
      <c r="AH94" t="s">
        <v>2460</v>
      </c>
      <c r="AI94" t="s">
        <v>121</v>
      </c>
      <c r="AK94" t="s">
        <v>2461</v>
      </c>
      <c r="AL94" t="s">
        <v>621</v>
      </c>
      <c r="AO94" t="s">
        <v>486</v>
      </c>
      <c r="AP94">
        <v>4.0</v>
      </c>
      <c r="AQ94" t="s">
        <v>2462</v>
      </c>
      <c r="AR94" t="s">
        <v>2463</v>
      </c>
      <c r="AS94" t="b">
        <v>1</v>
      </c>
      <c r="AT94" t="b">
        <v>0</v>
      </c>
      <c r="AV94">
        <v>6.0</v>
      </c>
      <c r="AW94" t="b">
        <v>1</v>
      </c>
      <c r="AX94" t="s">
        <v>1902</v>
      </c>
      <c r="AY94" t="s">
        <v>2464</v>
      </c>
      <c r="AZ94" t="b">
        <v>0</v>
      </c>
      <c r="BA94" t="b">
        <v>1</v>
      </c>
      <c r="BB94" t="b">
        <v>0</v>
      </c>
      <c r="BC94" t="s">
        <v>2465</v>
      </c>
      <c r="BH94" t="s">
        <v>132</v>
      </c>
      <c r="BI94">
        <v>3.0</v>
      </c>
      <c r="BJ94" t="s">
        <v>2466</v>
      </c>
      <c r="BK94">
        <v>3.0</v>
      </c>
      <c r="BL94">
        <v>3.0</v>
      </c>
      <c r="BM94" t="s">
        <v>2467</v>
      </c>
      <c r="BN94">
        <v>1.0</v>
      </c>
      <c r="BO94">
        <v>3.0</v>
      </c>
      <c r="BP94" t="s">
        <v>2468</v>
      </c>
      <c r="BQ94" t="s">
        <v>2469</v>
      </c>
      <c r="BR94" t="s">
        <v>2470</v>
      </c>
      <c r="BS94" t="s">
        <v>2471</v>
      </c>
      <c r="BU94" t="s">
        <v>2472</v>
      </c>
      <c r="BV94" s="3" t="s">
        <v>2473</v>
      </c>
      <c r="BW94" t="b">
        <v>1</v>
      </c>
      <c r="BX94" t="s">
        <v>1394</v>
      </c>
      <c r="BY94" t="s">
        <v>140</v>
      </c>
      <c r="CA94" t="s">
        <v>1395</v>
      </c>
      <c r="CD94">
        <v>0.0</v>
      </c>
      <c r="CF94" t="b">
        <v>0</v>
      </c>
      <c r="CG94" t="b">
        <v>1</v>
      </c>
      <c r="CH94" t="s">
        <v>2474</v>
      </c>
      <c r="CJ94" t="b">
        <v>1</v>
      </c>
      <c r="CK94" t="b">
        <v>0</v>
      </c>
      <c r="CL94" t="s">
        <v>541</v>
      </c>
      <c r="CO94" t="s">
        <v>200</v>
      </c>
      <c r="CR94" t="b">
        <v>1</v>
      </c>
      <c r="CT94">
        <v>0.0</v>
      </c>
      <c r="CU94">
        <v>0.0</v>
      </c>
      <c r="CX94" t="s">
        <v>709</v>
      </c>
      <c r="CZ94" s="5">
        <v>44244.722662037035</v>
      </c>
      <c r="DA94" t="s">
        <v>2475</v>
      </c>
    </row>
    <row r="95">
      <c r="A95" t="s">
        <v>98</v>
      </c>
      <c r="D95" t="s">
        <v>2476</v>
      </c>
      <c r="E95" t="s">
        <v>2477</v>
      </c>
      <c r="F95" s="2">
        <v>37994.0</v>
      </c>
      <c r="G95" t="s">
        <v>1466</v>
      </c>
      <c r="I95" s="3" t="s">
        <v>2478</v>
      </c>
      <c r="J95" t="s">
        <v>2479</v>
      </c>
      <c r="K95" t="b">
        <v>1</v>
      </c>
      <c r="L95" s="4" t="s">
        <v>2480</v>
      </c>
      <c r="M95" t="s">
        <v>2481</v>
      </c>
      <c r="N95" t="s">
        <v>255</v>
      </c>
      <c r="O95" t="s">
        <v>2482</v>
      </c>
      <c r="P95" t="s">
        <v>2483</v>
      </c>
      <c r="Q95" t="s">
        <v>189</v>
      </c>
      <c r="R95" t="s">
        <v>2484</v>
      </c>
      <c r="S95" t="s">
        <v>2485</v>
      </c>
      <c r="T95" s="4" t="s">
        <v>2486</v>
      </c>
      <c r="U95" t="s">
        <v>2380</v>
      </c>
      <c r="V95" t="s">
        <v>2381</v>
      </c>
      <c r="W95" t="s">
        <v>261</v>
      </c>
      <c r="Y95" t="s">
        <v>158</v>
      </c>
      <c r="Z95" t="s">
        <v>262</v>
      </c>
      <c r="AC95" s="3" t="s">
        <v>2487</v>
      </c>
      <c r="AD95" t="s">
        <v>118</v>
      </c>
      <c r="AE95" t="s">
        <v>1220</v>
      </c>
      <c r="AH95" t="s">
        <v>2488</v>
      </c>
      <c r="AI95" t="s">
        <v>121</v>
      </c>
      <c r="AK95" t="s">
        <v>2489</v>
      </c>
      <c r="AL95" t="s">
        <v>2490</v>
      </c>
      <c r="AO95" t="s">
        <v>125</v>
      </c>
      <c r="AP95">
        <v>7.0</v>
      </c>
      <c r="AQ95" t="s">
        <v>126</v>
      </c>
      <c r="AR95" t="s">
        <v>2491</v>
      </c>
      <c r="AS95" t="b">
        <v>1</v>
      </c>
      <c r="AT95" t="b">
        <v>1</v>
      </c>
      <c r="AV95">
        <v>7.0</v>
      </c>
      <c r="AW95" t="b">
        <v>0</v>
      </c>
      <c r="AZ95" t="b">
        <v>0</v>
      </c>
      <c r="BA95" t="b">
        <v>0</v>
      </c>
      <c r="BD95" t="s">
        <v>2492</v>
      </c>
      <c r="BH95" t="s">
        <v>132</v>
      </c>
      <c r="BI95">
        <v>3.0</v>
      </c>
      <c r="BJ95" t="s">
        <v>2493</v>
      </c>
      <c r="BK95">
        <v>5.0</v>
      </c>
      <c r="BL95">
        <v>5.0</v>
      </c>
      <c r="BM95" t="s">
        <v>2494</v>
      </c>
      <c r="BN95">
        <v>3.0</v>
      </c>
      <c r="BO95">
        <v>5.0</v>
      </c>
      <c r="BP95" t="s">
        <v>2495</v>
      </c>
      <c r="BQ95" t="s">
        <v>2496</v>
      </c>
      <c r="BR95" t="s">
        <v>2497</v>
      </c>
      <c r="BS95" t="s">
        <v>2498</v>
      </c>
      <c r="BU95" t="s">
        <v>139</v>
      </c>
      <c r="BV95" s="3" t="s">
        <v>2499</v>
      </c>
      <c r="BW95" t="b">
        <v>1</v>
      </c>
      <c r="BX95" t="s">
        <v>1394</v>
      </c>
      <c r="BY95" t="s">
        <v>140</v>
      </c>
      <c r="CA95" t="s">
        <v>1395</v>
      </c>
      <c r="CD95">
        <v>0.0</v>
      </c>
      <c r="CF95" t="b">
        <v>1</v>
      </c>
      <c r="CG95" t="b">
        <v>0</v>
      </c>
      <c r="CH95" t="s">
        <v>1935</v>
      </c>
      <c r="CJ95" t="b">
        <v>1</v>
      </c>
      <c r="CK95" t="b">
        <v>0</v>
      </c>
      <c r="CL95" t="s">
        <v>198</v>
      </c>
      <c r="CM95" t="s">
        <v>198</v>
      </c>
      <c r="CO95" t="s">
        <v>2500</v>
      </c>
      <c r="CQ95" t="s">
        <v>198</v>
      </c>
      <c r="CR95" t="b">
        <v>1</v>
      </c>
      <c r="CT95">
        <v>6.0</v>
      </c>
      <c r="CU95">
        <v>0.0</v>
      </c>
      <c r="CX95" s="4" t="s">
        <v>2501</v>
      </c>
      <c r="CZ95" s="5">
        <v>44244.73351851852</v>
      </c>
      <c r="DA95" t="s">
        <v>2502</v>
      </c>
    </row>
    <row r="96">
      <c r="A96" t="s">
        <v>98</v>
      </c>
      <c r="D96" t="s">
        <v>2503</v>
      </c>
      <c r="E96" t="s">
        <v>2504</v>
      </c>
      <c r="F96" s="2">
        <v>38061.0</v>
      </c>
      <c r="G96" t="s">
        <v>1466</v>
      </c>
      <c r="I96" s="3" t="s">
        <v>2505</v>
      </c>
      <c r="J96" t="s">
        <v>2506</v>
      </c>
      <c r="K96" t="b">
        <v>1</v>
      </c>
      <c r="L96" s="4" t="s">
        <v>2507</v>
      </c>
      <c r="M96" t="s">
        <v>2508</v>
      </c>
      <c r="N96" t="s">
        <v>149</v>
      </c>
      <c r="O96" t="s">
        <v>2509</v>
      </c>
      <c r="P96" t="s">
        <v>2510</v>
      </c>
      <c r="Q96" t="s">
        <v>189</v>
      </c>
      <c r="R96" t="s">
        <v>2511</v>
      </c>
      <c r="S96" t="s">
        <v>2512</v>
      </c>
      <c r="T96" s="4" t="s">
        <v>2513</v>
      </c>
      <c r="U96" t="s">
        <v>2313</v>
      </c>
      <c r="V96" t="s">
        <v>2514</v>
      </c>
      <c r="W96" t="s">
        <v>2290</v>
      </c>
      <c r="Y96" t="s">
        <v>158</v>
      </c>
      <c r="Z96" t="s">
        <v>262</v>
      </c>
      <c r="AC96" s="3" t="s">
        <v>2515</v>
      </c>
      <c r="AD96" t="s">
        <v>118</v>
      </c>
      <c r="AE96" t="s">
        <v>729</v>
      </c>
      <c r="AF96" t="s">
        <v>459</v>
      </c>
      <c r="AG96">
        <v>12.0</v>
      </c>
      <c r="AI96" t="s">
        <v>205</v>
      </c>
      <c r="AK96" t="s">
        <v>2516</v>
      </c>
      <c r="AL96" t="s">
        <v>460</v>
      </c>
      <c r="AO96" t="s">
        <v>125</v>
      </c>
      <c r="AP96">
        <v>4.0</v>
      </c>
      <c r="AQ96" t="s">
        <v>2240</v>
      </c>
      <c r="AR96" t="s">
        <v>2517</v>
      </c>
      <c r="AS96" t="b">
        <v>1</v>
      </c>
      <c r="AT96" t="b">
        <v>0</v>
      </c>
      <c r="AV96">
        <v>7.0</v>
      </c>
      <c r="AW96" t="b">
        <v>1</v>
      </c>
      <c r="AX96" t="s">
        <v>1902</v>
      </c>
      <c r="AY96" s="4" t="s">
        <v>170</v>
      </c>
      <c r="AZ96" t="b">
        <v>1</v>
      </c>
      <c r="BA96" t="b">
        <v>1</v>
      </c>
      <c r="BB96" t="b">
        <v>0</v>
      </c>
      <c r="BC96" t="s">
        <v>2518</v>
      </c>
      <c r="BH96" t="s">
        <v>132</v>
      </c>
      <c r="BI96">
        <v>1.0</v>
      </c>
      <c r="BJ96" t="s">
        <v>2519</v>
      </c>
      <c r="BK96">
        <v>3.0</v>
      </c>
      <c r="BL96">
        <v>4.0</v>
      </c>
      <c r="BM96" t="s">
        <v>2520</v>
      </c>
      <c r="BN96">
        <v>3.0</v>
      </c>
      <c r="BO96">
        <v>1.0</v>
      </c>
      <c r="BP96" t="s">
        <v>2521</v>
      </c>
      <c r="BQ96" t="s">
        <v>945</v>
      </c>
      <c r="BR96" t="s">
        <v>2522</v>
      </c>
      <c r="BS96" t="s">
        <v>2523</v>
      </c>
      <c r="BU96" t="s">
        <v>2524</v>
      </c>
      <c r="BV96" s="3" t="s">
        <v>2525</v>
      </c>
      <c r="BW96" t="b">
        <v>1</v>
      </c>
      <c r="BX96" t="s">
        <v>1394</v>
      </c>
      <c r="BY96" t="s">
        <v>140</v>
      </c>
      <c r="CA96" t="s">
        <v>1395</v>
      </c>
      <c r="CD96">
        <v>0.0</v>
      </c>
      <c r="CF96" t="b">
        <v>1</v>
      </c>
      <c r="CG96" t="b">
        <v>0</v>
      </c>
      <c r="CH96" t="s">
        <v>2526</v>
      </c>
      <c r="CJ96" t="b">
        <v>0</v>
      </c>
      <c r="CK96" t="b">
        <v>1</v>
      </c>
      <c r="CL96" t="s">
        <v>413</v>
      </c>
      <c r="CO96" t="s">
        <v>1688</v>
      </c>
      <c r="CR96" t="b">
        <v>1</v>
      </c>
      <c r="CT96">
        <v>0.0</v>
      </c>
      <c r="CU96">
        <v>2.0</v>
      </c>
      <c r="CX96" s="4" t="s">
        <v>2527</v>
      </c>
      <c r="CZ96" s="5">
        <v>44244.75315972222</v>
      </c>
      <c r="DA96" t="s">
        <v>2528</v>
      </c>
    </row>
    <row r="97">
      <c r="A97" t="s">
        <v>98</v>
      </c>
      <c r="D97" t="s">
        <v>2529</v>
      </c>
      <c r="E97" t="s">
        <v>2530</v>
      </c>
      <c r="F97" s="2">
        <v>38174.0</v>
      </c>
      <c r="G97" t="s">
        <v>1360</v>
      </c>
      <c r="I97" s="3" t="s">
        <v>2531</v>
      </c>
      <c r="J97" t="s">
        <v>2532</v>
      </c>
      <c r="K97" t="b">
        <v>1</v>
      </c>
      <c r="L97" s="4" t="s">
        <v>2533</v>
      </c>
      <c r="M97" t="s">
        <v>2534</v>
      </c>
      <c r="N97" t="s">
        <v>255</v>
      </c>
      <c r="O97" t="s">
        <v>2535</v>
      </c>
      <c r="P97" t="s">
        <v>2536</v>
      </c>
      <c r="Q97" t="s">
        <v>108</v>
      </c>
      <c r="R97" t="s">
        <v>2537</v>
      </c>
      <c r="S97" t="s">
        <v>2534</v>
      </c>
      <c r="T97" s="4" t="s">
        <v>2538</v>
      </c>
      <c r="U97" t="s">
        <v>2313</v>
      </c>
      <c r="V97" t="s">
        <v>2539</v>
      </c>
      <c r="W97" t="s">
        <v>2290</v>
      </c>
      <c r="Y97" t="s">
        <v>158</v>
      </c>
      <c r="Z97" t="s">
        <v>262</v>
      </c>
      <c r="AC97" s="3" t="s">
        <v>2540</v>
      </c>
      <c r="AD97" t="s">
        <v>118</v>
      </c>
      <c r="AE97" t="s">
        <v>729</v>
      </c>
      <c r="AF97" t="s">
        <v>2541</v>
      </c>
      <c r="AG97">
        <v>13.0</v>
      </c>
      <c r="AI97" t="s">
        <v>162</v>
      </c>
      <c r="AK97" t="s">
        <v>2542</v>
      </c>
      <c r="AL97" t="s">
        <v>2543</v>
      </c>
      <c r="AO97" t="s">
        <v>125</v>
      </c>
      <c r="AP97">
        <v>7.0</v>
      </c>
      <c r="AQ97" t="s">
        <v>126</v>
      </c>
      <c r="AR97" t="s">
        <v>2544</v>
      </c>
      <c r="AS97" t="b">
        <v>1</v>
      </c>
      <c r="AT97" t="b">
        <v>1</v>
      </c>
      <c r="AV97">
        <v>5.0</v>
      </c>
      <c r="AW97" t="b">
        <v>1</v>
      </c>
      <c r="AX97" t="s">
        <v>1902</v>
      </c>
      <c r="AY97" s="4" t="s">
        <v>518</v>
      </c>
      <c r="AZ97" t="b">
        <v>0</v>
      </c>
      <c r="BA97" t="b">
        <v>0</v>
      </c>
      <c r="BD97" t="s">
        <v>2545</v>
      </c>
      <c r="BH97" t="s">
        <v>132</v>
      </c>
      <c r="BI97">
        <v>4.0</v>
      </c>
      <c r="BJ97" t="s">
        <v>2546</v>
      </c>
      <c r="BK97">
        <v>5.0</v>
      </c>
      <c r="BL97">
        <v>5.0</v>
      </c>
      <c r="BM97" t="s">
        <v>2547</v>
      </c>
      <c r="BN97">
        <v>1.0</v>
      </c>
      <c r="BO97">
        <v>3.0</v>
      </c>
      <c r="BP97" t="s">
        <v>2548</v>
      </c>
      <c r="BQ97" t="s">
        <v>1834</v>
      </c>
      <c r="BR97" t="s">
        <v>2549</v>
      </c>
      <c r="BS97" t="s">
        <v>2550</v>
      </c>
      <c r="BU97" t="s">
        <v>2551</v>
      </c>
      <c r="BV97" s="3" t="s">
        <v>2552</v>
      </c>
      <c r="BW97" t="b">
        <v>1</v>
      </c>
      <c r="BX97" t="s">
        <v>1394</v>
      </c>
      <c r="BY97" t="s">
        <v>140</v>
      </c>
      <c r="CA97" t="s">
        <v>1395</v>
      </c>
      <c r="CD97">
        <v>0.0</v>
      </c>
      <c r="CF97" t="b">
        <v>1</v>
      </c>
      <c r="CG97" t="b">
        <v>1</v>
      </c>
      <c r="CH97" t="s">
        <v>2553</v>
      </c>
      <c r="CJ97" t="b">
        <v>1</v>
      </c>
      <c r="CK97" t="b">
        <v>1</v>
      </c>
      <c r="CL97" t="s">
        <v>636</v>
      </c>
      <c r="CO97" t="s">
        <v>2554</v>
      </c>
      <c r="CR97" t="b">
        <v>1</v>
      </c>
      <c r="CT97">
        <v>1.0</v>
      </c>
      <c r="CU97">
        <v>3.0</v>
      </c>
      <c r="CX97" s="4" t="s">
        <v>2555</v>
      </c>
      <c r="CZ97" s="5">
        <v>44244.76708333333</v>
      </c>
      <c r="DA97" t="s">
        <v>2556</v>
      </c>
    </row>
    <row r="98">
      <c r="A98" t="s">
        <v>98</v>
      </c>
      <c r="D98" t="s">
        <v>2557</v>
      </c>
      <c r="E98" t="s">
        <v>2558</v>
      </c>
      <c r="F98" s="2">
        <v>38268.0</v>
      </c>
      <c r="G98" t="s">
        <v>1360</v>
      </c>
      <c r="I98" s="3" t="s">
        <v>2559</v>
      </c>
      <c r="J98" t="s">
        <v>2560</v>
      </c>
      <c r="K98" t="b">
        <v>1</v>
      </c>
      <c r="L98" s="4" t="s">
        <v>2561</v>
      </c>
      <c r="M98" t="s">
        <v>2562</v>
      </c>
      <c r="N98" t="s">
        <v>105</v>
      </c>
      <c r="P98" t="s">
        <v>2563</v>
      </c>
      <c r="Q98" t="s">
        <v>189</v>
      </c>
      <c r="R98" t="s">
        <v>2564</v>
      </c>
      <c r="S98" t="s">
        <v>2565</v>
      </c>
      <c r="T98" s="4" t="s">
        <v>2566</v>
      </c>
      <c r="U98" t="s">
        <v>2567</v>
      </c>
      <c r="V98" t="s">
        <v>2568</v>
      </c>
      <c r="W98" t="s">
        <v>1412</v>
      </c>
      <c r="Y98" t="s">
        <v>158</v>
      </c>
      <c r="Z98" t="s">
        <v>262</v>
      </c>
      <c r="AC98" s="3" t="s">
        <v>2569</v>
      </c>
      <c r="AD98" t="s">
        <v>118</v>
      </c>
      <c r="AE98" t="s">
        <v>1780</v>
      </c>
      <c r="AI98" t="s">
        <v>121</v>
      </c>
      <c r="AK98" t="s">
        <v>2570</v>
      </c>
      <c r="AL98" t="s">
        <v>2571</v>
      </c>
      <c r="AO98" t="s">
        <v>125</v>
      </c>
      <c r="AP98">
        <v>4.0</v>
      </c>
      <c r="AQ98" t="s">
        <v>126</v>
      </c>
      <c r="AR98" t="s">
        <v>2572</v>
      </c>
      <c r="AS98" t="b">
        <v>1</v>
      </c>
      <c r="AT98" t="b">
        <v>1</v>
      </c>
      <c r="AV98">
        <v>3.0</v>
      </c>
      <c r="AW98" t="b">
        <v>1</v>
      </c>
      <c r="AX98" s="4" t="s">
        <v>130</v>
      </c>
      <c r="AY98" t="s">
        <v>706</v>
      </c>
      <c r="AZ98" t="b">
        <v>0</v>
      </c>
      <c r="BA98" t="b">
        <v>0</v>
      </c>
      <c r="BD98" t="s">
        <v>2573</v>
      </c>
      <c r="BH98" t="s">
        <v>132</v>
      </c>
      <c r="BI98">
        <v>4.0</v>
      </c>
      <c r="BJ98" t="s">
        <v>2574</v>
      </c>
      <c r="BK98">
        <v>2.0</v>
      </c>
      <c r="BL98">
        <v>7.0</v>
      </c>
      <c r="BM98" t="s">
        <v>2575</v>
      </c>
      <c r="BN98">
        <v>1.0</v>
      </c>
      <c r="BO98">
        <v>7.0</v>
      </c>
      <c r="BP98" t="s">
        <v>2576</v>
      </c>
      <c r="BQ98" t="s">
        <v>2577</v>
      </c>
      <c r="BR98" t="s">
        <v>2578</v>
      </c>
      <c r="BS98" t="s">
        <v>2579</v>
      </c>
      <c r="BU98" t="s">
        <v>2580</v>
      </c>
      <c r="BV98" s="3" t="s">
        <v>2581</v>
      </c>
      <c r="BW98" t="b">
        <v>1</v>
      </c>
      <c r="BX98" t="s">
        <v>1394</v>
      </c>
      <c r="BY98" t="s">
        <v>140</v>
      </c>
      <c r="CA98" t="s">
        <v>1395</v>
      </c>
      <c r="CD98">
        <v>0.0</v>
      </c>
      <c r="CF98" t="b">
        <v>0</v>
      </c>
      <c r="CG98" t="b">
        <v>0</v>
      </c>
      <c r="CH98" t="s">
        <v>2582</v>
      </c>
      <c r="CJ98" t="b">
        <v>0</v>
      </c>
      <c r="CK98" t="b">
        <v>0</v>
      </c>
      <c r="CL98" t="s">
        <v>541</v>
      </c>
      <c r="CO98" t="s">
        <v>1248</v>
      </c>
      <c r="CR98" t="b">
        <v>1</v>
      </c>
      <c r="CT98">
        <v>0.0</v>
      </c>
      <c r="CU98">
        <v>0.0</v>
      </c>
      <c r="CX98" s="4" t="s">
        <v>2583</v>
      </c>
      <c r="CZ98" s="5">
        <v>44244.79601851852</v>
      </c>
      <c r="DA98" t="s">
        <v>2584</v>
      </c>
    </row>
    <row r="99">
      <c r="A99" t="s">
        <v>98</v>
      </c>
      <c r="D99" t="s">
        <v>2585</v>
      </c>
      <c r="E99" t="s">
        <v>2586</v>
      </c>
      <c r="F99" s="2">
        <v>37756.0</v>
      </c>
      <c r="G99" t="s">
        <v>1360</v>
      </c>
      <c r="I99" s="3" t="s">
        <v>2587</v>
      </c>
      <c r="J99" t="s">
        <v>2588</v>
      </c>
      <c r="K99" t="b">
        <v>0</v>
      </c>
      <c r="M99" t="s">
        <v>2589</v>
      </c>
      <c r="N99" t="s">
        <v>255</v>
      </c>
      <c r="P99" t="s">
        <v>2590</v>
      </c>
      <c r="Q99" t="s">
        <v>152</v>
      </c>
      <c r="R99" t="s">
        <v>2591</v>
      </c>
      <c r="S99" t="s">
        <v>2589</v>
      </c>
      <c r="T99" s="4" t="s">
        <v>2592</v>
      </c>
      <c r="U99" t="s">
        <v>2593</v>
      </c>
      <c r="V99" t="s">
        <v>2594</v>
      </c>
      <c r="W99" t="s">
        <v>1412</v>
      </c>
      <c r="Y99" t="s">
        <v>158</v>
      </c>
      <c r="Z99" t="s">
        <v>159</v>
      </c>
      <c r="AC99" s="3" t="s">
        <v>2595</v>
      </c>
      <c r="AD99" t="s">
        <v>118</v>
      </c>
      <c r="AE99" t="s">
        <v>729</v>
      </c>
      <c r="AF99" t="s">
        <v>161</v>
      </c>
      <c r="AG99">
        <v>13.0</v>
      </c>
      <c r="AI99" t="s">
        <v>121</v>
      </c>
      <c r="AL99" t="s">
        <v>165</v>
      </c>
      <c r="AO99" t="s">
        <v>335</v>
      </c>
      <c r="AP99">
        <v>5.0</v>
      </c>
      <c r="AQ99" t="s">
        <v>126</v>
      </c>
      <c r="AR99" t="s">
        <v>2596</v>
      </c>
      <c r="AS99" t="b">
        <v>1</v>
      </c>
      <c r="AT99" t="b">
        <v>1</v>
      </c>
      <c r="AV99">
        <v>1.0</v>
      </c>
      <c r="AW99" t="b">
        <v>1</v>
      </c>
      <c r="AX99" t="s">
        <v>1481</v>
      </c>
      <c r="AY99" t="s">
        <v>2597</v>
      </c>
      <c r="AZ99" t="b">
        <v>1</v>
      </c>
      <c r="BA99" t="b">
        <v>1</v>
      </c>
      <c r="BB99" t="b">
        <v>0</v>
      </c>
      <c r="BC99" t="s">
        <v>2598</v>
      </c>
      <c r="BH99" t="s">
        <v>132</v>
      </c>
      <c r="BI99">
        <v>7.0</v>
      </c>
      <c r="BJ99" t="s">
        <v>2599</v>
      </c>
      <c r="BK99">
        <v>4.0</v>
      </c>
      <c r="BL99">
        <v>7.0</v>
      </c>
      <c r="BM99" t="s">
        <v>2600</v>
      </c>
      <c r="BN99">
        <v>4.0</v>
      </c>
      <c r="BO99">
        <v>3.0</v>
      </c>
      <c r="BP99" t="s">
        <v>2601</v>
      </c>
      <c r="BQ99" t="s">
        <v>2602</v>
      </c>
      <c r="BR99" t="s">
        <v>2603</v>
      </c>
      <c r="BS99" t="s">
        <v>2604</v>
      </c>
      <c r="BU99" t="s">
        <v>2605</v>
      </c>
      <c r="BV99" s="3" t="s">
        <v>2606</v>
      </c>
      <c r="BW99" t="b">
        <v>1</v>
      </c>
      <c r="BX99" t="s">
        <v>1394</v>
      </c>
      <c r="BY99" t="s">
        <v>140</v>
      </c>
      <c r="CA99" t="s">
        <v>1395</v>
      </c>
      <c r="CD99">
        <v>0.0</v>
      </c>
      <c r="CF99" t="b">
        <v>1</v>
      </c>
      <c r="CG99" t="b">
        <v>1</v>
      </c>
      <c r="CH99" t="s">
        <v>2607</v>
      </c>
      <c r="CJ99" t="b">
        <v>1</v>
      </c>
      <c r="CK99" t="b">
        <v>0</v>
      </c>
      <c r="CL99" t="s">
        <v>163</v>
      </c>
      <c r="CO99" t="s">
        <v>124</v>
      </c>
      <c r="CR99" t="b">
        <v>1</v>
      </c>
      <c r="CT99">
        <v>1.0</v>
      </c>
      <c r="CU99">
        <v>0.0</v>
      </c>
      <c r="CX99" s="4" t="s">
        <v>2608</v>
      </c>
      <c r="CZ99" s="5">
        <v>44244.92765046296</v>
      </c>
      <c r="DA99" t="s">
        <v>2609</v>
      </c>
    </row>
    <row r="100">
      <c r="A100" t="s">
        <v>98</v>
      </c>
      <c r="D100" t="s">
        <v>2610</v>
      </c>
      <c r="E100" t="s">
        <v>2611</v>
      </c>
      <c r="F100" s="2">
        <v>37752.0</v>
      </c>
      <c r="G100" t="s">
        <v>1360</v>
      </c>
      <c r="I100" s="3" t="s">
        <v>2612</v>
      </c>
      <c r="J100" t="s">
        <v>2613</v>
      </c>
      <c r="K100" t="b">
        <v>1</v>
      </c>
      <c r="L100" s="4" t="s">
        <v>2614</v>
      </c>
      <c r="M100" t="s">
        <v>2615</v>
      </c>
      <c r="N100" t="s">
        <v>105</v>
      </c>
      <c r="O100" t="s">
        <v>2616</v>
      </c>
      <c r="P100" t="s">
        <v>2617</v>
      </c>
      <c r="Q100" t="s">
        <v>189</v>
      </c>
      <c r="R100" t="s">
        <v>2618</v>
      </c>
      <c r="S100" t="s">
        <v>2615</v>
      </c>
      <c r="T100" s="4" t="s">
        <v>2619</v>
      </c>
      <c r="U100" t="s">
        <v>2620</v>
      </c>
      <c r="V100" t="s">
        <v>2621</v>
      </c>
      <c r="W100" t="s">
        <v>1412</v>
      </c>
      <c r="Y100" t="s">
        <v>158</v>
      </c>
      <c r="Z100" t="s">
        <v>262</v>
      </c>
      <c r="AC100" s="3" t="s">
        <v>2622</v>
      </c>
      <c r="AD100" t="s">
        <v>118</v>
      </c>
      <c r="AE100" t="s">
        <v>1220</v>
      </c>
      <c r="AH100" t="s">
        <v>2623</v>
      </c>
      <c r="AI100" t="s">
        <v>121</v>
      </c>
      <c r="AK100" t="s">
        <v>2624</v>
      </c>
      <c r="AL100" t="s">
        <v>1925</v>
      </c>
      <c r="AO100" t="s">
        <v>125</v>
      </c>
      <c r="AP100">
        <v>7.0</v>
      </c>
      <c r="AQ100" t="s">
        <v>2625</v>
      </c>
      <c r="AR100" t="s">
        <v>2573</v>
      </c>
      <c r="AS100" t="b">
        <v>1</v>
      </c>
      <c r="AT100" t="b">
        <v>1</v>
      </c>
      <c r="AV100">
        <v>7.0</v>
      </c>
      <c r="AW100" t="b">
        <v>1</v>
      </c>
      <c r="AX100" t="s">
        <v>1902</v>
      </c>
      <c r="AY100" s="4" t="s">
        <v>518</v>
      </c>
      <c r="AZ100" t="b">
        <v>1</v>
      </c>
      <c r="BA100" t="b">
        <v>1</v>
      </c>
      <c r="BB100" t="b">
        <v>1</v>
      </c>
      <c r="BC100" t="s">
        <v>2626</v>
      </c>
      <c r="BH100" t="s">
        <v>132</v>
      </c>
      <c r="BI100">
        <v>4.0</v>
      </c>
      <c r="BJ100" t="s">
        <v>2627</v>
      </c>
      <c r="BK100">
        <v>5.0</v>
      </c>
      <c r="BL100">
        <v>7.0</v>
      </c>
      <c r="BM100" t="s">
        <v>2628</v>
      </c>
      <c r="BN100">
        <v>7.0</v>
      </c>
      <c r="BO100">
        <v>7.0</v>
      </c>
      <c r="BP100" t="s">
        <v>2629</v>
      </c>
      <c r="BQ100" t="s">
        <v>2630</v>
      </c>
      <c r="BR100" t="s">
        <v>2631</v>
      </c>
      <c r="BS100" t="s">
        <v>2632</v>
      </c>
      <c r="BU100" t="s">
        <v>2633</v>
      </c>
      <c r="BV100" s="3" t="s">
        <v>2634</v>
      </c>
      <c r="BW100" t="b">
        <v>1</v>
      </c>
      <c r="BX100" t="s">
        <v>1394</v>
      </c>
      <c r="BY100" t="s">
        <v>140</v>
      </c>
      <c r="CA100" t="s">
        <v>1395</v>
      </c>
      <c r="CD100">
        <v>0.0</v>
      </c>
      <c r="CF100" t="b">
        <v>1</v>
      </c>
      <c r="CG100" t="b">
        <v>1</v>
      </c>
      <c r="CH100" t="s">
        <v>2635</v>
      </c>
      <c r="CJ100" t="b">
        <v>1</v>
      </c>
      <c r="CK100" t="b">
        <v>1</v>
      </c>
      <c r="CL100" t="s">
        <v>541</v>
      </c>
      <c r="CO100" t="s">
        <v>200</v>
      </c>
      <c r="CR100" t="b">
        <v>1</v>
      </c>
      <c r="CT100">
        <v>12.0</v>
      </c>
      <c r="CU100">
        <v>1.0</v>
      </c>
      <c r="CX100" s="4" t="s">
        <v>2636</v>
      </c>
      <c r="CZ100" s="5">
        <v>44244.941516203704</v>
      </c>
      <c r="DA100" t="s">
        <v>2637</v>
      </c>
    </row>
    <row r="101">
      <c r="A101" t="s">
        <v>98</v>
      </c>
      <c r="D101" t="s">
        <v>2638</v>
      </c>
      <c r="E101" t="s">
        <v>2639</v>
      </c>
      <c r="F101" s="2">
        <v>38079.0</v>
      </c>
      <c r="G101" t="s">
        <v>1466</v>
      </c>
      <c r="I101" s="3" t="s">
        <v>2640</v>
      </c>
      <c r="J101" t="s">
        <v>2641</v>
      </c>
      <c r="K101" t="b">
        <v>1</v>
      </c>
      <c r="L101" s="4" t="s">
        <v>2642</v>
      </c>
      <c r="M101" t="s">
        <v>2643</v>
      </c>
      <c r="N101" t="s">
        <v>149</v>
      </c>
      <c r="O101" t="s">
        <v>2644</v>
      </c>
      <c r="P101" t="s">
        <v>2645</v>
      </c>
      <c r="Q101" t="s">
        <v>189</v>
      </c>
      <c r="R101" t="s">
        <v>2646</v>
      </c>
      <c r="S101" t="s">
        <v>2647</v>
      </c>
      <c r="T101" s="4" t="s">
        <v>2648</v>
      </c>
      <c r="U101" t="s">
        <v>2649</v>
      </c>
      <c r="V101" t="s">
        <v>2539</v>
      </c>
      <c r="W101" t="s">
        <v>261</v>
      </c>
      <c r="Y101" t="s">
        <v>158</v>
      </c>
      <c r="Z101" t="s">
        <v>262</v>
      </c>
      <c r="AC101" s="3" t="s">
        <v>2650</v>
      </c>
      <c r="AD101" t="s">
        <v>118</v>
      </c>
      <c r="AE101" t="s">
        <v>729</v>
      </c>
      <c r="AF101" t="s">
        <v>2651</v>
      </c>
      <c r="AG101">
        <v>13.0</v>
      </c>
      <c r="AI101" t="s">
        <v>205</v>
      </c>
      <c r="AK101" t="s">
        <v>2652</v>
      </c>
      <c r="AL101" t="s">
        <v>2653</v>
      </c>
      <c r="AO101" t="s">
        <v>1479</v>
      </c>
      <c r="AP101">
        <v>3.0</v>
      </c>
      <c r="AQ101" t="s">
        <v>126</v>
      </c>
      <c r="AR101" t="s">
        <v>2654</v>
      </c>
      <c r="AS101" t="b">
        <v>0</v>
      </c>
      <c r="AV101">
        <v>5.0</v>
      </c>
      <c r="AW101" t="b">
        <v>1</v>
      </c>
      <c r="AX101" t="s">
        <v>1902</v>
      </c>
      <c r="AY101" s="4" t="s">
        <v>518</v>
      </c>
      <c r="AZ101" t="b">
        <v>0</v>
      </c>
      <c r="BA101" t="b">
        <v>0</v>
      </c>
      <c r="BD101" t="s">
        <v>2655</v>
      </c>
      <c r="BH101" t="s">
        <v>132</v>
      </c>
      <c r="BI101">
        <v>3.0</v>
      </c>
      <c r="BJ101" t="s">
        <v>2656</v>
      </c>
      <c r="BK101">
        <v>2.0</v>
      </c>
      <c r="BL101">
        <v>4.0</v>
      </c>
      <c r="BM101" t="s">
        <v>2657</v>
      </c>
      <c r="BN101">
        <v>2.0</v>
      </c>
      <c r="BO101">
        <v>3.0</v>
      </c>
      <c r="BP101" t="s">
        <v>2658</v>
      </c>
      <c r="BQ101" t="s">
        <v>2659</v>
      </c>
      <c r="BR101" t="s">
        <v>2660</v>
      </c>
      <c r="BS101" t="s">
        <v>2661</v>
      </c>
      <c r="BU101" t="s">
        <v>2662</v>
      </c>
      <c r="BV101" s="3" t="s">
        <v>2663</v>
      </c>
      <c r="BW101" t="b">
        <v>1</v>
      </c>
      <c r="BX101" t="s">
        <v>1394</v>
      </c>
      <c r="BY101" t="s">
        <v>140</v>
      </c>
      <c r="CA101" t="s">
        <v>1395</v>
      </c>
      <c r="CD101">
        <v>0.0</v>
      </c>
      <c r="CF101" t="b">
        <v>0</v>
      </c>
      <c r="CG101" t="b">
        <v>0</v>
      </c>
      <c r="CH101" t="s">
        <v>1935</v>
      </c>
      <c r="CJ101" t="b">
        <v>0</v>
      </c>
      <c r="CK101" t="b">
        <v>1</v>
      </c>
      <c r="CL101" t="s">
        <v>2301</v>
      </c>
      <c r="CO101" t="s">
        <v>1688</v>
      </c>
      <c r="CR101" t="b">
        <v>1</v>
      </c>
      <c r="CT101">
        <v>0.0</v>
      </c>
      <c r="CU101">
        <v>0.0</v>
      </c>
      <c r="CX101" s="4" t="s">
        <v>2664</v>
      </c>
      <c r="CZ101" s="5">
        <v>44246.703784722224</v>
      </c>
      <c r="DA101" t="s">
        <v>2665</v>
      </c>
    </row>
    <row r="102">
      <c r="A102" t="s">
        <v>98</v>
      </c>
      <c r="D102" t="s">
        <v>2666</v>
      </c>
      <c r="E102" t="s">
        <v>2667</v>
      </c>
      <c r="F102" s="2">
        <v>37802.0</v>
      </c>
      <c r="G102" t="s">
        <v>1466</v>
      </c>
      <c r="I102" s="3" t="s">
        <v>2668</v>
      </c>
      <c r="J102" t="s">
        <v>2669</v>
      </c>
      <c r="K102" t="b">
        <v>1</v>
      </c>
      <c r="L102" s="4" t="s">
        <v>2670</v>
      </c>
      <c r="M102" t="s">
        <v>2671</v>
      </c>
      <c r="N102" t="s">
        <v>255</v>
      </c>
      <c r="P102" t="s">
        <v>2672</v>
      </c>
      <c r="Q102" t="s">
        <v>189</v>
      </c>
      <c r="R102" t="s">
        <v>2673</v>
      </c>
      <c r="S102" t="s">
        <v>2671</v>
      </c>
      <c r="T102" s="4" t="s">
        <v>2674</v>
      </c>
      <c r="U102" t="s">
        <v>2313</v>
      </c>
      <c r="V102" t="s">
        <v>2407</v>
      </c>
      <c r="W102" t="s">
        <v>261</v>
      </c>
      <c r="Y102" t="s">
        <v>158</v>
      </c>
      <c r="Z102" t="s">
        <v>262</v>
      </c>
      <c r="AC102" s="3" t="s">
        <v>2675</v>
      </c>
      <c r="AD102" t="s">
        <v>118</v>
      </c>
      <c r="AE102" t="s">
        <v>729</v>
      </c>
      <c r="AF102" t="s">
        <v>1731</v>
      </c>
      <c r="AG102">
        <v>14.0</v>
      </c>
      <c r="AI102" t="s">
        <v>162</v>
      </c>
      <c r="AK102" t="s">
        <v>2676</v>
      </c>
      <c r="AL102" t="s">
        <v>123</v>
      </c>
      <c r="AO102" t="s">
        <v>125</v>
      </c>
      <c r="AP102">
        <v>4.0</v>
      </c>
      <c r="AQ102" t="s">
        <v>1480</v>
      </c>
      <c r="AR102" t="s">
        <v>2677</v>
      </c>
      <c r="AS102" t="b">
        <v>1</v>
      </c>
      <c r="AT102" t="b">
        <v>1</v>
      </c>
      <c r="AV102">
        <v>5.0</v>
      </c>
      <c r="AW102" t="b">
        <v>1</v>
      </c>
      <c r="AX102" t="s">
        <v>1902</v>
      </c>
      <c r="AY102" s="4" t="s">
        <v>518</v>
      </c>
      <c r="AZ102" t="b">
        <v>1</v>
      </c>
      <c r="BA102" t="b">
        <v>1</v>
      </c>
      <c r="BB102" t="b">
        <v>0</v>
      </c>
      <c r="BC102" t="s">
        <v>2678</v>
      </c>
      <c r="BH102" t="s">
        <v>132</v>
      </c>
      <c r="BI102">
        <v>7.0</v>
      </c>
      <c r="BJ102" t="s">
        <v>2679</v>
      </c>
      <c r="BK102">
        <v>6.0</v>
      </c>
      <c r="BL102">
        <v>6.0</v>
      </c>
      <c r="BM102" t="s">
        <v>2680</v>
      </c>
      <c r="BN102">
        <v>6.0</v>
      </c>
      <c r="BO102">
        <v>5.0</v>
      </c>
      <c r="BP102" t="s">
        <v>2681</v>
      </c>
      <c r="BQ102" t="s">
        <v>1931</v>
      </c>
      <c r="BR102" t="s">
        <v>2682</v>
      </c>
      <c r="BS102" t="s">
        <v>2683</v>
      </c>
      <c r="BU102" t="s">
        <v>2684</v>
      </c>
      <c r="BV102" s="3" t="s">
        <v>2685</v>
      </c>
      <c r="BW102" t="b">
        <v>1</v>
      </c>
      <c r="BX102" t="s">
        <v>1394</v>
      </c>
      <c r="BY102" t="s">
        <v>140</v>
      </c>
      <c r="CA102" t="s">
        <v>1395</v>
      </c>
      <c r="CD102">
        <v>0.0</v>
      </c>
      <c r="CF102" t="b">
        <v>1</v>
      </c>
      <c r="CG102" t="b">
        <v>1</v>
      </c>
      <c r="CH102" t="s">
        <v>168</v>
      </c>
      <c r="CJ102" t="b">
        <v>1</v>
      </c>
      <c r="CK102" t="b">
        <v>1</v>
      </c>
      <c r="CL102" t="s">
        <v>636</v>
      </c>
      <c r="CM102" t="s">
        <v>636</v>
      </c>
      <c r="CO102" t="s">
        <v>124</v>
      </c>
      <c r="CR102" t="b">
        <v>1</v>
      </c>
      <c r="CT102">
        <v>0.0</v>
      </c>
      <c r="CU102">
        <v>1.0</v>
      </c>
      <c r="CX102" s="4" t="s">
        <v>2686</v>
      </c>
      <c r="CZ102" s="5">
        <v>44246.72033564815</v>
      </c>
      <c r="DA102" t="s">
        <v>2687</v>
      </c>
    </row>
    <row r="103">
      <c r="A103" t="s">
        <v>98</v>
      </c>
      <c r="D103" t="s">
        <v>2688</v>
      </c>
      <c r="E103" t="s">
        <v>2689</v>
      </c>
      <c r="F103" s="2">
        <v>37192.0</v>
      </c>
      <c r="G103" t="s">
        <v>1466</v>
      </c>
      <c r="I103" s="3" t="s">
        <v>2690</v>
      </c>
      <c r="J103" t="s">
        <v>2691</v>
      </c>
      <c r="K103" t="b">
        <v>1</v>
      </c>
      <c r="L103" s="4" t="s">
        <v>2692</v>
      </c>
      <c r="M103" t="s">
        <v>2693</v>
      </c>
      <c r="N103" t="s">
        <v>255</v>
      </c>
      <c r="O103" t="s">
        <v>2694</v>
      </c>
      <c r="P103" t="s">
        <v>2695</v>
      </c>
      <c r="Q103" t="s">
        <v>152</v>
      </c>
      <c r="R103" t="s">
        <v>2696</v>
      </c>
      <c r="S103" t="s">
        <v>2697</v>
      </c>
      <c r="T103" s="4" t="s">
        <v>2698</v>
      </c>
      <c r="U103" t="s">
        <v>2313</v>
      </c>
      <c r="V103" t="s">
        <v>2539</v>
      </c>
      <c r="W103" t="s">
        <v>2290</v>
      </c>
      <c r="Y103" t="s">
        <v>158</v>
      </c>
      <c r="Z103" t="s">
        <v>159</v>
      </c>
      <c r="AC103" s="3" t="s">
        <v>2699</v>
      </c>
      <c r="AD103" t="s">
        <v>118</v>
      </c>
      <c r="AE103" t="s">
        <v>729</v>
      </c>
      <c r="AF103" t="s">
        <v>1731</v>
      </c>
      <c r="AG103">
        <v>18.0</v>
      </c>
      <c r="AI103" t="s">
        <v>121</v>
      </c>
      <c r="AL103" t="s">
        <v>123</v>
      </c>
      <c r="AO103" t="s">
        <v>125</v>
      </c>
      <c r="AP103">
        <v>5.0</v>
      </c>
      <c r="AQ103" t="s">
        <v>2240</v>
      </c>
      <c r="AR103" t="s">
        <v>2700</v>
      </c>
      <c r="AS103" t="b">
        <v>1</v>
      </c>
      <c r="AT103" t="b">
        <v>1</v>
      </c>
      <c r="AV103">
        <v>5.0</v>
      </c>
      <c r="AW103" t="b">
        <v>1</v>
      </c>
      <c r="AX103" t="s">
        <v>1902</v>
      </c>
      <c r="AY103" t="s">
        <v>706</v>
      </c>
      <c r="AZ103" t="b">
        <v>0</v>
      </c>
      <c r="BA103" t="b">
        <v>0</v>
      </c>
      <c r="BD103" t="s">
        <v>2701</v>
      </c>
      <c r="BH103" t="s">
        <v>132</v>
      </c>
      <c r="BI103">
        <v>1.0</v>
      </c>
      <c r="BJ103" t="s">
        <v>2702</v>
      </c>
      <c r="BK103">
        <v>7.0</v>
      </c>
      <c r="BL103">
        <v>5.0</v>
      </c>
      <c r="BM103" t="s">
        <v>2703</v>
      </c>
      <c r="BN103">
        <v>4.0</v>
      </c>
      <c r="BO103">
        <v>5.0</v>
      </c>
      <c r="BP103" t="s">
        <v>2704</v>
      </c>
      <c r="BQ103" t="s">
        <v>1050</v>
      </c>
      <c r="BR103" t="s">
        <v>2705</v>
      </c>
      <c r="BS103" t="s">
        <v>2706</v>
      </c>
      <c r="BU103" t="s">
        <v>2707</v>
      </c>
      <c r="BV103" s="3" t="s">
        <v>2708</v>
      </c>
      <c r="BW103" t="b">
        <v>1</v>
      </c>
      <c r="BX103" t="s">
        <v>1394</v>
      </c>
      <c r="BY103" t="s">
        <v>140</v>
      </c>
      <c r="CA103" t="s">
        <v>1395</v>
      </c>
      <c r="CD103">
        <v>0.0</v>
      </c>
      <c r="CF103" t="b">
        <v>0</v>
      </c>
      <c r="CG103" t="b">
        <v>0</v>
      </c>
      <c r="CH103" t="s">
        <v>2709</v>
      </c>
      <c r="CJ103" t="b">
        <v>1</v>
      </c>
      <c r="CK103" t="b">
        <v>1</v>
      </c>
      <c r="CL103" t="s">
        <v>636</v>
      </c>
      <c r="CM103" t="s">
        <v>636</v>
      </c>
      <c r="CO103" t="s">
        <v>124</v>
      </c>
      <c r="CQ103" t="s">
        <v>636</v>
      </c>
      <c r="CR103" t="b">
        <v>1</v>
      </c>
      <c r="CT103">
        <v>0.0</v>
      </c>
      <c r="CU103">
        <v>3.0</v>
      </c>
      <c r="CX103" s="4" t="s">
        <v>2710</v>
      </c>
      <c r="CZ103" s="5">
        <v>44246.76849537037</v>
      </c>
      <c r="DA103" t="s">
        <v>2711</v>
      </c>
    </row>
    <row r="104">
      <c r="A104" t="s">
        <v>98</v>
      </c>
      <c r="D104" t="s">
        <v>2712</v>
      </c>
      <c r="E104" t="s">
        <v>2713</v>
      </c>
      <c r="F104" s="2">
        <v>37860.0</v>
      </c>
      <c r="G104" t="s">
        <v>1466</v>
      </c>
      <c r="I104" t="s">
        <v>2714</v>
      </c>
      <c r="J104" t="s">
        <v>2715</v>
      </c>
      <c r="K104" t="b">
        <v>1</v>
      </c>
      <c r="L104" s="4" t="s">
        <v>2716</v>
      </c>
      <c r="M104" t="s">
        <v>2717</v>
      </c>
      <c r="N104" t="s">
        <v>354</v>
      </c>
      <c r="O104" t="s">
        <v>2718</v>
      </c>
      <c r="P104" t="s">
        <v>2719</v>
      </c>
      <c r="Q104" t="s">
        <v>189</v>
      </c>
      <c r="R104" t="s">
        <v>2720</v>
      </c>
      <c r="S104" t="s">
        <v>2717</v>
      </c>
      <c r="T104" s="4" t="s">
        <v>2721</v>
      </c>
      <c r="U104" t="s">
        <v>2722</v>
      </c>
      <c r="V104" t="s">
        <v>2539</v>
      </c>
      <c r="W104" t="s">
        <v>261</v>
      </c>
      <c r="Y104" t="s">
        <v>158</v>
      </c>
      <c r="Z104" t="s">
        <v>262</v>
      </c>
      <c r="AC104" t="s">
        <v>2723</v>
      </c>
      <c r="AD104" t="s">
        <v>118</v>
      </c>
      <c r="AE104" t="s">
        <v>729</v>
      </c>
      <c r="AF104" t="s">
        <v>2724</v>
      </c>
      <c r="AG104">
        <v>15.0</v>
      </c>
      <c r="AI104" t="s">
        <v>162</v>
      </c>
      <c r="AK104" t="s">
        <v>2725</v>
      </c>
      <c r="AL104" t="s">
        <v>2726</v>
      </c>
      <c r="AO104" t="s">
        <v>125</v>
      </c>
      <c r="AP104">
        <v>4.0</v>
      </c>
      <c r="AQ104" t="s">
        <v>2240</v>
      </c>
      <c r="AR104" t="s">
        <v>2412</v>
      </c>
      <c r="AS104" t="b">
        <v>1</v>
      </c>
      <c r="AT104" t="b">
        <v>1</v>
      </c>
      <c r="AV104">
        <v>4.0</v>
      </c>
      <c r="AW104" t="b">
        <v>1</v>
      </c>
      <c r="AX104" t="s">
        <v>1902</v>
      </c>
      <c r="AY104" s="4" t="s">
        <v>518</v>
      </c>
      <c r="AZ104" t="b">
        <v>1</v>
      </c>
      <c r="BA104" t="b">
        <v>1</v>
      </c>
      <c r="BB104" t="b">
        <v>1</v>
      </c>
      <c r="BC104" t="s">
        <v>2727</v>
      </c>
      <c r="BH104" t="s">
        <v>132</v>
      </c>
      <c r="BI104">
        <v>5.0</v>
      </c>
      <c r="BJ104" t="s">
        <v>2728</v>
      </c>
      <c r="BK104">
        <v>5.0</v>
      </c>
      <c r="BL104">
        <v>4.0</v>
      </c>
      <c r="BM104" t="s">
        <v>2729</v>
      </c>
      <c r="BN104">
        <v>4.0</v>
      </c>
      <c r="BO104">
        <v>4.0</v>
      </c>
      <c r="BP104" t="s">
        <v>2730</v>
      </c>
      <c r="BQ104" t="s">
        <v>2731</v>
      </c>
      <c r="BR104" t="s">
        <v>2732</v>
      </c>
      <c r="BS104" t="s">
        <v>2733</v>
      </c>
      <c r="BU104" t="s">
        <v>2734</v>
      </c>
      <c r="BV104" t="s">
        <v>2735</v>
      </c>
      <c r="BW104" t="b">
        <v>1</v>
      </c>
      <c r="BX104" t="s">
        <v>1394</v>
      </c>
      <c r="BY104" t="s">
        <v>140</v>
      </c>
      <c r="CA104" t="s">
        <v>1395</v>
      </c>
      <c r="CD104">
        <v>0.0</v>
      </c>
      <c r="CF104" t="b">
        <v>1</v>
      </c>
      <c r="CG104" t="b">
        <v>1</v>
      </c>
      <c r="CH104" t="s">
        <v>1935</v>
      </c>
      <c r="CJ104" t="b">
        <v>1</v>
      </c>
      <c r="CK104" t="b">
        <v>1</v>
      </c>
      <c r="CL104" t="s">
        <v>2736</v>
      </c>
      <c r="CO104" t="s">
        <v>388</v>
      </c>
      <c r="CR104" t="b">
        <v>1</v>
      </c>
      <c r="CT104">
        <v>47500.0</v>
      </c>
      <c r="CU104">
        <v>0.0</v>
      </c>
      <c r="CX104" s="4" t="s">
        <v>2737</v>
      </c>
      <c r="CZ104" s="5">
        <v>44246.84892361111</v>
      </c>
      <c r="DA104" t="s">
        <v>2738</v>
      </c>
    </row>
    <row r="105">
      <c r="A105" t="s">
        <v>98</v>
      </c>
      <c r="D105" t="s">
        <v>2739</v>
      </c>
      <c r="E105" t="s">
        <v>2740</v>
      </c>
      <c r="F105" s="2">
        <v>38128.0</v>
      </c>
      <c r="G105" t="s">
        <v>1360</v>
      </c>
      <c r="I105" s="3" t="s">
        <v>2741</v>
      </c>
      <c r="J105" t="s">
        <v>2742</v>
      </c>
      <c r="K105" t="b">
        <v>1</v>
      </c>
      <c r="L105" s="4" t="s">
        <v>2743</v>
      </c>
      <c r="M105" t="s">
        <v>2744</v>
      </c>
      <c r="N105" t="s">
        <v>105</v>
      </c>
      <c r="P105" t="s">
        <v>2745</v>
      </c>
      <c r="Q105" t="s">
        <v>189</v>
      </c>
      <c r="R105" t="s">
        <v>2746</v>
      </c>
      <c r="S105" t="s">
        <v>2744</v>
      </c>
      <c r="T105" s="4" t="s">
        <v>2747</v>
      </c>
      <c r="U105" t="s">
        <v>2593</v>
      </c>
      <c r="V105" t="s">
        <v>2621</v>
      </c>
      <c r="W105" t="s">
        <v>1412</v>
      </c>
      <c r="Y105" t="s">
        <v>158</v>
      </c>
      <c r="Z105" t="s">
        <v>262</v>
      </c>
      <c r="AC105" s="3" t="s">
        <v>2748</v>
      </c>
      <c r="AD105" t="s">
        <v>118</v>
      </c>
      <c r="AE105" t="s">
        <v>781</v>
      </c>
      <c r="AH105" t="s">
        <v>2749</v>
      </c>
      <c r="AI105" t="s">
        <v>121</v>
      </c>
      <c r="AL105" t="s">
        <v>621</v>
      </c>
      <c r="AO105" t="s">
        <v>125</v>
      </c>
      <c r="AP105">
        <v>5.0</v>
      </c>
      <c r="AQ105" t="s">
        <v>126</v>
      </c>
      <c r="AR105" t="s">
        <v>2750</v>
      </c>
      <c r="AS105" t="b">
        <v>1</v>
      </c>
      <c r="AT105" t="b">
        <v>0</v>
      </c>
      <c r="AV105">
        <v>4.0</v>
      </c>
      <c r="AW105" t="b">
        <v>0</v>
      </c>
      <c r="AZ105" t="b">
        <v>0</v>
      </c>
      <c r="BA105" t="b">
        <v>0</v>
      </c>
      <c r="BD105" t="s">
        <v>2750</v>
      </c>
      <c r="BH105" t="s">
        <v>132</v>
      </c>
      <c r="BI105">
        <v>4.0</v>
      </c>
      <c r="BJ105" t="s">
        <v>2751</v>
      </c>
      <c r="BK105">
        <v>3.0</v>
      </c>
      <c r="BL105">
        <v>7.0</v>
      </c>
      <c r="BM105" t="s">
        <v>1829</v>
      </c>
      <c r="BN105">
        <v>4.0</v>
      </c>
      <c r="BO105">
        <v>3.0</v>
      </c>
      <c r="BP105" t="s">
        <v>2752</v>
      </c>
      <c r="BQ105" t="s">
        <v>2753</v>
      </c>
      <c r="BR105" t="s">
        <v>2754</v>
      </c>
      <c r="BS105" t="s">
        <v>2755</v>
      </c>
      <c r="BU105" t="s">
        <v>620</v>
      </c>
      <c r="BV105" s="3" t="s">
        <v>2756</v>
      </c>
      <c r="BW105" t="b">
        <v>1</v>
      </c>
      <c r="BX105" t="s">
        <v>1394</v>
      </c>
      <c r="BY105" t="s">
        <v>140</v>
      </c>
      <c r="CA105" t="s">
        <v>1395</v>
      </c>
      <c r="CD105">
        <v>0.0</v>
      </c>
      <c r="CF105" t="b">
        <v>0</v>
      </c>
      <c r="CG105" t="b">
        <v>1</v>
      </c>
      <c r="CH105" t="s">
        <v>168</v>
      </c>
      <c r="CJ105" t="b">
        <v>1</v>
      </c>
      <c r="CK105" t="b">
        <v>0</v>
      </c>
      <c r="CL105" t="s">
        <v>541</v>
      </c>
      <c r="CO105" t="s">
        <v>388</v>
      </c>
      <c r="CR105" t="b">
        <v>1</v>
      </c>
      <c r="CT105">
        <v>0.0</v>
      </c>
      <c r="CU105">
        <v>0.0</v>
      </c>
      <c r="CX105" t="s">
        <v>575</v>
      </c>
      <c r="CZ105" s="5">
        <v>44247.08207175926</v>
      </c>
      <c r="DA105" t="s">
        <v>2757</v>
      </c>
    </row>
    <row r="106">
      <c r="A106" t="s">
        <v>98</v>
      </c>
      <c r="D106" t="s">
        <v>2758</v>
      </c>
      <c r="E106" t="s">
        <v>2759</v>
      </c>
      <c r="F106" s="2">
        <v>37709.0</v>
      </c>
      <c r="G106" t="s">
        <v>1360</v>
      </c>
      <c r="I106" s="3" t="s">
        <v>2760</v>
      </c>
      <c r="J106" t="s">
        <v>2761</v>
      </c>
      <c r="K106" t="b">
        <v>1</v>
      </c>
      <c r="L106" s="4" t="s">
        <v>2762</v>
      </c>
      <c r="M106" t="s">
        <v>2763</v>
      </c>
      <c r="N106" t="s">
        <v>149</v>
      </c>
      <c r="P106" t="s">
        <v>2764</v>
      </c>
      <c r="Q106" t="s">
        <v>152</v>
      </c>
      <c r="R106" t="s">
        <v>2765</v>
      </c>
      <c r="S106" t="s">
        <v>2763</v>
      </c>
      <c r="T106" s="4" t="s">
        <v>2766</v>
      </c>
      <c r="U106" t="s">
        <v>2767</v>
      </c>
      <c r="V106" t="s">
        <v>2768</v>
      </c>
      <c r="W106" t="s">
        <v>261</v>
      </c>
      <c r="Y106" t="s">
        <v>158</v>
      </c>
      <c r="Z106" t="s">
        <v>262</v>
      </c>
      <c r="AC106" s="3" t="s">
        <v>2769</v>
      </c>
      <c r="AD106" t="s">
        <v>118</v>
      </c>
      <c r="AE106" t="s">
        <v>729</v>
      </c>
      <c r="AF106" t="s">
        <v>459</v>
      </c>
      <c r="AG106">
        <v>15.0</v>
      </c>
      <c r="AI106" t="s">
        <v>162</v>
      </c>
      <c r="AK106" t="s">
        <v>2770</v>
      </c>
      <c r="AL106" t="s">
        <v>460</v>
      </c>
      <c r="AO106" t="s">
        <v>125</v>
      </c>
      <c r="AP106">
        <v>5.0</v>
      </c>
      <c r="AQ106" t="s">
        <v>1520</v>
      </c>
      <c r="AR106" t="s">
        <v>2771</v>
      </c>
      <c r="AS106" t="b">
        <v>1</v>
      </c>
      <c r="AT106" t="b">
        <v>1</v>
      </c>
      <c r="AV106">
        <v>4.0</v>
      </c>
      <c r="AW106" t="b">
        <v>0</v>
      </c>
      <c r="AZ106" t="b">
        <v>1</v>
      </c>
      <c r="BA106" t="b">
        <v>1</v>
      </c>
      <c r="BB106" t="b">
        <v>1</v>
      </c>
      <c r="BC106" t="s">
        <v>2772</v>
      </c>
      <c r="BH106" t="s">
        <v>132</v>
      </c>
      <c r="BI106">
        <v>6.0</v>
      </c>
      <c r="BJ106" t="s">
        <v>2773</v>
      </c>
      <c r="BK106">
        <v>5.0</v>
      </c>
      <c r="BL106">
        <v>6.0</v>
      </c>
      <c r="BM106" t="s">
        <v>2774</v>
      </c>
      <c r="BN106">
        <v>5.0</v>
      </c>
      <c r="BO106">
        <v>4.0</v>
      </c>
      <c r="BP106" t="s">
        <v>2775</v>
      </c>
      <c r="BQ106" t="s">
        <v>2776</v>
      </c>
      <c r="BR106" t="s">
        <v>2777</v>
      </c>
      <c r="BS106" t="s">
        <v>2778</v>
      </c>
      <c r="BU106" t="s">
        <v>2779</v>
      </c>
      <c r="BV106" s="3" t="s">
        <v>2780</v>
      </c>
      <c r="BW106" t="b">
        <v>1</v>
      </c>
      <c r="BX106" t="s">
        <v>1394</v>
      </c>
      <c r="BY106" t="s">
        <v>140</v>
      </c>
      <c r="CA106" t="s">
        <v>1395</v>
      </c>
      <c r="CD106">
        <v>0.0</v>
      </c>
      <c r="CF106" t="b">
        <v>1</v>
      </c>
      <c r="CG106" t="b">
        <v>1</v>
      </c>
      <c r="CH106" t="s">
        <v>2781</v>
      </c>
      <c r="CJ106" t="b">
        <v>1</v>
      </c>
      <c r="CK106" t="b">
        <v>1</v>
      </c>
      <c r="CL106" t="s">
        <v>413</v>
      </c>
      <c r="CO106" t="s">
        <v>388</v>
      </c>
      <c r="CR106" t="b">
        <v>1</v>
      </c>
      <c r="CT106">
        <v>4.0</v>
      </c>
      <c r="CU106">
        <v>2.0</v>
      </c>
      <c r="CX106" s="4" t="s">
        <v>2782</v>
      </c>
      <c r="CZ106" s="5">
        <v>44247.12247685185</v>
      </c>
      <c r="DA106" t="s">
        <v>2783</v>
      </c>
    </row>
    <row r="107">
      <c r="A107" t="s">
        <v>98</v>
      </c>
      <c r="D107" t="s">
        <v>2784</v>
      </c>
      <c r="E107" t="s">
        <v>2785</v>
      </c>
      <c r="F107" s="2">
        <v>38039.0</v>
      </c>
      <c r="G107" t="s">
        <v>1360</v>
      </c>
      <c r="I107" s="3" t="s">
        <v>2786</v>
      </c>
      <c r="J107" t="s">
        <v>2787</v>
      </c>
      <c r="K107" t="b">
        <v>1</v>
      </c>
      <c r="L107" s="4" t="s">
        <v>2788</v>
      </c>
      <c r="M107" t="s">
        <v>2789</v>
      </c>
      <c r="N107" t="s">
        <v>149</v>
      </c>
      <c r="O107" s="3" t="s">
        <v>2790</v>
      </c>
      <c r="P107" t="s">
        <v>2791</v>
      </c>
      <c r="Q107" t="s">
        <v>1510</v>
      </c>
      <c r="R107" t="s">
        <v>2792</v>
      </c>
      <c r="S107" t="s">
        <v>2789</v>
      </c>
      <c r="T107" s="4" t="s">
        <v>2793</v>
      </c>
      <c r="U107" t="s">
        <v>2313</v>
      </c>
      <c r="V107" t="s">
        <v>2407</v>
      </c>
      <c r="W107" t="s">
        <v>2290</v>
      </c>
      <c r="Y107" t="s">
        <v>158</v>
      </c>
      <c r="Z107" t="s">
        <v>262</v>
      </c>
      <c r="AC107" s="3" t="s">
        <v>2794</v>
      </c>
      <c r="AD107" t="s">
        <v>118</v>
      </c>
      <c r="AE107" t="s">
        <v>729</v>
      </c>
      <c r="AF107" t="s">
        <v>459</v>
      </c>
      <c r="AG107">
        <v>14.0</v>
      </c>
      <c r="AI107" t="s">
        <v>162</v>
      </c>
      <c r="AL107" t="s">
        <v>2795</v>
      </c>
      <c r="AO107" t="s">
        <v>125</v>
      </c>
      <c r="AP107">
        <v>5.0</v>
      </c>
      <c r="AQ107" t="s">
        <v>461</v>
      </c>
      <c r="AR107" t="s">
        <v>2796</v>
      </c>
      <c r="AS107" t="b">
        <v>1</v>
      </c>
      <c r="AT107" t="b">
        <v>1</v>
      </c>
      <c r="AV107">
        <v>5.0</v>
      </c>
      <c r="AW107" t="b">
        <v>1</v>
      </c>
      <c r="AX107" t="s">
        <v>2797</v>
      </c>
      <c r="AY107" s="4" t="s">
        <v>170</v>
      </c>
      <c r="AZ107" t="b">
        <v>1</v>
      </c>
      <c r="BA107" t="b">
        <v>1</v>
      </c>
      <c r="BB107" t="b">
        <v>0</v>
      </c>
      <c r="BC107" t="s">
        <v>2798</v>
      </c>
      <c r="BH107" t="s">
        <v>132</v>
      </c>
      <c r="BI107">
        <v>5.0</v>
      </c>
      <c r="BJ107" t="s">
        <v>2799</v>
      </c>
      <c r="BK107">
        <v>5.0</v>
      </c>
      <c r="BL107">
        <v>6.0</v>
      </c>
      <c r="BM107" t="s">
        <v>2800</v>
      </c>
      <c r="BN107">
        <v>6.0</v>
      </c>
      <c r="BO107">
        <v>5.0</v>
      </c>
      <c r="BP107" t="s">
        <v>2801</v>
      </c>
      <c r="BQ107" t="s">
        <v>2802</v>
      </c>
      <c r="BR107" t="s">
        <v>2803</v>
      </c>
      <c r="BS107" t="s">
        <v>2804</v>
      </c>
      <c r="BU107" t="s">
        <v>2805</v>
      </c>
      <c r="BV107" s="3" t="s">
        <v>2806</v>
      </c>
      <c r="BW107" t="b">
        <v>1</v>
      </c>
      <c r="BX107" t="s">
        <v>1394</v>
      </c>
      <c r="BY107" t="s">
        <v>140</v>
      </c>
      <c r="CA107" t="s">
        <v>1395</v>
      </c>
      <c r="CD107">
        <v>0.0</v>
      </c>
      <c r="CF107" t="b">
        <v>1</v>
      </c>
      <c r="CG107" t="b">
        <v>1</v>
      </c>
      <c r="CH107" t="s">
        <v>305</v>
      </c>
      <c r="CJ107" t="b">
        <v>0</v>
      </c>
      <c r="CK107" t="b">
        <v>1</v>
      </c>
      <c r="CL107" t="s">
        <v>362</v>
      </c>
      <c r="CO107" t="s">
        <v>200</v>
      </c>
      <c r="CR107" t="b">
        <v>1</v>
      </c>
      <c r="CT107">
        <v>2.0</v>
      </c>
      <c r="CU107">
        <v>3.0</v>
      </c>
      <c r="CX107" s="4" t="s">
        <v>2807</v>
      </c>
      <c r="CZ107" s="5">
        <v>44247.41159722222</v>
      </c>
      <c r="DA107" t="s">
        <v>2808</v>
      </c>
    </row>
    <row r="108">
      <c r="A108" t="s">
        <v>98</v>
      </c>
      <c r="D108" t="s">
        <v>2809</v>
      </c>
      <c r="E108" t="s">
        <v>2810</v>
      </c>
      <c r="F108" s="2">
        <v>37985.0</v>
      </c>
      <c r="G108" t="s">
        <v>1360</v>
      </c>
      <c r="I108" s="3" t="s">
        <v>2811</v>
      </c>
      <c r="J108" t="s">
        <v>2812</v>
      </c>
      <c r="K108" t="b">
        <v>0</v>
      </c>
      <c r="M108" t="s">
        <v>2813</v>
      </c>
      <c r="N108" t="s">
        <v>255</v>
      </c>
      <c r="O108" t="s">
        <v>2814</v>
      </c>
      <c r="P108" t="s">
        <v>2815</v>
      </c>
      <c r="Q108" t="s">
        <v>189</v>
      </c>
      <c r="R108" t="s">
        <v>2816</v>
      </c>
      <c r="S108" t="s">
        <v>2813</v>
      </c>
      <c r="T108" s="4" t="s">
        <v>2817</v>
      </c>
      <c r="U108" t="s">
        <v>2313</v>
      </c>
      <c r="V108" t="s">
        <v>2818</v>
      </c>
      <c r="W108" t="s">
        <v>2290</v>
      </c>
      <c r="Y108" t="s">
        <v>158</v>
      </c>
      <c r="Z108" t="s">
        <v>262</v>
      </c>
      <c r="AC108" s="3" t="s">
        <v>2819</v>
      </c>
      <c r="AD108" t="s">
        <v>118</v>
      </c>
      <c r="AE108" t="s">
        <v>729</v>
      </c>
      <c r="AF108" t="s">
        <v>2820</v>
      </c>
      <c r="AG108">
        <v>15.0</v>
      </c>
      <c r="AH108" t="s">
        <v>2821</v>
      </c>
      <c r="AI108" t="s">
        <v>162</v>
      </c>
      <c r="AK108" t="s">
        <v>179</v>
      </c>
      <c r="AL108" t="s">
        <v>2676</v>
      </c>
      <c r="AO108" t="s">
        <v>335</v>
      </c>
      <c r="AP108">
        <v>3.0</v>
      </c>
      <c r="AQ108" t="s">
        <v>126</v>
      </c>
      <c r="AR108" t="s">
        <v>2822</v>
      </c>
      <c r="AS108" t="b">
        <v>1</v>
      </c>
      <c r="AT108" t="b">
        <v>1</v>
      </c>
      <c r="AV108">
        <v>5.0</v>
      </c>
      <c r="AW108" t="b">
        <v>1</v>
      </c>
      <c r="AX108" t="s">
        <v>1902</v>
      </c>
      <c r="AY108" s="4" t="s">
        <v>518</v>
      </c>
      <c r="AZ108" t="b">
        <v>1</v>
      </c>
      <c r="BA108" t="b">
        <v>1</v>
      </c>
      <c r="BB108" t="b">
        <v>0</v>
      </c>
      <c r="BC108" t="s">
        <v>2823</v>
      </c>
      <c r="BH108" t="s">
        <v>132</v>
      </c>
      <c r="BI108">
        <v>4.0</v>
      </c>
      <c r="BJ108" t="s">
        <v>2824</v>
      </c>
      <c r="BK108">
        <v>2.0</v>
      </c>
      <c r="BL108">
        <v>3.0</v>
      </c>
      <c r="BM108" t="s">
        <v>2825</v>
      </c>
      <c r="BN108">
        <v>3.0</v>
      </c>
      <c r="BO108">
        <v>3.0</v>
      </c>
      <c r="BP108" t="s">
        <v>2826</v>
      </c>
      <c r="BQ108" t="s">
        <v>2827</v>
      </c>
      <c r="BR108" t="s">
        <v>2828</v>
      </c>
      <c r="BS108" t="s">
        <v>2829</v>
      </c>
      <c r="BU108" t="s">
        <v>2830</v>
      </c>
      <c r="BV108" s="3" t="s">
        <v>2831</v>
      </c>
      <c r="BW108" t="b">
        <v>1</v>
      </c>
      <c r="BX108" t="s">
        <v>1394</v>
      </c>
      <c r="BY108" t="s">
        <v>140</v>
      </c>
      <c r="CA108" t="s">
        <v>1395</v>
      </c>
      <c r="CD108">
        <v>0.0</v>
      </c>
      <c r="CF108" t="b">
        <v>1</v>
      </c>
      <c r="CG108" t="b">
        <v>1</v>
      </c>
      <c r="CH108" t="s">
        <v>2832</v>
      </c>
      <c r="CJ108" t="b">
        <v>0</v>
      </c>
      <c r="CK108" t="b">
        <v>1</v>
      </c>
      <c r="CL108" t="s">
        <v>636</v>
      </c>
      <c r="CO108" t="s">
        <v>124</v>
      </c>
      <c r="CR108" t="b">
        <v>1</v>
      </c>
      <c r="CT108">
        <v>3.0</v>
      </c>
      <c r="CU108">
        <v>1.0</v>
      </c>
      <c r="CX108" s="4" t="s">
        <v>2833</v>
      </c>
      <c r="CZ108" s="5">
        <v>44248.89942129629</v>
      </c>
      <c r="DA108" t="s">
        <v>2834</v>
      </c>
    </row>
    <row r="109">
      <c r="A109" t="s">
        <v>98</v>
      </c>
      <c r="D109" t="s">
        <v>2835</v>
      </c>
      <c r="E109" t="s">
        <v>2836</v>
      </c>
      <c r="F109" s="2">
        <v>37695.0</v>
      </c>
      <c r="G109" t="s">
        <v>1360</v>
      </c>
      <c r="I109" s="3" t="s">
        <v>2837</v>
      </c>
      <c r="J109" t="s">
        <v>2838</v>
      </c>
      <c r="K109" t="b">
        <v>1</v>
      </c>
      <c r="L109" s="4" t="s">
        <v>2839</v>
      </c>
      <c r="M109" t="s">
        <v>2840</v>
      </c>
      <c r="N109" t="s">
        <v>149</v>
      </c>
      <c r="P109" t="s">
        <v>2841</v>
      </c>
      <c r="Q109" t="s">
        <v>108</v>
      </c>
      <c r="R109" t="s">
        <v>2842</v>
      </c>
      <c r="S109" t="s">
        <v>2840</v>
      </c>
      <c r="T109" s="4" t="s">
        <v>2843</v>
      </c>
      <c r="U109" t="s">
        <v>2313</v>
      </c>
      <c r="V109" t="s">
        <v>2407</v>
      </c>
      <c r="W109" t="s">
        <v>2290</v>
      </c>
      <c r="Y109" t="s">
        <v>158</v>
      </c>
      <c r="Z109" t="s">
        <v>262</v>
      </c>
      <c r="AC109" s="3" t="s">
        <v>2844</v>
      </c>
      <c r="AD109" t="s">
        <v>118</v>
      </c>
      <c r="AE109" t="s">
        <v>781</v>
      </c>
      <c r="AI109" t="s">
        <v>543</v>
      </c>
      <c r="AK109" t="s">
        <v>2845</v>
      </c>
      <c r="AL109" t="s">
        <v>2846</v>
      </c>
      <c r="AO109" t="s">
        <v>335</v>
      </c>
      <c r="AP109">
        <v>7.0</v>
      </c>
      <c r="AQ109" t="s">
        <v>2240</v>
      </c>
      <c r="AR109" t="s">
        <v>2847</v>
      </c>
      <c r="AS109" t="b">
        <v>0</v>
      </c>
      <c r="AV109">
        <v>3.0</v>
      </c>
      <c r="AW109" t="b">
        <v>1</v>
      </c>
      <c r="AX109" t="s">
        <v>1902</v>
      </c>
      <c r="AY109" t="s">
        <v>1451</v>
      </c>
      <c r="AZ109" t="b">
        <v>1</v>
      </c>
      <c r="BA109" t="b">
        <v>0</v>
      </c>
      <c r="BD109" t="s">
        <v>2848</v>
      </c>
      <c r="BH109" t="s">
        <v>132</v>
      </c>
      <c r="BI109">
        <v>4.0</v>
      </c>
      <c r="BJ109" t="s">
        <v>2849</v>
      </c>
      <c r="BK109">
        <v>1.0</v>
      </c>
      <c r="BL109">
        <v>4.0</v>
      </c>
      <c r="BM109" t="s">
        <v>2850</v>
      </c>
      <c r="BN109">
        <v>2.0</v>
      </c>
      <c r="BO109">
        <v>6.0</v>
      </c>
      <c r="BP109" t="s">
        <v>2851</v>
      </c>
      <c r="BQ109" t="s">
        <v>2852</v>
      </c>
      <c r="BR109" t="s">
        <v>2853</v>
      </c>
      <c r="BS109" t="s">
        <v>2854</v>
      </c>
      <c r="BU109" t="s">
        <v>2855</v>
      </c>
      <c r="BV109" s="3" t="s">
        <v>2856</v>
      </c>
      <c r="BW109" t="b">
        <v>1</v>
      </c>
      <c r="BX109" t="s">
        <v>1394</v>
      </c>
      <c r="BY109" t="s">
        <v>140</v>
      </c>
      <c r="CA109" t="s">
        <v>1395</v>
      </c>
      <c r="CD109">
        <v>0.0</v>
      </c>
      <c r="CF109" t="b">
        <v>1</v>
      </c>
      <c r="CG109" t="b">
        <v>1</v>
      </c>
      <c r="CH109" t="s">
        <v>2857</v>
      </c>
      <c r="CJ109" t="b">
        <v>1</v>
      </c>
      <c r="CK109" t="b">
        <v>1</v>
      </c>
      <c r="CL109" t="s">
        <v>163</v>
      </c>
      <c r="CN109" t="s">
        <v>2858</v>
      </c>
      <c r="CO109" t="s">
        <v>124</v>
      </c>
      <c r="CR109" t="b">
        <v>1</v>
      </c>
      <c r="CT109">
        <v>3.0</v>
      </c>
      <c r="CU109">
        <v>2.0</v>
      </c>
      <c r="CX109" t="s">
        <v>2859</v>
      </c>
      <c r="CZ109" s="5">
        <v>44249.10422453703</v>
      </c>
      <c r="DA109" t="s">
        <v>2860</v>
      </c>
    </row>
    <row r="110">
      <c r="A110" t="s">
        <v>98</v>
      </c>
      <c r="D110" t="s">
        <v>2861</v>
      </c>
      <c r="E110" t="s">
        <v>2862</v>
      </c>
      <c r="F110" s="2">
        <v>37720.0</v>
      </c>
      <c r="G110" t="s">
        <v>1360</v>
      </c>
      <c r="I110" s="3" t="s">
        <v>2863</v>
      </c>
      <c r="J110" t="s">
        <v>2864</v>
      </c>
      <c r="K110" t="b">
        <v>1</v>
      </c>
      <c r="L110" s="4" t="s">
        <v>2865</v>
      </c>
      <c r="M110" t="s">
        <v>2866</v>
      </c>
      <c r="N110" t="s">
        <v>255</v>
      </c>
      <c r="O110" t="s">
        <v>2867</v>
      </c>
      <c r="P110" t="s">
        <v>2868</v>
      </c>
      <c r="Q110" t="s">
        <v>152</v>
      </c>
      <c r="R110" t="s">
        <v>2869</v>
      </c>
      <c r="S110" t="s">
        <v>2866</v>
      </c>
      <c r="T110" s="4" t="s">
        <v>2870</v>
      </c>
      <c r="U110" t="s">
        <v>2871</v>
      </c>
      <c r="V110" t="s">
        <v>2872</v>
      </c>
      <c r="W110" t="s">
        <v>1412</v>
      </c>
      <c r="Y110" t="s">
        <v>158</v>
      </c>
      <c r="Z110" t="s">
        <v>262</v>
      </c>
      <c r="AC110" s="3" t="s">
        <v>2873</v>
      </c>
      <c r="AD110" t="s">
        <v>118</v>
      </c>
      <c r="AE110" t="s">
        <v>729</v>
      </c>
      <c r="AF110" t="s">
        <v>2874</v>
      </c>
      <c r="AG110">
        <v>8.0</v>
      </c>
      <c r="AH110" s="4" t="s">
        <v>2875</v>
      </c>
      <c r="AI110" t="s">
        <v>162</v>
      </c>
      <c r="AK110" t="s">
        <v>2876</v>
      </c>
      <c r="AL110" t="s">
        <v>2877</v>
      </c>
      <c r="AO110" t="s">
        <v>125</v>
      </c>
      <c r="AP110">
        <v>5.0</v>
      </c>
      <c r="AQ110" t="s">
        <v>1520</v>
      </c>
      <c r="AR110" t="s">
        <v>2878</v>
      </c>
      <c r="AS110" t="b">
        <v>1</v>
      </c>
      <c r="AT110" t="b">
        <v>1</v>
      </c>
      <c r="AV110">
        <v>3.0</v>
      </c>
      <c r="AW110" t="b">
        <v>1</v>
      </c>
      <c r="AX110" t="s">
        <v>1902</v>
      </c>
      <c r="AY110" s="4" t="s">
        <v>518</v>
      </c>
      <c r="AZ110" t="b">
        <v>1</v>
      </c>
      <c r="BA110" t="b">
        <v>1</v>
      </c>
      <c r="BB110" t="b">
        <v>1</v>
      </c>
      <c r="BC110" t="s">
        <v>2879</v>
      </c>
      <c r="BH110" t="s">
        <v>132</v>
      </c>
      <c r="BI110">
        <v>3.0</v>
      </c>
      <c r="BJ110" t="s">
        <v>2880</v>
      </c>
      <c r="BK110">
        <v>2.0</v>
      </c>
      <c r="BL110">
        <v>3.0</v>
      </c>
      <c r="BM110" t="s">
        <v>2881</v>
      </c>
      <c r="BN110">
        <v>3.0</v>
      </c>
      <c r="BO110">
        <v>3.0</v>
      </c>
      <c r="BP110" t="s">
        <v>2882</v>
      </c>
      <c r="BQ110" t="s">
        <v>1931</v>
      </c>
      <c r="BR110" t="s">
        <v>2883</v>
      </c>
      <c r="BS110" t="s">
        <v>2884</v>
      </c>
      <c r="BU110" t="s">
        <v>2885</v>
      </c>
      <c r="BV110" s="3" t="s">
        <v>2886</v>
      </c>
      <c r="BW110" t="b">
        <v>1</v>
      </c>
      <c r="BX110" t="s">
        <v>1394</v>
      </c>
      <c r="BY110" t="s">
        <v>140</v>
      </c>
      <c r="CA110" t="s">
        <v>1395</v>
      </c>
      <c r="CD110">
        <v>0.0</v>
      </c>
      <c r="CF110" t="b">
        <v>1</v>
      </c>
      <c r="CG110" t="b">
        <v>1</v>
      </c>
      <c r="CH110" t="s">
        <v>2887</v>
      </c>
      <c r="CJ110" t="b">
        <v>1</v>
      </c>
      <c r="CK110" t="b">
        <v>1</v>
      </c>
      <c r="CL110" t="s">
        <v>619</v>
      </c>
      <c r="CO110" t="s">
        <v>2888</v>
      </c>
      <c r="CR110" t="b">
        <v>1</v>
      </c>
      <c r="CT110">
        <v>3.0</v>
      </c>
      <c r="CU110">
        <v>0.0</v>
      </c>
      <c r="CX110" s="4" t="s">
        <v>2889</v>
      </c>
      <c r="CZ110" s="5">
        <v>44249.95925925926</v>
      </c>
      <c r="DA110" t="s">
        <v>2890</v>
      </c>
    </row>
    <row r="111">
      <c r="A111" t="s">
        <v>98</v>
      </c>
      <c r="D111" t="s">
        <v>2891</v>
      </c>
      <c r="E111" t="s">
        <v>2892</v>
      </c>
      <c r="F111" s="2">
        <v>38154.0</v>
      </c>
      <c r="G111" t="s">
        <v>1466</v>
      </c>
      <c r="I111" s="3" t="s">
        <v>2893</v>
      </c>
      <c r="J111" t="s">
        <v>2894</v>
      </c>
      <c r="K111" t="b">
        <v>1</v>
      </c>
      <c r="L111" s="4" t="s">
        <v>2895</v>
      </c>
      <c r="M111" t="s">
        <v>2896</v>
      </c>
      <c r="N111" t="s">
        <v>255</v>
      </c>
      <c r="O111" t="s">
        <v>2897</v>
      </c>
      <c r="P111" t="s">
        <v>2898</v>
      </c>
      <c r="Q111" t="s">
        <v>189</v>
      </c>
      <c r="R111" t="s">
        <v>2899</v>
      </c>
      <c r="S111" t="s">
        <v>2900</v>
      </c>
      <c r="T111" s="4" t="s">
        <v>2901</v>
      </c>
      <c r="U111" t="s">
        <v>2380</v>
      </c>
      <c r="V111" t="s">
        <v>2902</v>
      </c>
      <c r="W111" t="s">
        <v>2290</v>
      </c>
      <c r="Y111" t="s">
        <v>158</v>
      </c>
      <c r="Z111" t="s">
        <v>262</v>
      </c>
      <c r="AC111" s="3" t="s">
        <v>2903</v>
      </c>
      <c r="AD111" t="s">
        <v>118</v>
      </c>
      <c r="AE111" t="s">
        <v>729</v>
      </c>
      <c r="AF111" t="s">
        <v>2904</v>
      </c>
      <c r="AG111">
        <v>15.0</v>
      </c>
      <c r="AH111" t="s">
        <v>2905</v>
      </c>
      <c r="AI111" t="s">
        <v>162</v>
      </c>
      <c r="AK111" t="s">
        <v>2516</v>
      </c>
      <c r="AL111" t="s">
        <v>621</v>
      </c>
      <c r="AO111" t="s">
        <v>335</v>
      </c>
      <c r="AP111">
        <v>5.0</v>
      </c>
      <c r="AQ111" t="s">
        <v>2240</v>
      </c>
      <c r="AR111" t="s">
        <v>2906</v>
      </c>
      <c r="AS111" t="b">
        <v>1</v>
      </c>
      <c r="AT111" t="b">
        <v>0</v>
      </c>
      <c r="AV111">
        <v>5.0</v>
      </c>
      <c r="AW111" t="b">
        <v>0</v>
      </c>
      <c r="AZ111" t="b">
        <v>1</v>
      </c>
      <c r="BA111" t="b">
        <v>0</v>
      </c>
      <c r="BD111" t="s">
        <v>2907</v>
      </c>
      <c r="BH111" t="s">
        <v>132</v>
      </c>
      <c r="BI111">
        <v>2.0</v>
      </c>
      <c r="BJ111" s="4" t="s">
        <v>130</v>
      </c>
      <c r="BK111">
        <v>1.0</v>
      </c>
      <c r="BL111">
        <v>7.0</v>
      </c>
      <c r="BM111" t="s">
        <v>2908</v>
      </c>
      <c r="BN111">
        <v>5.0</v>
      </c>
      <c r="BO111">
        <v>7.0</v>
      </c>
      <c r="BP111" t="s">
        <v>2909</v>
      </c>
      <c r="BQ111" t="s">
        <v>1050</v>
      </c>
      <c r="BR111" t="s">
        <v>2910</v>
      </c>
      <c r="BS111" t="s">
        <v>2911</v>
      </c>
      <c r="BU111" t="s">
        <v>2912</v>
      </c>
      <c r="BV111" s="3" t="s">
        <v>2913</v>
      </c>
      <c r="BW111" t="b">
        <v>1</v>
      </c>
      <c r="BX111" t="s">
        <v>1394</v>
      </c>
      <c r="BY111" t="s">
        <v>140</v>
      </c>
      <c r="CA111" t="s">
        <v>1395</v>
      </c>
      <c r="CD111">
        <v>0.0</v>
      </c>
      <c r="CF111" t="b">
        <v>1</v>
      </c>
      <c r="CG111" t="b">
        <v>1</v>
      </c>
      <c r="CH111" t="s">
        <v>168</v>
      </c>
      <c r="CJ111" t="b">
        <v>1</v>
      </c>
      <c r="CK111" t="b">
        <v>1</v>
      </c>
      <c r="CL111" t="s">
        <v>2301</v>
      </c>
      <c r="CM111" t="s">
        <v>198</v>
      </c>
      <c r="CO111" t="s">
        <v>200</v>
      </c>
      <c r="CQ111" t="s">
        <v>198</v>
      </c>
      <c r="CR111" t="b">
        <v>1</v>
      </c>
      <c r="CT111">
        <v>2.0</v>
      </c>
      <c r="CU111">
        <v>3.0</v>
      </c>
      <c r="CX111" s="4" t="s">
        <v>2914</v>
      </c>
      <c r="CZ111" s="5">
        <v>44250.83880787037</v>
      </c>
      <c r="DA111" t="s">
        <v>2915</v>
      </c>
    </row>
    <row r="112">
      <c r="A112" t="s">
        <v>98</v>
      </c>
      <c r="D112" t="s">
        <v>2916</v>
      </c>
      <c r="E112" t="s">
        <v>2917</v>
      </c>
      <c r="F112" s="2">
        <v>38218.0</v>
      </c>
      <c r="G112" t="s">
        <v>1360</v>
      </c>
      <c r="I112" s="3" t="s">
        <v>2918</v>
      </c>
      <c r="J112" t="s">
        <v>2919</v>
      </c>
      <c r="K112" t="b">
        <v>1</v>
      </c>
      <c r="L112" s="4" t="s">
        <v>2920</v>
      </c>
      <c r="M112" t="s">
        <v>2921</v>
      </c>
      <c r="N112" t="s">
        <v>105</v>
      </c>
      <c r="O112" t="s">
        <v>2922</v>
      </c>
      <c r="P112" t="s">
        <v>2923</v>
      </c>
      <c r="Q112" t="s">
        <v>189</v>
      </c>
      <c r="R112" t="s">
        <v>2924</v>
      </c>
      <c r="S112" t="s">
        <v>2925</v>
      </c>
      <c r="T112" s="4" t="s">
        <v>2926</v>
      </c>
      <c r="U112" t="s">
        <v>2313</v>
      </c>
      <c r="V112" t="s">
        <v>2927</v>
      </c>
      <c r="W112" t="s">
        <v>261</v>
      </c>
      <c r="Y112" t="s">
        <v>158</v>
      </c>
      <c r="Z112" t="s">
        <v>262</v>
      </c>
      <c r="AC112" s="3" t="s">
        <v>2928</v>
      </c>
      <c r="AD112" t="s">
        <v>118</v>
      </c>
      <c r="AE112" t="s">
        <v>729</v>
      </c>
      <c r="AF112" t="s">
        <v>2929</v>
      </c>
      <c r="AG112">
        <v>11.0</v>
      </c>
      <c r="AH112" t="s">
        <v>2930</v>
      </c>
      <c r="AI112" t="s">
        <v>162</v>
      </c>
      <c r="AK112" t="s">
        <v>2931</v>
      </c>
      <c r="AL112" t="s">
        <v>2932</v>
      </c>
      <c r="AO112" t="s">
        <v>125</v>
      </c>
      <c r="AP112">
        <v>6.0</v>
      </c>
      <c r="AQ112" t="s">
        <v>201</v>
      </c>
      <c r="AR112" t="s">
        <v>813</v>
      </c>
      <c r="AS112" t="b">
        <v>1</v>
      </c>
      <c r="AT112" t="b">
        <v>1</v>
      </c>
      <c r="AV112">
        <v>7.0</v>
      </c>
      <c r="AW112" t="b">
        <v>0</v>
      </c>
      <c r="AZ112" t="b">
        <v>0</v>
      </c>
      <c r="BA112" t="b">
        <v>0</v>
      </c>
      <c r="BD112" t="s">
        <v>2933</v>
      </c>
      <c r="BH112" t="s">
        <v>132</v>
      </c>
      <c r="BI112">
        <v>4.0</v>
      </c>
      <c r="BJ112" t="s">
        <v>2934</v>
      </c>
      <c r="BK112">
        <v>6.0</v>
      </c>
      <c r="BL112">
        <v>7.0</v>
      </c>
      <c r="BM112" t="s">
        <v>2935</v>
      </c>
      <c r="BN112">
        <v>5.0</v>
      </c>
      <c r="BO112">
        <v>7.0</v>
      </c>
      <c r="BP112" t="s">
        <v>2936</v>
      </c>
      <c r="BQ112" t="s">
        <v>916</v>
      </c>
      <c r="BR112" t="s">
        <v>2937</v>
      </c>
      <c r="BS112" t="s">
        <v>2938</v>
      </c>
      <c r="BU112" t="s">
        <v>2939</v>
      </c>
      <c r="BV112" s="3" t="s">
        <v>2940</v>
      </c>
      <c r="BW112" t="b">
        <v>1</v>
      </c>
      <c r="BX112" t="s">
        <v>1394</v>
      </c>
      <c r="BY112" t="s">
        <v>140</v>
      </c>
      <c r="CA112" t="s">
        <v>1395</v>
      </c>
      <c r="CD112">
        <v>0.0</v>
      </c>
      <c r="CF112" t="b">
        <v>1</v>
      </c>
      <c r="CG112" t="b">
        <v>1</v>
      </c>
      <c r="CH112" t="s">
        <v>366</v>
      </c>
      <c r="CJ112" t="b">
        <v>1</v>
      </c>
      <c r="CK112" t="b">
        <v>1</v>
      </c>
      <c r="CL112" t="s">
        <v>636</v>
      </c>
      <c r="CO112" t="s">
        <v>124</v>
      </c>
      <c r="CR112" t="b">
        <v>1</v>
      </c>
      <c r="CT112">
        <v>2.0</v>
      </c>
      <c r="CU112">
        <v>0.0</v>
      </c>
      <c r="CX112" t="s">
        <v>2941</v>
      </c>
      <c r="CZ112" s="5">
        <v>44251.79549768518</v>
      </c>
      <c r="DA112" t="s">
        <v>2942</v>
      </c>
    </row>
    <row r="113">
      <c r="A113" t="s">
        <v>98</v>
      </c>
      <c r="D113" t="s">
        <v>2943</v>
      </c>
      <c r="E113" t="s">
        <v>2944</v>
      </c>
      <c r="F113" s="2">
        <v>37375.0</v>
      </c>
      <c r="G113" t="s">
        <v>1466</v>
      </c>
      <c r="I113" s="3" t="s">
        <v>2945</v>
      </c>
      <c r="J113" t="s">
        <v>2946</v>
      </c>
      <c r="K113" t="b">
        <v>1</v>
      </c>
      <c r="L113" s="4" t="s">
        <v>2947</v>
      </c>
      <c r="M113" t="s">
        <v>2948</v>
      </c>
      <c r="N113" t="s">
        <v>149</v>
      </c>
      <c r="O113" t="s">
        <v>2949</v>
      </c>
      <c r="P113" t="s">
        <v>2950</v>
      </c>
      <c r="Q113" t="s">
        <v>292</v>
      </c>
      <c r="R113" t="s">
        <v>2951</v>
      </c>
      <c r="S113" t="s">
        <v>2952</v>
      </c>
      <c r="T113" s="4" t="s">
        <v>2953</v>
      </c>
      <c r="U113" t="s">
        <v>2954</v>
      </c>
      <c r="V113" t="s">
        <v>2955</v>
      </c>
      <c r="W113" t="s">
        <v>2290</v>
      </c>
      <c r="Y113" t="s">
        <v>158</v>
      </c>
      <c r="Z113" t="s">
        <v>262</v>
      </c>
      <c r="AC113" s="3" t="s">
        <v>2956</v>
      </c>
      <c r="AD113" t="s">
        <v>118</v>
      </c>
      <c r="AE113" t="s">
        <v>729</v>
      </c>
      <c r="AF113" t="s">
        <v>2957</v>
      </c>
      <c r="AG113">
        <v>17.0</v>
      </c>
      <c r="AH113" t="s">
        <v>2958</v>
      </c>
      <c r="AI113" t="s">
        <v>205</v>
      </c>
      <c r="AK113" t="s">
        <v>179</v>
      </c>
      <c r="AL113" t="s">
        <v>2959</v>
      </c>
      <c r="AO113" t="s">
        <v>125</v>
      </c>
      <c r="AP113">
        <v>4.0</v>
      </c>
      <c r="AQ113" t="s">
        <v>126</v>
      </c>
      <c r="AR113" t="s">
        <v>2625</v>
      </c>
      <c r="AS113" t="b">
        <v>0</v>
      </c>
      <c r="AV113">
        <v>5.0</v>
      </c>
      <c r="AW113" t="b">
        <v>0</v>
      </c>
      <c r="AZ113" t="b">
        <v>0</v>
      </c>
      <c r="BA113" t="b">
        <v>1</v>
      </c>
      <c r="BB113" t="b">
        <v>1</v>
      </c>
      <c r="BC113" t="s">
        <v>2960</v>
      </c>
      <c r="BH113" t="s">
        <v>132</v>
      </c>
      <c r="BI113">
        <v>2.0</v>
      </c>
      <c r="BJ113" t="s">
        <v>2961</v>
      </c>
      <c r="BK113">
        <v>1.0</v>
      </c>
      <c r="BL113">
        <v>4.0</v>
      </c>
      <c r="BM113" t="s">
        <v>2962</v>
      </c>
      <c r="BN113">
        <v>5.0</v>
      </c>
      <c r="BO113">
        <v>7.0</v>
      </c>
      <c r="BP113" t="s">
        <v>2963</v>
      </c>
      <c r="BQ113" t="s">
        <v>2964</v>
      </c>
      <c r="BR113" t="s">
        <v>2965</v>
      </c>
      <c r="BS113" t="s">
        <v>2966</v>
      </c>
      <c r="BU113" t="s">
        <v>2967</v>
      </c>
      <c r="BV113" s="3" t="s">
        <v>2968</v>
      </c>
      <c r="BW113" t="b">
        <v>1</v>
      </c>
      <c r="BX113" t="s">
        <v>1394</v>
      </c>
      <c r="BY113" t="s">
        <v>140</v>
      </c>
      <c r="CA113" t="s">
        <v>1395</v>
      </c>
      <c r="CD113">
        <v>0.0</v>
      </c>
      <c r="CF113" t="b">
        <v>1</v>
      </c>
      <c r="CG113" t="b">
        <v>1</v>
      </c>
      <c r="CH113" t="s">
        <v>2969</v>
      </c>
      <c r="CJ113" t="b">
        <v>0</v>
      </c>
      <c r="CK113" t="b">
        <v>1</v>
      </c>
      <c r="CL113" t="s">
        <v>362</v>
      </c>
      <c r="CM113" t="s">
        <v>362</v>
      </c>
      <c r="CO113" t="s">
        <v>2325</v>
      </c>
      <c r="CQ113" t="s">
        <v>362</v>
      </c>
      <c r="CR113" t="b">
        <v>1</v>
      </c>
      <c r="CT113">
        <v>1.0</v>
      </c>
      <c r="CU113">
        <v>1.0</v>
      </c>
      <c r="CX113" s="4" t="s">
        <v>2970</v>
      </c>
      <c r="CZ113" s="5">
        <v>44252.77211805555</v>
      </c>
      <c r="DA113" t="s">
        <v>2971</v>
      </c>
    </row>
    <row r="114">
      <c r="A114" t="s">
        <v>98</v>
      </c>
      <c r="D114" t="s">
        <v>2972</v>
      </c>
      <c r="E114" t="s">
        <v>2973</v>
      </c>
      <c r="F114" s="2">
        <v>37868.0</v>
      </c>
      <c r="G114" t="s">
        <v>1360</v>
      </c>
      <c r="I114" s="3" t="s">
        <v>2974</v>
      </c>
      <c r="J114" t="s">
        <v>2975</v>
      </c>
      <c r="K114" t="b">
        <v>1</v>
      </c>
      <c r="L114" s="4" t="s">
        <v>2976</v>
      </c>
      <c r="M114" t="s">
        <v>2977</v>
      </c>
      <c r="N114" t="s">
        <v>105</v>
      </c>
      <c r="O114" t="s">
        <v>309</v>
      </c>
      <c r="P114" t="s">
        <v>2978</v>
      </c>
      <c r="Q114" t="s">
        <v>152</v>
      </c>
      <c r="R114" t="s">
        <v>2979</v>
      </c>
      <c r="S114" t="s">
        <v>2977</v>
      </c>
      <c r="T114" s="4" t="s">
        <v>2980</v>
      </c>
      <c r="U114" t="s">
        <v>2981</v>
      </c>
      <c r="V114" t="s">
        <v>2381</v>
      </c>
      <c r="W114" t="s">
        <v>2290</v>
      </c>
      <c r="Y114" t="s">
        <v>158</v>
      </c>
      <c r="Z114" t="s">
        <v>262</v>
      </c>
      <c r="AC114" s="3" t="s">
        <v>2982</v>
      </c>
      <c r="AD114" t="s">
        <v>118</v>
      </c>
      <c r="AE114" t="s">
        <v>729</v>
      </c>
      <c r="AF114" t="s">
        <v>2983</v>
      </c>
      <c r="AG114">
        <v>16.0</v>
      </c>
      <c r="AH114" t="s">
        <v>205</v>
      </c>
      <c r="AI114" t="s">
        <v>162</v>
      </c>
      <c r="AK114" t="s">
        <v>139</v>
      </c>
      <c r="AL114" t="s">
        <v>2984</v>
      </c>
      <c r="AO114" t="s">
        <v>486</v>
      </c>
      <c r="AP114">
        <v>7.0</v>
      </c>
      <c r="AQ114" t="s">
        <v>126</v>
      </c>
      <c r="AR114" t="s">
        <v>2985</v>
      </c>
      <c r="AS114" t="b">
        <v>1</v>
      </c>
      <c r="AT114" t="b">
        <v>0</v>
      </c>
      <c r="AV114">
        <v>4.0</v>
      </c>
      <c r="AW114" t="b">
        <v>0</v>
      </c>
      <c r="AZ114" t="b">
        <v>0</v>
      </c>
      <c r="BA114" t="b">
        <v>0</v>
      </c>
      <c r="BD114" t="s">
        <v>2986</v>
      </c>
      <c r="BH114" t="s">
        <v>132</v>
      </c>
      <c r="BI114">
        <v>1.0</v>
      </c>
      <c r="BJ114" t="s">
        <v>2987</v>
      </c>
      <c r="BK114">
        <v>3.0</v>
      </c>
      <c r="BL114">
        <v>4.0</v>
      </c>
      <c r="BM114" t="s">
        <v>2988</v>
      </c>
      <c r="BN114">
        <v>2.0</v>
      </c>
      <c r="BO114">
        <v>5.0</v>
      </c>
      <c r="BP114" t="s">
        <v>2989</v>
      </c>
      <c r="BQ114" t="s">
        <v>916</v>
      </c>
      <c r="BR114" t="s">
        <v>2990</v>
      </c>
      <c r="BS114" t="s">
        <v>2991</v>
      </c>
      <c r="BU114" t="s">
        <v>2992</v>
      </c>
      <c r="BV114" s="3" t="s">
        <v>2993</v>
      </c>
      <c r="BW114" t="b">
        <v>1</v>
      </c>
      <c r="BX114" t="s">
        <v>1394</v>
      </c>
      <c r="BY114" t="s">
        <v>140</v>
      </c>
      <c r="CA114" t="s">
        <v>1395</v>
      </c>
      <c r="CD114">
        <v>0.0</v>
      </c>
      <c r="CF114" t="b">
        <v>1</v>
      </c>
      <c r="CG114" t="b">
        <v>0</v>
      </c>
      <c r="CH114" t="s">
        <v>2994</v>
      </c>
      <c r="CJ114" t="b">
        <v>1</v>
      </c>
      <c r="CK114" t="b">
        <v>0</v>
      </c>
      <c r="CL114" t="s">
        <v>198</v>
      </c>
      <c r="CM114" t="s">
        <v>198</v>
      </c>
      <c r="CO114" t="s">
        <v>200</v>
      </c>
      <c r="CQ114" t="s">
        <v>198</v>
      </c>
      <c r="CR114" t="b">
        <v>1</v>
      </c>
      <c r="CT114">
        <v>0.0</v>
      </c>
      <c r="CU114">
        <v>0.0</v>
      </c>
      <c r="CX114" s="4" t="s">
        <v>2995</v>
      </c>
      <c r="CZ114" s="5">
        <v>44252.84025462963</v>
      </c>
      <c r="DA114" t="s">
        <v>2996</v>
      </c>
    </row>
    <row r="115">
      <c r="A115" t="s">
        <v>98</v>
      </c>
      <c r="D115" t="s">
        <v>2997</v>
      </c>
      <c r="E115" t="s">
        <v>2998</v>
      </c>
      <c r="F115" s="2">
        <v>38385.0</v>
      </c>
      <c r="G115" t="s">
        <v>1466</v>
      </c>
      <c r="I115" s="3" t="s">
        <v>2999</v>
      </c>
      <c r="J115" t="s">
        <v>3000</v>
      </c>
      <c r="K115" t="b">
        <v>1</v>
      </c>
      <c r="L115" s="4" t="s">
        <v>3001</v>
      </c>
      <c r="M115" t="s">
        <v>3002</v>
      </c>
      <c r="N115" t="s">
        <v>105</v>
      </c>
      <c r="P115" t="s">
        <v>3003</v>
      </c>
      <c r="Q115" t="s">
        <v>189</v>
      </c>
      <c r="R115" t="s">
        <v>3004</v>
      </c>
      <c r="S115" t="s">
        <v>3005</v>
      </c>
      <c r="T115" s="4" t="s">
        <v>3006</v>
      </c>
      <c r="U115" t="s">
        <v>2380</v>
      </c>
      <c r="V115" t="s">
        <v>2381</v>
      </c>
      <c r="W115" t="s">
        <v>2290</v>
      </c>
      <c r="Y115" t="s">
        <v>158</v>
      </c>
      <c r="Z115" t="s">
        <v>195</v>
      </c>
      <c r="AC115" s="3" t="s">
        <v>3007</v>
      </c>
      <c r="AD115" t="s">
        <v>118</v>
      </c>
      <c r="AE115" t="s">
        <v>1220</v>
      </c>
      <c r="AI115" t="s">
        <v>121</v>
      </c>
      <c r="AK115" t="s">
        <v>3008</v>
      </c>
      <c r="AL115" t="s">
        <v>3009</v>
      </c>
      <c r="AO115" t="s">
        <v>125</v>
      </c>
      <c r="AP115">
        <v>7.0</v>
      </c>
      <c r="AQ115" t="s">
        <v>303</v>
      </c>
      <c r="AR115" t="s">
        <v>3010</v>
      </c>
      <c r="AS115" t="b">
        <v>1</v>
      </c>
      <c r="AT115" t="b">
        <v>0</v>
      </c>
      <c r="AV115">
        <v>7.0</v>
      </c>
      <c r="AW115" t="b">
        <v>1</v>
      </c>
      <c r="AX115" t="s">
        <v>1902</v>
      </c>
      <c r="AY115" t="s">
        <v>2597</v>
      </c>
      <c r="AZ115" t="b">
        <v>0</v>
      </c>
      <c r="BA115" t="b">
        <v>0</v>
      </c>
      <c r="BD115" t="s">
        <v>3010</v>
      </c>
      <c r="BH115" t="s">
        <v>132</v>
      </c>
      <c r="BI115">
        <v>1.0</v>
      </c>
      <c r="BJ115" t="s">
        <v>205</v>
      </c>
      <c r="BK115">
        <v>4.0</v>
      </c>
      <c r="BL115">
        <v>5.0</v>
      </c>
      <c r="BM115" t="s">
        <v>3011</v>
      </c>
      <c r="BN115">
        <v>4.0</v>
      </c>
      <c r="BO115">
        <v>5.0</v>
      </c>
      <c r="BP115" t="s">
        <v>3012</v>
      </c>
      <c r="BQ115" t="s">
        <v>3013</v>
      </c>
      <c r="BR115" t="s">
        <v>3014</v>
      </c>
      <c r="BS115" t="s">
        <v>3015</v>
      </c>
      <c r="BU115" t="s">
        <v>3016</v>
      </c>
      <c r="BV115" s="3" t="s">
        <v>3017</v>
      </c>
      <c r="BW115" t="b">
        <v>1</v>
      </c>
      <c r="BX115" t="s">
        <v>1394</v>
      </c>
      <c r="BY115" t="s">
        <v>140</v>
      </c>
      <c r="CA115" t="s">
        <v>1395</v>
      </c>
      <c r="CD115">
        <v>0.0</v>
      </c>
      <c r="CF115" t="b">
        <v>1</v>
      </c>
      <c r="CG115" t="b">
        <v>1</v>
      </c>
      <c r="CH115" t="s">
        <v>168</v>
      </c>
      <c r="CJ115" t="b">
        <v>1</v>
      </c>
      <c r="CK115" t="b">
        <v>1</v>
      </c>
      <c r="CL115" t="s">
        <v>541</v>
      </c>
      <c r="CM115" t="s">
        <v>541</v>
      </c>
      <c r="CO115" t="s">
        <v>200</v>
      </c>
      <c r="CQ115" t="s">
        <v>541</v>
      </c>
      <c r="CR115" t="b">
        <v>1</v>
      </c>
      <c r="CT115">
        <v>0.0</v>
      </c>
      <c r="CU115">
        <v>0.0</v>
      </c>
      <c r="CX115" t="s">
        <v>3018</v>
      </c>
      <c r="CZ115" s="5">
        <v>44252.85498842593</v>
      </c>
      <c r="DA115" t="s">
        <v>3019</v>
      </c>
    </row>
    <row r="116">
      <c r="A116" t="s">
        <v>98</v>
      </c>
      <c r="D116" t="s">
        <v>3020</v>
      </c>
      <c r="E116" t="s">
        <v>3021</v>
      </c>
      <c r="F116" s="2">
        <v>37734.0</v>
      </c>
      <c r="G116" t="s">
        <v>1360</v>
      </c>
      <c r="I116" s="3" t="s">
        <v>3022</v>
      </c>
      <c r="J116" t="s">
        <v>3023</v>
      </c>
      <c r="K116" t="b">
        <v>1</v>
      </c>
      <c r="L116" s="4" t="s">
        <v>3024</v>
      </c>
      <c r="M116" t="s">
        <v>3025</v>
      </c>
      <c r="N116" t="s">
        <v>149</v>
      </c>
      <c r="P116" t="s">
        <v>3026</v>
      </c>
      <c r="Q116" t="s">
        <v>189</v>
      </c>
      <c r="R116" t="s">
        <v>3023</v>
      </c>
      <c r="S116" t="s">
        <v>3025</v>
      </c>
      <c r="T116" s="4" t="s">
        <v>3027</v>
      </c>
      <c r="U116" t="s">
        <v>3028</v>
      </c>
      <c r="V116" t="s">
        <v>2407</v>
      </c>
      <c r="W116" t="s">
        <v>261</v>
      </c>
      <c r="Y116" t="s">
        <v>158</v>
      </c>
      <c r="Z116" t="s">
        <v>159</v>
      </c>
      <c r="AC116" s="3" t="s">
        <v>3029</v>
      </c>
      <c r="AD116" t="s">
        <v>118</v>
      </c>
      <c r="AE116" t="s">
        <v>729</v>
      </c>
      <c r="AF116" t="s">
        <v>3030</v>
      </c>
      <c r="AG116">
        <v>12.0</v>
      </c>
      <c r="AH116" s="4" t="s">
        <v>547</v>
      </c>
      <c r="AI116" t="s">
        <v>162</v>
      </c>
      <c r="AL116" t="s">
        <v>3031</v>
      </c>
      <c r="AO116" t="s">
        <v>335</v>
      </c>
      <c r="AP116">
        <v>5.0</v>
      </c>
      <c r="AQ116" t="s">
        <v>2240</v>
      </c>
      <c r="AR116" t="s">
        <v>3032</v>
      </c>
      <c r="AS116" t="b">
        <v>1</v>
      </c>
      <c r="AT116" t="b">
        <v>1</v>
      </c>
      <c r="AV116">
        <v>5.0</v>
      </c>
      <c r="AW116" t="b">
        <v>1</v>
      </c>
      <c r="AX116" t="s">
        <v>1902</v>
      </c>
      <c r="AY116" s="4" t="s">
        <v>518</v>
      </c>
      <c r="AZ116" t="b">
        <v>1</v>
      </c>
      <c r="BA116" t="b">
        <v>1</v>
      </c>
      <c r="BB116" t="b">
        <v>0</v>
      </c>
      <c r="BC116" t="s">
        <v>3033</v>
      </c>
      <c r="BH116" t="s">
        <v>132</v>
      </c>
      <c r="BI116">
        <v>6.0</v>
      </c>
      <c r="BJ116" t="s">
        <v>3034</v>
      </c>
      <c r="BK116">
        <v>5.0</v>
      </c>
      <c r="BL116">
        <v>6.0</v>
      </c>
      <c r="BM116" t="s">
        <v>205</v>
      </c>
      <c r="BN116">
        <v>4.0</v>
      </c>
      <c r="BO116">
        <v>6.0</v>
      </c>
      <c r="BP116" t="s">
        <v>3035</v>
      </c>
      <c r="BQ116" t="s">
        <v>3036</v>
      </c>
      <c r="BR116" t="s">
        <v>3037</v>
      </c>
      <c r="BS116" t="s">
        <v>3038</v>
      </c>
      <c r="BU116" t="s">
        <v>3039</v>
      </c>
      <c r="BV116" s="3" t="s">
        <v>3040</v>
      </c>
      <c r="BW116" t="b">
        <v>1</v>
      </c>
      <c r="BX116" t="s">
        <v>1394</v>
      </c>
      <c r="BY116" t="s">
        <v>140</v>
      </c>
      <c r="CA116" t="s">
        <v>1395</v>
      </c>
      <c r="CD116">
        <v>0.0</v>
      </c>
      <c r="CF116" t="b">
        <v>0</v>
      </c>
      <c r="CG116" t="b">
        <v>1</v>
      </c>
      <c r="CH116" t="s">
        <v>128</v>
      </c>
      <c r="CJ116" t="b">
        <v>1</v>
      </c>
      <c r="CK116" t="b">
        <v>1</v>
      </c>
      <c r="CL116" t="s">
        <v>2301</v>
      </c>
      <c r="CO116" t="s">
        <v>3041</v>
      </c>
      <c r="CR116" t="b">
        <v>1</v>
      </c>
      <c r="CT116">
        <v>0.0</v>
      </c>
      <c r="CU116">
        <v>0.0</v>
      </c>
      <c r="CX116" s="4" t="s">
        <v>3042</v>
      </c>
      <c r="CZ116" s="5">
        <v>44252.8634375</v>
      </c>
      <c r="DA116" t="s">
        <v>3043</v>
      </c>
    </row>
    <row r="117">
      <c r="A117" t="s">
        <v>98</v>
      </c>
      <c r="D117" t="s">
        <v>3044</v>
      </c>
      <c r="E117" t="s">
        <v>3045</v>
      </c>
      <c r="F117" s="2">
        <v>38079.0</v>
      </c>
      <c r="G117" t="s">
        <v>1360</v>
      </c>
      <c r="I117" s="3" t="s">
        <v>3046</v>
      </c>
      <c r="J117" t="s">
        <v>3047</v>
      </c>
      <c r="K117" t="b">
        <v>1</v>
      </c>
      <c r="L117" s="4" t="s">
        <v>3048</v>
      </c>
      <c r="M117" t="s">
        <v>3049</v>
      </c>
      <c r="N117" t="s">
        <v>105</v>
      </c>
      <c r="O117" t="s">
        <v>3050</v>
      </c>
      <c r="P117" t="s">
        <v>3051</v>
      </c>
      <c r="Q117" t="s">
        <v>189</v>
      </c>
      <c r="R117" t="s">
        <v>3052</v>
      </c>
      <c r="S117" t="s">
        <v>3049</v>
      </c>
      <c r="T117" s="4" t="s">
        <v>3053</v>
      </c>
      <c r="U117" t="s">
        <v>2380</v>
      </c>
      <c r="V117" t="s">
        <v>3054</v>
      </c>
      <c r="W117" t="s">
        <v>2290</v>
      </c>
      <c r="Y117" t="s">
        <v>158</v>
      </c>
      <c r="Z117" t="s">
        <v>262</v>
      </c>
      <c r="AC117" s="3" t="s">
        <v>3055</v>
      </c>
      <c r="AD117" t="s">
        <v>118</v>
      </c>
      <c r="AE117" t="s">
        <v>729</v>
      </c>
      <c r="AF117" t="s">
        <v>3056</v>
      </c>
      <c r="AG117">
        <v>8.0</v>
      </c>
      <c r="AH117" s="4" t="s">
        <v>3057</v>
      </c>
      <c r="AI117" t="s">
        <v>162</v>
      </c>
      <c r="AK117" t="s">
        <v>3058</v>
      </c>
      <c r="AL117" t="s">
        <v>621</v>
      </c>
      <c r="AO117" t="s">
        <v>335</v>
      </c>
      <c r="AP117">
        <v>6.0</v>
      </c>
      <c r="AQ117" t="s">
        <v>2240</v>
      </c>
      <c r="AR117" t="s">
        <v>3059</v>
      </c>
      <c r="AS117" t="b">
        <v>1</v>
      </c>
      <c r="AT117" t="b">
        <v>0</v>
      </c>
      <c r="AV117">
        <v>5.0</v>
      </c>
      <c r="AW117" t="b">
        <v>1</v>
      </c>
      <c r="AX117" t="s">
        <v>1902</v>
      </c>
      <c r="AY117" s="4" t="s">
        <v>518</v>
      </c>
      <c r="AZ117" t="b">
        <v>0</v>
      </c>
      <c r="BA117" t="b">
        <v>0</v>
      </c>
      <c r="BD117" t="s">
        <v>3060</v>
      </c>
      <c r="BH117" t="s">
        <v>132</v>
      </c>
      <c r="BI117">
        <v>4.0</v>
      </c>
      <c r="BJ117" t="s">
        <v>3061</v>
      </c>
      <c r="BK117">
        <v>5.0</v>
      </c>
      <c r="BL117">
        <v>7.0</v>
      </c>
      <c r="BM117" t="s">
        <v>3062</v>
      </c>
      <c r="BN117">
        <v>5.0</v>
      </c>
      <c r="BO117">
        <v>5.0</v>
      </c>
      <c r="BP117" t="s">
        <v>3063</v>
      </c>
      <c r="BQ117" t="s">
        <v>1931</v>
      </c>
      <c r="BR117" t="s">
        <v>3064</v>
      </c>
      <c r="BS117" t="s">
        <v>3065</v>
      </c>
      <c r="BU117" t="s">
        <v>3066</v>
      </c>
      <c r="BV117" s="3" t="s">
        <v>3067</v>
      </c>
      <c r="BW117" t="b">
        <v>1</v>
      </c>
      <c r="BX117" t="s">
        <v>1394</v>
      </c>
      <c r="BY117" t="s">
        <v>140</v>
      </c>
      <c r="CA117" t="s">
        <v>1395</v>
      </c>
      <c r="CD117">
        <v>0.0</v>
      </c>
      <c r="CF117" t="b">
        <v>1</v>
      </c>
      <c r="CG117" t="b">
        <v>1</v>
      </c>
      <c r="CH117" t="s">
        <v>168</v>
      </c>
      <c r="CJ117" t="b">
        <v>1</v>
      </c>
      <c r="CK117" t="b">
        <v>1</v>
      </c>
      <c r="CL117" t="s">
        <v>198</v>
      </c>
      <c r="CO117" t="s">
        <v>200</v>
      </c>
      <c r="CR117" t="b">
        <v>1</v>
      </c>
      <c r="CT117">
        <v>0.0</v>
      </c>
      <c r="CU117">
        <v>0.0</v>
      </c>
      <c r="CX117" t="s">
        <v>709</v>
      </c>
      <c r="CZ117" s="5">
        <v>44252.864016203705</v>
      </c>
      <c r="DA117" t="s">
        <v>3068</v>
      </c>
    </row>
    <row r="118">
      <c r="A118" t="s">
        <v>98</v>
      </c>
      <c r="D118" t="s">
        <v>3069</v>
      </c>
      <c r="E118" t="s">
        <v>3070</v>
      </c>
      <c r="F118" s="2">
        <v>37889.0</v>
      </c>
      <c r="G118" t="s">
        <v>1466</v>
      </c>
      <c r="I118" s="3" t="s">
        <v>3071</v>
      </c>
      <c r="J118" t="s">
        <v>3072</v>
      </c>
      <c r="K118" t="b">
        <v>1</v>
      </c>
      <c r="L118" s="4" t="s">
        <v>3073</v>
      </c>
      <c r="M118" t="s">
        <v>3074</v>
      </c>
      <c r="N118" t="s">
        <v>105</v>
      </c>
      <c r="P118" t="s">
        <v>3075</v>
      </c>
      <c r="Q118" t="s">
        <v>292</v>
      </c>
      <c r="R118" t="s">
        <v>3076</v>
      </c>
      <c r="S118" t="s">
        <v>3074</v>
      </c>
      <c r="T118" s="4" t="s">
        <v>3077</v>
      </c>
      <c r="U118" t="s">
        <v>3078</v>
      </c>
      <c r="V118" t="s">
        <v>3079</v>
      </c>
      <c r="W118" t="s">
        <v>2290</v>
      </c>
      <c r="Y118" t="s">
        <v>158</v>
      </c>
      <c r="Z118" t="s">
        <v>262</v>
      </c>
      <c r="AC118" s="3" t="s">
        <v>3080</v>
      </c>
      <c r="AD118" t="s">
        <v>118</v>
      </c>
      <c r="AE118" t="s">
        <v>1220</v>
      </c>
      <c r="AI118" t="s">
        <v>121</v>
      </c>
      <c r="AL118" t="s">
        <v>621</v>
      </c>
      <c r="AO118" t="s">
        <v>125</v>
      </c>
      <c r="AP118">
        <v>6.0</v>
      </c>
      <c r="AQ118" t="s">
        <v>2240</v>
      </c>
      <c r="AR118" t="s">
        <v>3081</v>
      </c>
      <c r="AS118" t="b">
        <v>1</v>
      </c>
      <c r="AT118" t="b">
        <v>0</v>
      </c>
      <c r="AV118">
        <v>1.0</v>
      </c>
      <c r="AW118" t="b">
        <v>0</v>
      </c>
      <c r="AZ118" t="b">
        <v>0</v>
      </c>
      <c r="BA118" t="b">
        <v>1</v>
      </c>
      <c r="BB118" t="b">
        <v>0</v>
      </c>
      <c r="BC118" t="s">
        <v>3082</v>
      </c>
      <c r="BH118" t="s">
        <v>132</v>
      </c>
      <c r="BI118">
        <v>1.0</v>
      </c>
      <c r="BJ118" t="s">
        <v>3083</v>
      </c>
      <c r="BK118">
        <v>1.0</v>
      </c>
      <c r="BL118">
        <v>4.0</v>
      </c>
      <c r="BM118" t="s">
        <v>3084</v>
      </c>
      <c r="BN118">
        <v>4.0</v>
      </c>
      <c r="BO118">
        <v>4.0</v>
      </c>
      <c r="BP118" t="s">
        <v>3085</v>
      </c>
      <c r="BQ118" t="s">
        <v>1931</v>
      </c>
      <c r="BR118" t="s">
        <v>3086</v>
      </c>
      <c r="BS118" t="s">
        <v>3087</v>
      </c>
      <c r="BU118" t="s">
        <v>3088</v>
      </c>
      <c r="BV118" s="3" t="s">
        <v>3089</v>
      </c>
      <c r="BW118" t="b">
        <v>1</v>
      </c>
      <c r="BX118" t="s">
        <v>1394</v>
      </c>
      <c r="BY118" t="s">
        <v>140</v>
      </c>
      <c r="CA118" t="s">
        <v>1395</v>
      </c>
      <c r="CD118">
        <v>0.0</v>
      </c>
      <c r="CF118" t="b">
        <v>1</v>
      </c>
      <c r="CG118" t="b">
        <v>0</v>
      </c>
      <c r="CH118" t="s">
        <v>168</v>
      </c>
      <c r="CJ118" t="b">
        <v>0</v>
      </c>
      <c r="CK118" t="b">
        <v>1</v>
      </c>
      <c r="CL118" t="s">
        <v>198</v>
      </c>
      <c r="CM118" t="s">
        <v>198</v>
      </c>
      <c r="CO118" t="s">
        <v>200</v>
      </c>
      <c r="CR118" t="b">
        <v>1</v>
      </c>
      <c r="CT118">
        <v>0.0</v>
      </c>
      <c r="CU118">
        <v>0.0</v>
      </c>
      <c r="CX118" t="s">
        <v>3018</v>
      </c>
      <c r="CZ118" s="5">
        <v>44252.86634259259</v>
      </c>
      <c r="DA118" t="s">
        <v>3090</v>
      </c>
    </row>
    <row r="119">
      <c r="A119" t="s">
        <v>98</v>
      </c>
      <c r="D119" t="s">
        <v>3091</v>
      </c>
      <c r="E119" t="s">
        <v>3092</v>
      </c>
      <c r="F119" s="2">
        <v>37529.0</v>
      </c>
      <c r="G119" t="s">
        <v>1360</v>
      </c>
      <c r="I119" s="3" t="s">
        <v>3093</v>
      </c>
      <c r="J119" t="s">
        <v>3094</v>
      </c>
      <c r="K119" t="b">
        <v>1</v>
      </c>
      <c r="L119" s="4" t="s">
        <v>3095</v>
      </c>
      <c r="M119" t="s">
        <v>3096</v>
      </c>
      <c r="N119" t="s">
        <v>255</v>
      </c>
      <c r="O119" t="s">
        <v>3097</v>
      </c>
      <c r="P119" t="s">
        <v>3098</v>
      </c>
      <c r="Q119" t="s">
        <v>292</v>
      </c>
      <c r="R119" t="s">
        <v>3099</v>
      </c>
      <c r="S119" t="s">
        <v>3096</v>
      </c>
      <c r="T119" s="4" t="s">
        <v>3100</v>
      </c>
      <c r="U119" t="s">
        <v>2313</v>
      </c>
      <c r="V119" t="s">
        <v>3101</v>
      </c>
      <c r="W119" t="s">
        <v>543</v>
      </c>
      <c r="Y119" t="s">
        <v>158</v>
      </c>
      <c r="Z119" t="s">
        <v>159</v>
      </c>
      <c r="AC119" s="3" t="s">
        <v>3102</v>
      </c>
      <c r="AD119" t="s">
        <v>118</v>
      </c>
      <c r="AE119" t="s">
        <v>729</v>
      </c>
      <c r="AF119" t="s">
        <v>3103</v>
      </c>
      <c r="AG119">
        <v>15.0</v>
      </c>
      <c r="AH119" t="s">
        <v>3104</v>
      </c>
      <c r="AI119" t="s">
        <v>386</v>
      </c>
      <c r="AK119" t="s">
        <v>3105</v>
      </c>
      <c r="AL119" t="s">
        <v>3106</v>
      </c>
      <c r="AO119" t="s">
        <v>335</v>
      </c>
      <c r="AP119">
        <v>7.0</v>
      </c>
      <c r="AQ119" t="s">
        <v>126</v>
      </c>
      <c r="AR119" t="s">
        <v>3107</v>
      </c>
      <c r="AS119" t="b">
        <v>1</v>
      </c>
      <c r="AT119" t="b">
        <v>1</v>
      </c>
      <c r="AV119">
        <v>7.0</v>
      </c>
      <c r="AW119" t="b">
        <v>1</v>
      </c>
      <c r="AX119" t="s">
        <v>1902</v>
      </c>
      <c r="AY119" t="s">
        <v>2597</v>
      </c>
      <c r="AZ119" t="b">
        <v>1</v>
      </c>
      <c r="BA119" t="b">
        <v>1</v>
      </c>
      <c r="BB119" t="b">
        <v>0</v>
      </c>
      <c r="BC119" t="s">
        <v>3108</v>
      </c>
      <c r="BH119" t="s">
        <v>132</v>
      </c>
      <c r="BI119">
        <v>7.0</v>
      </c>
      <c r="BJ119" t="s">
        <v>3109</v>
      </c>
      <c r="BK119">
        <v>5.0</v>
      </c>
      <c r="BL119">
        <v>4.0</v>
      </c>
      <c r="BM119" t="s">
        <v>3110</v>
      </c>
      <c r="BN119">
        <v>1.0</v>
      </c>
      <c r="BO119">
        <v>4.0</v>
      </c>
      <c r="BP119" t="s">
        <v>3111</v>
      </c>
      <c r="BQ119" t="s">
        <v>945</v>
      </c>
      <c r="BR119" t="s">
        <v>3112</v>
      </c>
      <c r="BS119" t="s">
        <v>3113</v>
      </c>
      <c r="BU119" t="s">
        <v>3114</v>
      </c>
      <c r="BV119" s="3" t="s">
        <v>3115</v>
      </c>
      <c r="BW119" t="b">
        <v>1</v>
      </c>
      <c r="BX119" t="s">
        <v>1394</v>
      </c>
      <c r="BY119" t="s">
        <v>140</v>
      </c>
      <c r="CA119" t="s">
        <v>1395</v>
      </c>
      <c r="CD119">
        <v>0.0</v>
      </c>
      <c r="CF119" t="b">
        <v>1</v>
      </c>
      <c r="CG119" t="b">
        <v>1</v>
      </c>
      <c r="CH119" t="s">
        <v>3116</v>
      </c>
      <c r="CJ119" t="b">
        <v>1</v>
      </c>
      <c r="CK119" t="b">
        <v>1</v>
      </c>
      <c r="CL119" t="s">
        <v>2301</v>
      </c>
      <c r="CM119" t="s">
        <v>636</v>
      </c>
      <c r="CO119" t="s">
        <v>1635</v>
      </c>
      <c r="CR119" t="b">
        <v>1</v>
      </c>
      <c r="CT119">
        <v>1.0</v>
      </c>
      <c r="CU119">
        <v>0.0</v>
      </c>
      <c r="CX119" t="s">
        <v>3117</v>
      </c>
      <c r="CY119" t="s">
        <v>3118</v>
      </c>
      <c r="CZ119" s="5">
        <v>44252.872245370374</v>
      </c>
      <c r="DA119" t="s">
        <v>3119</v>
      </c>
    </row>
    <row r="120">
      <c r="A120" t="s">
        <v>98</v>
      </c>
      <c r="D120" t="s">
        <v>3120</v>
      </c>
      <c r="E120" t="s">
        <v>3121</v>
      </c>
      <c r="F120" s="2">
        <v>37943.0</v>
      </c>
      <c r="G120" t="s">
        <v>1466</v>
      </c>
      <c r="I120" s="3" t="s">
        <v>3122</v>
      </c>
      <c r="J120" t="s">
        <v>3123</v>
      </c>
      <c r="K120" t="b">
        <v>1</v>
      </c>
      <c r="L120" s="4" t="s">
        <v>3124</v>
      </c>
      <c r="M120" t="s">
        <v>3125</v>
      </c>
      <c r="N120" t="s">
        <v>149</v>
      </c>
      <c r="O120" t="s">
        <v>3126</v>
      </c>
      <c r="P120" t="s">
        <v>3127</v>
      </c>
      <c r="Q120" t="s">
        <v>189</v>
      </c>
      <c r="R120" t="s">
        <v>3128</v>
      </c>
      <c r="S120" t="s">
        <v>3125</v>
      </c>
      <c r="T120" s="4" t="s">
        <v>3129</v>
      </c>
      <c r="U120" t="s">
        <v>2313</v>
      </c>
      <c r="V120" t="s">
        <v>3130</v>
      </c>
      <c r="W120" t="s">
        <v>261</v>
      </c>
      <c r="Y120" t="s">
        <v>158</v>
      </c>
      <c r="Z120" t="s">
        <v>262</v>
      </c>
      <c r="AC120" s="3" t="s">
        <v>3131</v>
      </c>
      <c r="AD120" t="s">
        <v>118</v>
      </c>
      <c r="AE120" t="s">
        <v>729</v>
      </c>
      <c r="AF120" t="s">
        <v>2651</v>
      </c>
      <c r="AG120">
        <v>15.0</v>
      </c>
      <c r="AH120" t="s">
        <v>3132</v>
      </c>
      <c r="AI120" t="s">
        <v>162</v>
      </c>
      <c r="AK120" t="s">
        <v>179</v>
      </c>
      <c r="AL120" t="s">
        <v>967</v>
      </c>
      <c r="AO120" t="s">
        <v>335</v>
      </c>
      <c r="AP120">
        <v>4.0</v>
      </c>
      <c r="AQ120" t="s">
        <v>126</v>
      </c>
      <c r="AR120" t="s">
        <v>840</v>
      </c>
      <c r="AS120" t="b">
        <v>1</v>
      </c>
      <c r="AT120" t="b">
        <v>0</v>
      </c>
      <c r="AV120">
        <v>1.0</v>
      </c>
      <c r="AW120" t="b">
        <v>0</v>
      </c>
      <c r="AZ120" t="b">
        <v>1</v>
      </c>
      <c r="BA120" t="b">
        <v>1</v>
      </c>
      <c r="BB120" t="b">
        <v>0</v>
      </c>
      <c r="BC120" t="s">
        <v>3133</v>
      </c>
      <c r="BH120" t="s">
        <v>132</v>
      </c>
      <c r="BI120">
        <v>2.0</v>
      </c>
      <c r="BJ120" t="s">
        <v>3134</v>
      </c>
      <c r="BK120">
        <v>4.0</v>
      </c>
      <c r="BL120">
        <v>3.0</v>
      </c>
      <c r="BM120" t="s">
        <v>3135</v>
      </c>
      <c r="BN120">
        <v>2.0</v>
      </c>
      <c r="BO120">
        <v>4.0</v>
      </c>
      <c r="BP120" t="s">
        <v>3136</v>
      </c>
      <c r="BQ120" t="s">
        <v>3137</v>
      </c>
      <c r="BR120" t="s">
        <v>3138</v>
      </c>
      <c r="BS120" t="s">
        <v>3139</v>
      </c>
      <c r="BU120" t="s">
        <v>3140</v>
      </c>
      <c r="BV120" s="3" t="s">
        <v>3141</v>
      </c>
      <c r="BW120" t="b">
        <v>1</v>
      </c>
      <c r="BX120" t="s">
        <v>1394</v>
      </c>
      <c r="BY120" t="s">
        <v>140</v>
      </c>
      <c r="CA120" t="s">
        <v>1395</v>
      </c>
      <c r="CD120">
        <v>0.0</v>
      </c>
      <c r="CF120" t="b">
        <v>1</v>
      </c>
      <c r="CG120" t="b">
        <v>1</v>
      </c>
      <c r="CH120" t="s">
        <v>3142</v>
      </c>
      <c r="CJ120" t="b">
        <v>1</v>
      </c>
      <c r="CK120" t="b">
        <v>1</v>
      </c>
      <c r="CL120" t="s">
        <v>2301</v>
      </c>
      <c r="CM120" t="s">
        <v>2301</v>
      </c>
      <c r="CO120" t="s">
        <v>200</v>
      </c>
      <c r="CR120" t="b">
        <v>1</v>
      </c>
      <c r="CT120">
        <v>1.0</v>
      </c>
      <c r="CU120">
        <v>0.0</v>
      </c>
      <c r="CX120" s="4" t="s">
        <v>3143</v>
      </c>
      <c r="CZ120" s="5">
        <v>44252.87255787037</v>
      </c>
      <c r="DA120" t="s">
        <v>3144</v>
      </c>
    </row>
    <row r="121">
      <c r="A121" t="s">
        <v>98</v>
      </c>
      <c r="D121" t="s">
        <v>3145</v>
      </c>
      <c r="E121" t="s">
        <v>2068</v>
      </c>
      <c r="F121" s="2">
        <v>37991.0</v>
      </c>
      <c r="G121" t="s">
        <v>1466</v>
      </c>
      <c r="I121" s="3" t="s">
        <v>3146</v>
      </c>
      <c r="J121" t="s">
        <v>3147</v>
      </c>
      <c r="K121" t="b">
        <v>1</v>
      </c>
      <c r="L121" s="4" t="s">
        <v>3148</v>
      </c>
      <c r="M121" t="s">
        <v>3149</v>
      </c>
      <c r="N121" t="s">
        <v>149</v>
      </c>
      <c r="O121" t="s">
        <v>3150</v>
      </c>
      <c r="P121" t="s">
        <v>3151</v>
      </c>
      <c r="Q121" t="s">
        <v>189</v>
      </c>
      <c r="R121" t="s">
        <v>3147</v>
      </c>
      <c r="S121" t="s">
        <v>3152</v>
      </c>
      <c r="T121" s="4" t="s">
        <v>3153</v>
      </c>
      <c r="U121" t="s">
        <v>2313</v>
      </c>
      <c r="V121" t="s">
        <v>2539</v>
      </c>
      <c r="W121" t="s">
        <v>2290</v>
      </c>
      <c r="Y121" t="s">
        <v>158</v>
      </c>
      <c r="Z121" t="s">
        <v>262</v>
      </c>
      <c r="AC121" s="3" t="s">
        <v>3154</v>
      </c>
      <c r="AD121" t="s">
        <v>118</v>
      </c>
      <c r="AE121" t="s">
        <v>729</v>
      </c>
      <c r="AF121" t="s">
        <v>1731</v>
      </c>
      <c r="AG121">
        <v>15.0</v>
      </c>
      <c r="AH121" s="4" t="s">
        <v>273</v>
      </c>
      <c r="AI121" t="s">
        <v>162</v>
      </c>
      <c r="AL121" t="s">
        <v>3155</v>
      </c>
      <c r="AO121" t="s">
        <v>1479</v>
      </c>
      <c r="AP121">
        <v>7.0</v>
      </c>
      <c r="AQ121" t="s">
        <v>1520</v>
      </c>
      <c r="AR121" t="s">
        <v>3156</v>
      </c>
      <c r="AS121" t="b">
        <v>1</v>
      </c>
      <c r="AT121" t="b">
        <v>0</v>
      </c>
      <c r="AV121">
        <v>5.0</v>
      </c>
      <c r="AW121" t="b">
        <v>1</v>
      </c>
      <c r="AX121" s="4" t="s">
        <v>1521</v>
      </c>
      <c r="AY121" t="s">
        <v>2597</v>
      </c>
      <c r="AZ121" t="b">
        <v>1</v>
      </c>
      <c r="BA121" t="b">
        <v>1</v>
      </c>
      <c r="BB121" t="b">
        <v>0</v>
      </c>
      <c r="BC121" t="s">
        <v>3157</v>
      </c>
      <c r="BH121" t="s">
        <v>132</v>
      </c>
      <c r="BI121">
        <v>4.0</v>
      </c>
      <c r="BJ121" t="s">
        <v>3158</v>
      </c>
      <c r="BK121">
        <v>3.0</v>
      </c>
      <c r="BL121">
        <v>3.0</v>
      </c>
      <c r="BM121" t="s">
        <v>3159</v>
      </c>
      <c r="BN121">
        <v>3.0</v>
      </c>
      <c r="BO121">
        <v>3.0</v>
      </c>
      <c r="BP121" t="s">
        <v>3160</v>
      </c>
      <c r="BQ121" t="s">
        <v>3161</v>
      </c>
      <c r="BR121" t="s">
        <v>3162</v>
      </c>
      <c r="BS121" t="s">
        <v>3163</v>
      </c>
      <c r="BU121" t="s">
        <v>3164</v>
      </c>
      <c r="BV121" s="3" t="s">
        <v>3165</v>
      </c>
      <c r="BW121" t="b">
        <v>1</v>
      </c>
      <c r="BX121" t="s">
        <v>1394</v>
      </c>
      <c r="BY121" t="s">
        <v>140</v>
      </c>
      <c r="CA121" t="s">
        <v>1395</v>
      </c>
      <c r="CD121">
        <v>0.0</v>
      </c>
      <c r="CF121" t="b">
        <v>1</v>
      </c>
      <c r="CG121" t="b">
        <v>1</v>
      </c>
      <c r="CH121" t="s">
        <v>3166</v>
      </c>
      <c r="CJ121" t="b">
        <v>1</v>
      </c>
      <c r="CK121" t="b">
        <v>1</v>
      </c>
      <c r="CL121" t="s">
        <v>362</v>
      </c>
      <c r="CO121" t="s">
        <v>2068</v>
      </c>
      <c r="CR121" t="b">
        <v>1</v>
      </c>
      <c r="CT121">
        <v>2.0</v>
      </c>
      <c r="CU121">
        <v>2.0</v>
      </c>
      <c r="CX121" s="4" t="s">
        <v>734</v>
      </c>
      <c r="CZ121" s="5">
        <v>44252.8741087963</v>
      </c>
      <c r="DA121" t="s">
        <v>3167</v>
      </c>
    </row>
    <row r="122">
      <c r="A122" t="s">
        <v>98</v>
      </c>
      <c r="D122" t="s">
        <v>3168</v>
      </c>
      <c r="E122" t="s">
        <v>3169</v>
      </c>
      <c r="F122" s="2">
        <v>38490.0</v>
      </c>
      <c r="G122" t="s">
        <v>1360</v>
      </c>
      <c r="I122" s="3" t="s">
        <v>3170</v>
      </c>
      <c r="J122" t="s">
        <v>3171</v>
      </c>
      <c r="K122" t="b">
        <v>0</v>
      </c>
      <c r="M122" t="s">
        <v>3172</v>
      </c>
      <c r="N122" t="s">
        <v>255</v>
      </c>
      <c r="O122" t="s">
        <v>3173</v>
      </c>
      <c r="P122" t="s">
        <v>3174</v>
      </c>
      <c r="Q122" t="s">
        <v>189</v>
      </c>
      <c r="R122" t="s">
        <v>3171</v>
      </c>
      <c r="S122" t="s">
        <v>3172</v>
      </c>
      <c r="T122" s="4" t="s">
        <v>3175</v>
      </c>
      <c r="U122" t="s">
        <v>3176</v>
      </c>
      <c r="V122" t="s">
        <v>2381</v>
      </c>
      <c r="W122" t="s">
        <v>2290</v>
      </c>
      <c r="Y122" t="s">
        <v>158</v>
      </c>
      <c r="Z122" t="s">
        <v>195</v>
      </c>
      <c r="AC122" s="3" t="s">
        <v>3177</v>
      </c>
      <c r="AD122" t="s">
        <v>118</v>
      </c>
      <c r="AE122" t="s">
        <v>729</v>
      </c>
      <c r="AF122" t="s">
        <v>2904</v>
      </c>
      <c r="AG122">
        <v>9.0</v>
      </c>
      <c r="AH122" s="4" t="s">
        <v>882</v>
      </c>
      <c r="AI122" t="s">
        <v>162</v>
      </c>
      <c r="AK122" t="s">
        <v>3178</v>
      </c>
      <c r="AL122" t="s">
        <v>2490</v>
      </c>
      <c r="AO122" t="s">
        <v>1479</v>
      </c>
      <c r="AP122">
        <v>5.0</v>
      </c>
      <c r="AQ122" t="s">
        <v>303</v>
      </c>
      <c r="AR122" t="s">
        <v>3179</v>
      </c>
      <c r="AS122" t="b">
        <v>1</v>
      </c>
      <c r="AT122" t="b">
        <v>0</v>
      </c>
      <c r="AV122">
        <v>5.0</v>
      </c>
      <c r="AW122" t="b">
        <v>0</v>
      </c>
      <c r="AZ122" t="b">
        <v>0</v>
      </c>
      <c r="BA122" t="b">
        <v>0</v>
      </c>
      <c r="BD122" t="s">
        <v>3180</v>
      </c>
      <c r="BH122" t="s">
        <v>132</v>
      </c>
      <c r="BI122">
        <v>5.0</v>
      </c>
      <c r="BJ122" t="s">
        <v>3181</v>
      </c>
      <c r="BK122">
        <v>5.0</v>
      </c>
      <c r="BL122">
        <v>4.0</v>
      </c>
      <c r="BM122" t="s">
        <v>3182</v>
      </c>
      <c r="BN122">
        <v>4.0</v>
      </c>
      <c r="BO122">
        <v>5.0</v>
      </c>
      <c r="BP122" t="s">
        <v>3183</v>
      </c>
      <c r="BQ122" t="s">
        <v>2577</v>
      </c>
      <c r="BR122" t="s">
        <v>3184</v>
      </c>
      <c r="BS122" t="s">
        <v>3185</v>
      </c>
      <c r="BU122" t="s">
        <v>3186</v>
      </c>
      <c r="BV122" s="3" t="s">
        <v>3187</v>
      </c>
      <c r="BW122" t="b">
        <v>1</v>
      </c>
      <c r="BX122" t="s">
        <v>1394</v>
      </c>
      <c r="BY122" t="s">
        <v>140</v>
      </c>
      <c r="CA122" t="s">
        <v>1395</v>
      </c>
      <c r="CD122">
        <v>0.0</v>
      </c>
      <c r="CF122" t="b">
        <v>1</v>
      </c>
      <c r="CG122" t="b">
        <v>1</v>
      </c>
      <c r="CH122" t="s">
        <v>1557</v>
      </c>
      <c r="CJ122" t="b">
        <v>0</v>
      </c>
      <c r="CK122" t="b">
        <v>1</v>
      </c>
      <c r="CL122" t="s">
        <v>198</v>
      </c>
      <c r="CM122" t="s">
        <v>198</v>
      </c>
      <c r="CO122" t="s">
        <v>3188</v>
      </c>
      <c r="CQ122" t="s">
        <v>198</v>
      </c>
      <c r="CR122" t="b">
        <v>1</v>
      </c>
      <c r="CT122">
        <v>1.0</v>
      </c>
      <c r="CU122">
        <v>0.0</v>
      </c>
      <c r="CX122" t="s">
        <v>709</v>
      </c>
      <c r="CZ122" s="5">
        <v>44252.876284722224</v>
      </c>
      <c r="DA122" t="s">
        <v>3189</v>
      </c>
    </row>
    <row r="123">
      <c r="A123" t="s">
        <v>98</v>
      </c>
      <c r="D123" t="s">
        <v>3190</v>
      </c>
      <c r="E123" t="s">
        <v>3191</v>
      </c>
      <c r="F123" s="2">
        <v>37351.0</v>
      </c>
      <c r="G123" t="s">
        <v>1466</v>
      </c>
      <c r="I123" s="3" t="s">
        <v>3192</v>
      </c>
      <c r="J123" t="s">
        <v>3193</v>
      </c>
      <c r="K123" t="b">
        <v>1</v>
      </c>
      <c r="L123" s="4" t="s">
        <v>3100</v>
      </c>
      <c r="M123" t="s">
        <v>3194</v>
      </c>
      <c r="N123" t="s">
        <v>255</v>
      </c>
      <c r="P123" t="s">
        <v>3195</v>
      </c>
      <c r="Q123" t="s">
        <v>189</v>
      </c>
      <c r="R123" t="s">
        <v>3196</v>
      </c>
      <c r="S123" t="s">
        <v>3197</v>
      </c>
      <c r="T123" s="4" t="s">
        <v>3198</v>
      </c>
      <c r="U123" t="s">
        <v>3199</v>
      </c>
      <c r="V123" t="s">
        <v>2514</v>
      </c>
      <c r="W123" t="s">
        <v>261</v>
      </c>
      <c r="Y123" t="s">
        <v>158</v>
      </c>
      <c r="Z123" t="s">
        <v>159</v>
      </c>
      <c r="AC123" s="3" t="s">
        <v>3200</v>
      </c>
      <c r="AD123" t="s">
        <v>118</v>
      </c>
      <c r="AE123" t="s">
        <v>729</v>
      </c>
      <c r="AF123" t="s">
        <v>3201</v>
      </c>
      <c r="AG123">
        <v>16.0</v>
      </c>
      <c r="AH123" s="4" t="s">
        <v>273</v>
      </c>
      <c r="AI123" t="s">
        <v>205</v>
      </c>
      <c r="AL123" t="s">
        <v>199</v>
      </c>
      <c r="AO123" t="s">
        <v>335</v>
      </c>
      <c r="AP123">
        <v>7.0</v>
      </c>
      <c r="AQ123" t="s">
        <v>126</v>
      </c>
      <c r="AR123" t="s">
        <v>3202</v>
      </c>
      <c r="AS123" t="b">
        <v>1</v>
      </c>
      <c r="AT123" t="b">
        <v>1</v>
      </c>
      <c r="AV123">
        <v>6.0</v>
      </c>
      <c r="AW123" t="b">
        <v>1</v>
      </c>
      <c r="AX123" t="s">
        <v>1902</v>
      </c>
      <c r="AY123" s="4" t="s">
        <v>518</v>
      </c>
      <c r="AZ123" t="b">
        <v>1</v>
      </c>
      <c r="BA123" t="b">
        <v>1</v>
      </c>
      <c r="BB123" t="b">
        <v>0</v>
      </c>
      <c r="BC123" t="s">
        <v>3203</v>
      </c>
      <c r="BH123" t="s">
        <v>132</v>
      </c>
      <c r="BI123">
        <v>5.0</v>
      </c>
      <c r="BJ123" t="s">
        <v>3204</v>
      </c>
      <c r="BK123">
        <v>5.0</v>
      </c>
      <c r="BL123">
        <v>7.0</v>
      </c>
      <c r="BM123" t="s">
        <v>3205</v>
      </c>
      <c r="BN123">
        <v>5.0</v>
      </c>
      <c r="BO123">
        <v>5.0</v>
      </c>
      <c r="BP123" t="s">
        <v>3206</v>
      </c>
      <c r="BQ123" t="s">
        <v>3207</v>
      </c>
      <c r="BR123" t="s">
        <v>3208</v>
      </c>
      <c r="BS123" t="s">
        <v>3209</v>
      </c>
      <c r="BU123" t="s">
        <v>3210</v>
      </c>
      <c r="BV123" s="3" t="s">
        <v>3211</v>
      </c>
      <c r="BW123" t="b">
        <v>1</v>
      </c>
      <c r="BX123" t="s">
        <v>1394</v>
      </c>
      <c r="BY123" t="s">
        <v>140</v>
      </c>
      <c r="CA123" t="s">
        <v>1395</v>
      </c>
      <c r="CD123">
        <v>0.0</v>
      </c>
      <c r="CF123" t="b">
        <v>1</v>
      </c>
      <c r="CG123" t="b">
        <v>1</v>
      </c>
      <c r="CH123" t="s">
        <v>3212</v>
      </c>
      <c r="CJ123" t="b">
        <v>1</v>
      </c>
      <c r="CK123" t="b">
        <v>1</v>
      </c>
      <c r="CL123" t="s">
        <v>2301</v>
      </c>
      <c r="CM123" t="s">
        <v>3213</v>
      </c>
      <c r="CO123" t="s">
        <v>1635</v>
      </c>
      <c r="CQ123" t="s">
        <v>2301</v>
      </c>
      <c r="CR123" t="b">
        <v>1</v>
      </c>
      <c r="CT123">
        <v>2.0</v>
      </c>
      <c r="CU123">
        <v>0.0</v>
      </c>
      <c r="CX123" s="4" t="s">
        <v>465</v>
      </c>
      <c r="CZ123" s="5">
        <v>44252.88800925926</v>
      </c>
      <c r="DA123" t="s">
        <v>3214</v>
      </c>
    </row>
    <row r="124">
      <c r="A124" t="s">
        <v>98</v>
      </c>
      <c r="D124" t="s">
        <v>3215</v>
      </c>
      <c r="E124" t="s">
        <v>2917</v>
      </c>
      <c r="F124" s="2">
        <v>37572.0</v>
      </c>
      <c r="G124" t="s">
        <v>1360</v>
      </c>
      <c r="I124" s="3" t="s">
        <v>3216</v>
      </c>
      <c r="J124" t="s">
        <v>3217</v>
      </c>
      <c r="K124" t="b">
        <v>1</v>
      </c>
      <c r="L124" s="4" t="s">
        <v>3218</v>
      </c>
      <c r="M124" t="s">
        <v>3219</v>
      </c>
      <c r="N124" t="s">
        <v>105</v>
      </c>
      <c r="O124" t="s">
        <v>3220</v>
      </c>
      <c r="P124" t="s">
        <v>2923</v>
      </c>
      <c r="Q124" t="s">
        <v>189</v>
      </c>
      <c r="R124" t="s">
        <v>2924</v>
      </c>
      <c r="S124" t="s">
        <v>3219</v>
      </c>
      <c r="T124" s="4" t="s">
        <v>3221</v>
      </c>
      <c r="U124" t="s">
        <v>2313</v>
      </c>
      <c r="V124" t="s">
        <v>2539</v>
      </c>
      <c r="W124" t="s">
        <v>2290</v>
      </c>
      <c r="Y124" t="s">
        <v>158</v>
      </c>
      <c r="Z124" t="s">
        <v>159</v>
      </c>
      <c r="AC124" s="3" t="s">
        <v>3222</v>
      </c>
      <c r="AD124" t="s">
        <v>118</v>
      </c>
      <c r="AE124" t="s">
        <v>729</v>
      </c>
      <c r="AF124" t="s">
        <v>2929</v>
      </c>
      <c r="AG124">
        <v>12.0</v>
      </c>
      <c r="AH124" t="s">
        <v>3223</v>
      </c>
      <c r="AI124" t="s">
        <v>162</v>
      </c>
      <c r="AK124" t="s">
        <v>3224</v>
      </c>
      <c r="AL124" t="s">
        <v>3225</v>
      </c>
      <c r="AO124" t="s">
        <v>125</v>
      </c>
      <c r="AP124">
        <v>4.0</v>
      </c>
      <c r="AQ124" t="s">
        <v>1070</v>
      </c>
      <c r="AR124" t="s">
        <v>3226</v>
      </c>
      <c r="AS124" t="b">
        <v>1</v>
      </c>
      <c r="AT124" t="b">
        <v>1</v>
      </c>
      <c r="AV124">
        <v>6.0</v>
      </c>
      <c r="AW124" t="b">
        <v>0</v>
      </c>
      <c r="AZ124" t="b">
        <v>1</v>
      </c>
      <c r="BA124" t="b">
        <v>0</v>
      </c>
      <c r="BD124" t="s">
        <v>3227</v>
      </c>
      <c r="BH124" t="s">
        <v>132</v>
      </c>
      <c r="BI124">
        <v>6.0</v>
      </c>
      <c r="BJ124" t="s">
        <v>3228</v>
      </c>
      <c r="BK124">
        <v>6.0</v>
      </c>
      <c r="BL124">
        <v>4.0</v>
      </c>
      <c r="BM124" t="s">
        <v>3229</v>
      </c>
      <c r="BN124">
        <v>4.0</v>
      </c>
      <c r="BO124">
        <v>5.0</v>
      </c>
      <c r="BP124" t="s">
        <v>3230</v>
      </c>
      <c r="BQ124" t="s">
        <v>1050</v>
      </c>
      <c r="BR124" t="s">
        <v>3231</v>
      </c>
      <c r="BS124" t="s">
        <v>3232</v>
      </c>
      <c r="BU124" t="s">
        <v>3233</v>
      </c>
      <c r="BV124" s="3" t="s">
        <v>3234</v>
      </c>
      <c r="BW124" t="b">
        <v>1</v>
      </c>
      <c r="BX124" t="s">
        <v>1394</v>
      </c>
      <c r="BY124" t="s">
        <v>140</v>
      </c>
      <c r="CA124" t="s">
        <v>1395</v>
      </c>
      <c r="CD124">
        <v>0.0</v>
      </c>
      <c r="CF124" t="b">
        <v>1</v>
      </c>
      <c r="CG124" t="b">
        <v>1</v>
      </c>
      <c r="CH124" t="s">
        <v>3235</v>
      </c>
      <c r="CJ124" t="b">
        <v>1</v>
      </c>
      <c r="CK124" t="b">
        <v>1</v>
      </c>
      <c r="CL124" t="s">
        <v>163</v>
      </c>
      <c r="CO124" t="s">
        <v>124</v>
      </c>
      <c r="CR124" t="b">
        <v>1</v>
      </c>
      <c r="CT124">
        <v>2.0</v>
      </c>
      <c r="CU124">
        <v>0.0</v>
      </c>
      <c r="CX124" s="4" t="s">
        <v>3236</v>
      </c>
      <c r="CZ124" s="5">
        <v>44252.90320601852</v>
      </c>
      <c r="DA124" t="s">
        <v>3237</v>
      </c>
    </row>
    <row r="125">
      <c r="A125" t="s">
        <v>98</v>
      </c>
      <c r="D125" t="s">
        <v>3238</v>
      </c>
      <c r="E125" t="s">
        <v>3239</v>
      </c>
      <c r="F125" s="2">
        <v>37925.0</v>
      </c>
      <c r="G125" t="s">
        <v>1466</v>
      </c>
      <c r="I125" s="3" t="s">
        <v>3240</v>
      </c>
      <c r="J125" t="s">
        <v>3241</v>
      </c>
      <c r="K125" t="b">
        <v>1</v>
      </c>
      <c r="L125" s="4" t="s">
        <v>3242</v>
      </c>
      <c r="M125" s="4" t="s">
        <v>3243</v>
      </c>
      <c r="N125" t="s">
        <v>149</v>
      </c>
      <c r="O125" t="s">
        <v>3244</v>
      </c>
      <c r="P125" t="s">
        <v>3245</v>
      </c>
      <c r="Q125" t="s">
        <v>152</v>
      </c>
      <c r="R125" t="s">
        <v>3246</v>
      </c>
      <c r="S125" s="4" t="s">
        <v>3243</v>
      </c>
      <c r="T125" s="4" t="s">
        <v>3247</v>
      </c>
      <c r="U125" t="s">
        <v>3028</v>
      </c>
      <c r="V125" t="s">
        <v>3248</v>
      </c>
      <c r="W125" t="s">
        <v>2290</v>
      </c>
      <c r="Y125" t="s">
        <v>158</v>
      </c>
      <c r="Z125" t="s">
        <v>262</v>
      </c>
      <c r="AC125" s="3" t="s">
        <v>3249</v>
      </c>
      <c r="AD125" t="s">
        <v>118</v>
      </c>
      <c r="AE125" t="s">
        <v>729</v>
      </c>
      <c r="AF125" t="s">
        <v>3250</v>
      </c>
      <c r="AG125">
        <v>2018.0</v>
      </c>
      <c r="AH125" s="4" t="s">
        <v>734</v>
      </c>
      <c r="AI125" t="s">
        <v>162</v>
      </c>
      <c r="AK125" t="s">
        <v>179</v>
      </c>
      <c r="AL125" t="s">
        <v>3251</v>
      </c>
      <c r="AO125" t="s">
        <v>335</v>
      </c>
      <c r="AP125">
        <v>3.0</v>
      </c>
      <c r="AQ125" t="s">
        <v>2240</v>
      </c>
      <c r="AR125" t="s">
        <v>3252</v>
      </c>
      <c r="AS125" t="b">
        <v>1</v>
      </c>
      <c r="AT125" t="b">
        <v>0</v>
      </c>
      <c r="AV125">
        <v>4.0</v>
      </c>
      <c r="AW125" t="b">
        <v>1</v>
      </c>
      <c r="AX125" t="s">
        <v>2797</v>
      </c>
      <c r="AY125" t="s">
        <v>1430</v>
      </c>
      <c r="AZ125" t="b">
        <v>1</v>
      </c>
      <c r="BA125" t="b">
        <v>1</v>
      </c>
      <c r="BB125" t="b">
        <v>0</v>
      </c>
      <c r="BC125" t="s">
        <v>3253</v>
      </c>
      <c r="BH125" t="s">
        <v>132</v>
      </c>
      <c r="BI125">
        <v>6.0</v>
      </c>
      <c r="BJ125" t="s">
        <v>3254</v>
      </c>
      <c r="BK125">
        <v>3.0</v>
      </c>
      <c r="BL125">
        <v>5.0</v>
      </c>
      <c r="BM125" t="s">
        <v>3255</v>
      </c>
      <c r="BN125">
        <v>3.0</v>
      </c>
      <c r="BO125">
        <v>4.0</v>
      </c>
      <c r="BP125" t="s">
        <v>3256</v>
      </c>
      <c r="BQ125" t="s">
        <v>3257</v>
      </c>
      <c r="BR125" t="s">
        <v>3258</v>
      </c>
      <c r="BS125" t="s">
        <v>3259</v>
      </c>
      <c r="BU125" t="s">
        <v>179</v>
      </c>
      <c r="BV125" s="3" t="s">
        <v>3260</v>
      </c>
      <c r="BW125" t="b">
        <v>1</v>
      </c>
      <c r="BX125" t="s">
        <v>1394</v>
      </c>
      <c r="BY125" t="s">
        <v>140</v>
      </c>
      <c r="CA125" t="s">
        <v>1395</v>
      </c>
      <c r="CD125">
        <v>0.0</v>
      </c>
      <c r="CF125" t="b">
        <v>1</v>
      </c>
      <c r="CG125" t="b">
        <v>1</v>
      </c>
      <c r="CH125" t="s">
        <v>3261</v>
      </c>
      <c r="CJ125" t="b">
        <v>1</v>
      </c>
      <c r="CK125" t="b">
        <v>1</v>
      </c>
      <c r="CL125" t="s">
        <v>413</v>
      </c>
      <c r="CM125" t="s">
        <v>163</v>
      </c>
      <c r="CO125" t="s">
        <v>3262</v>
      </c>
      <c r="CR125" t="b">
        <v>1</v>
      </c>
      <c r="CT125">
        <v>1.0</v>
      </c>
      <c r="CU125">
        <v>0.0</v>
      </c>
      <c r="CX125" s="4" t="s">
        <v>419</v>
      </c>
      <c r="CZ125" s="5">
        <v>44253.03019675926</v>
      </c>
      <c r="DA125" t="s">
        <v>3263</v>
      </c>
    </row>
    <row r="126">
      <c r="A126" t="s">
        <v>98</v>
      </c>
      <c r="D126" t="s">
        <v>3264</v>
      </c>
      <c r="E126" t="s">
        <v>3265</v>
      </c>
      <c r="F126" s="2">
        <v>38026.0</v>
      </c>
      <c r="G126" t="s">
        <v>1360</v>
      </c>
      <c r="I126" s="3" t="s">
        <v>3266</v>
      </c>
      <c r="J126" t="s">
        <v>3267</v>
      </c>
      <c r="K126" t="b">
        <v>0</v>
      </c>
      <c r="M126" t="s">
        <v>3268</v>
      </c>
      <c r="N126" t="s">
        <v>149</v>
      </c>
      <c r="P126" t="s">
        <v>3269</v>
      </c>
      <c r="Q126" t="s">
        <v>189</v>
      </c>
      <c r="R126" t="s">
        <v>3270</v>
      </c>
      <c r="S126" t="s">
        <v>3271</v>
      </c>
      <c r="T126" s="4" t="s">
        <v>3272</v>
      </c>
      <c r="U126" t="s">
        <v>2313</v>
      </c>
      <c r="V126" t="s">
        <v>2539</v>
      </c>
      <c r="W126" t="s">
        <v>2290</v>
      </c>
      <c r="Y126" t="s">
        <v>158</v>
      </c>
      <c r="Z126" t="s">
        <v>262</v>
      </c>
      <c r="AC126" s="3" t="s">
        <v>3273</v>
      </c>
      <c r="AD126" t="s">
        <v>118</v>
      </c>
      <c r="AE126" t="s">
        <v>729</v>
      </c>
      <c r="AF126" t="s">
        <v>3274</v>
      </c>
      <c r="AG126">
        <v>14.0</v>
      </c>
      <c r="AH126" t="s">
        <v>3275</v>
      </c>
      <c r="AI126" t="s">
        <v>543</v>
      </c>
      <c r="AK126" t="s">
        <v>179</v>
      </c>
      <c r="AL126" t="s">
        <v>3276</v>
      </c>
      <c r="AO126" t="s">
        <v>125</v>
      </c>
      <c r="AP126">
        <v>3.0</v>
      </c>
      <c r="AQ126" t="s">
        <v>268</v>
      </c>
      <c r="AR126" t="s">
        <v>1071</v>
      </c>
      <c r="AS126" t="b">
        <v>1</v>
      </c>
      <c r="AT126" t="b">
        <v>0</v>
      </c>
      <c r="AV126">
        <v>5.0</v>
      </c>
      <c r="AW126" t="b">
        <v>0</v>
      </c>
      <c r="AZ126" t="b">
        <v>0</v>
      </c>
      <c r="BA126" t="b">
        <v>0</v>
      </c>
      <c r="BD126" t="s">
        <v>3277</v>
      </c>
      <c r="BH126" t="s">
        <v>132</v>
      </c>
      <c r="BI126">
        <v>2.0</v>
      </c>
      <c r="BJ126" t="s">
        <v>575</v>
      </c>
      <c r="BK126">
        <v>5.0</v>
      </c>
      <c r="BL126">
        <v>4.0</v>
      </c>
      <c r="BM126" t="s">
        <v>3278</v>
      </c>
      <c r="BN126">
        <v>4.0</v>
      </c>
      <c r="BO126">
        <v>5.0</v>
      </c>
      <c r="BP126" t="s">
        <v>3279</v>
      </c>
      <c r="BQ126" t="s">
        <v>1050</v>
      </c>
      <c r="BR126" t="s">
        <v>3280</v>
      </c>
      <c r="BS126" t="s">
        <v>3281</v>
      </c>
      <c r="BU126" t="s">
        <v>3282</v>
      </c>
      <c r="BV126" s="3" t="s">
        <v>3283</v>
      </c>
      <c r="BW126" t="b">
        <v>1</v>
      </c>
      <c r="BX126" t="s">
        <v>1394</v>
      </c>
      <c r="BY126" t="s">
        <v>140</v>
      </c>
      <c r="CA126" t="s">
        <v>1395</v>
      </c>
      <c r="CD126">
        <v>0.0</v>
      </c>
      <c r="CF126" t="b">
        <v>0</v>
      </c>
      <c r="CG126" t="b">
        <v>1</v>
      </c>
      <c r="CH126" t="s">
        <v>128</v>
      </c>
      <c r="CJ126" t="b">
        <v>1</v>
      </c>
      <c r="CK126" t="b">
        <v>0</v>
      </c>
      <c r="CL126" t="s">
        <v>1489</v>
      </c>
      <c r="CM126" t="s">
        <v>2301</v>
      </c>
      <c r="CN126" t="s">
        <v>3284</v>
      </c>
      <c r="CO126" t="s">
        <v>1635</v>
      </c>
      <c r="CQ126" t="s">
        <v>2301</v>
      </c>
      <c r="CR126" t="b">
        <v>1</v>
      </c>
      <c r="CT126">
        <v>4.0</v>
      </c>
      <c r="CU126">
        <v>0.0</v>
      </c>
      <c r="CX126" s="4" t="s">
        <v>1148</v>
      </c>
      <c r="CZ126" s="5">
        <v>44253.041666666664</v>
      </c>
      <c r="DA126" t="s">
        <v>3285</v>
      </c>
    </row>
    <row r="127">
      <c r="A127" t="s">
        <v>98</v>
      </c>
      <c r="D127" t="s">
        <v>3286</v>
      </c>
      <c r="E127" t="s">
        <v>3287</v>
      </c>
      <c r="F127" s="2">
        <v>38109.0</v>
      </c>
      <c r="G127" t="s">
        <v>1466</v>
      </c>
      <c r="I127" s="3" t="s">
        <v>3288</v>
      </c>
      <c r="J127" t="s">
        <v>3289</v>
      </c>
      <c r="K127" t="b">
        <v>1</v>
      </c>
      <c r="L127" s="4" t="s">
        <v>3290</v>
      </c>
      <c r="M127" t="s">
        <v>3291</v>
      </c>
      <c r="N127" t="s">
        <v>255</v>
      </c>
      <c r="O127" t="s">
        <v>3292</v>
      </c>
      <c r="P127" t="s">
        <v>3293</v>
      </c>
      <c r="Q127" t="s">
        <v>189</v>
      </c>
      <c r="R127" t="s">
        <v>3294</v>
      </c>
      <c r="S127" t="s">
        <v>3295</v>
      </c>
      <c r="T127" s="4" t="s">
        <v>3296</v>
      </c>
      <c r="U127" t="s">
        <v>2313</v>
      </c>
      <c r="V127" t="s">
        <v>2407</v>
      </c>
      <c r="W127" t="s">
        <v>2290</v>
      </c>
      <c r="Y127" t="s">
        <v>158</v>
      </c>
      <c r="Z127" t="s">
        <v>262</v>
      </c>
      <c r="AC127" s="3" t="s">
        <v>3297</v>
      </c>
      <c r="AD127" t="s">
        <v>118</v>
      </c>
      <c r="AE127" t="s">
        <v>729</v>
      </c>
      <c r="AF127" t="s">
        <v>1196</v>
      </c>
      <c r="AG127">
        <v>14.0</v>
      </c>
      <c r="AH127" t="s">
        <v>3298</v>
      </c>
      <c r="AI127" t="s">
        <v>162</v>
      </c>
      <c r="AL127" t="s">
        <v>3299</v>
      </c>
      <c r="AO127" t="s">
        <v>335</v>
      </c>
      <c r="AP127">
        <v>5.0</v>
      </c>
      <c r="AQ127" t="s">
        <v>201</v>
      </c>
      <c r="AR127" t="s">
        <v>3300</v>
      </c>
      <c r="AS127" t="b">
        <v>1</v>
      </c>
      <c r="AT127" t="b">
        <v>0</v>
      </c>
      <c r="AV127">
        <v>6.0</v>
      </c>
      <c r="AW127" t="b">
        <v>0</v>
      </c>
      <c r="AZ127" t="b">
        <v>0</v>
      </c>
      <c r="BA127" t="b">
        <v>0</v>
      </c>
      <c r="BD127" t="s">
        <v>3301</v>
      </c>
      <c r="BH127" t="s">
        <v>132</v>
      </c>
      <c r="BI127">
        <v>4.0</v>
      </c>
      <c r="BJ127" t="s">
        <v>3302</v>
      </c>
      <c r="BK127">
        <v>5.0</v>
      </c>
      <c r="BL127">
        <v>4.0</v>
      </c>
      <c r="BM127" t="s">
        <v>3303</v>
      </c>
      <c r="BN127">
        <v>3.0</v>
      </c>
      <c r="BO127">
        <v>4.0</v>
      </c>
      <c r="BP127" t="s">
        <v>3304</v>
      </c>
      <c r="BQ127" t="s">
        <v>3305</v>
      </c>
      <c r="BR127" t="s">
        <v>3306</v>
      </c>
      <c r="BS127" t="s">
        <v>3307</v>
      </c>
      <c r="BU127" t="s">
        <v>3308</v>
      </c>
      <c r="BV127" s="3" t="s">
        <v>3309</v>
      </c>
      <c r="BW127" t="b">
        <v>1</v>
      </c>
      <c r="BX127" t="s">
        <v>1394</v>
      </c>
      <c r="BY127" t="s">
        <v>140</v>
      </c>
      <c r="CA127" t="s">
        <v>1395</v>
      </c>
      <c r="CD127">
        <v>0.0</v>
      </c>
      <c r="CF127" t="b">
        <v>1</v>
      </c>
      <c r="CG127" t="b">
        <v>0</v>
      </c>
      <c r="CH127" t="s">
        <v>3310</v>
      </c>
      <c r="CJ127" t="b">
        <v>1</v>
      </c>
      <c r="CK127" t="b">
        <v>1</v>
      </c>
      <c r="CL127" t="s">
        <v>387</v>
      </c>
      <c r="CO127" t="s">
        <v>3311</v>
      </c>
      <c r="CR127" t="b">
        <v>1</v>
      </c>
      <c r="CT127">
        <v>0.0</v>
      </c>
      <c r="CU127">
        <v>1.0</v>
      </c>
      <c r="CX127" t="s">
        <v>3312</v>
      </c>
      <c r="CZ127" s="5">
        <v>44253.044027777774</v>
      </c>
      <c r="DA127" t="s">
        <v>3313</v>
      </c>
    </row>
    <row r="128">
      <c r="A128" t="s">
        <v>98</v>
      </c>
      <c r="D128" t="s">
        <v>3314</v>
      </c>
      <c r="E128" t="s">
        <v>3315</v>
      </c>
      <c r="F128" s="2">
        <v>38154.0</v>
      </c>
      <c r="G128" t="s">
        <v>1360</v>
      </c>
      <c r="I128" s="3" t="s">
        <v>3316</v>
      </c>
      <c r="J128" t="s">
        <v>3317</v>
      </c>
      <c r="K128" t="b">
        <v>1</v>
      </c>
      <c r="L128" s="4" t="s">
        <v>3318</v>
      </c>
      <c r="M128" t="s">
        <v>3319</v>
      </c>
      <c r="N128" t="s">
        <v>149</v>
      </c>
      <c r="O128" t="s">
        <v>3320</v>
      </c>
      <c r="P128" t="s">
        <v>3321</v>
      </c>
      <c r="Q128" t="s">
        <v>189</v>
      </c>
      <c r="R128" t="s">
        <v>3317</v>
      </c>
      <c r="S128" t="s">
        <v>3322</v>
      </c>
      <c r="T128" s="4" t="s">
        <v>3323</v>
      </c>
      <c r="U128" t="s">
        <v>3028</v>
      </c>
      <c r="V128" t="s">
        <v>3324</v>
      </c>
      <c r="W128" t="s">
        <v>543</v>
      </c>
      <c r="Y128" t="s">
        <v>158</v>
      </c>
      <c r="Z128" t="s">
        <v>262</v>
      </c>
      <c r="AC128" s="3" t="s">
        <v>3325</v>
      </c>
      <c r="AD128" t="s">
        <v>118</v>
      </c>
      <c r="AE128" t="s">
        <v>1220</v>
      </c>
      <c r="AI128" t="s">
        <v>121</v>
      </c>
      <c r="AK128" t="s">
        <v>3326</v>
      </c>
      <c r="AL128" t="s">
        <v>967</v>
      </c>
      <c r="AO128" t="s">
        <v>125</v>
      </c>
      <c r="AP128">
        <v>5.0</v>
      </c>
      <c r="AQ128" t="s">
        <v>2625</v>
      </c>
      <c r="AR128" t="s">
        <v>1348</v>
      </c>
      <c r="AS128" t="b">
        <v>0</v>
      </c>
      <c r="AV128">
        <v>6.0</v>
      </c>
      <c r="AW128" t="b">
        <v>0</v>
      </c>
      <c r="AZ128" t="b">
        <v>0</v>
      </c>
      <c r="BA128" t="b">
        <v>0</v>
      </c>
      <c r="BD128" t="s">
        <v>1348</v>
      </c>
      <c r="BH128" t="s">
        <v>132</v>
      </c>
      <c r="BI128">
        <v>1.0</v>
      </c>
      <c r="BJ128" t="s">
        <v>3327</v>
      </c>
      <c r="BK128">
        <v>4.0</v>
      </c>
      <c r="BL128">
        <v>3.0</v>
      </c>
      <c r="BM128" t="s">
        <v>3328</v>
      </c>
      <c r="BN128">
        <v>2.0</v>
      </c>
      <c r="BO128">
        <v>2.0</v>
      </c>
      <c r="BP128" t="s">
        <v>3329</v>
      </c>
      <c r="BQ128" t="s">
        <v>3330</v>
      </c>
      <c r="BR128" t="s">
        <v>3331</v>
      </c>
      <c r="BS128" t="s">
        <v>3332</v>
      </c>
      <c r="BU128" t="s">
        <v>179</v>
      </c>
      <c r="BV128" s="3" t="s">
        <v>3333</v>
      </c>
      <c r="BW128" t="b">
        <v>1</v>
      </c>
      <c r="BX128" t="s">
        <v>1394</v>
      </c>
      <c r="BY128" t="s">
        <v>140</v>
      </c>
      <c r="CA128" t="s">
        <v>1395</v>
      </c>
      <c r="CD128">
        <v>0.0</v>
      </c>
      <c r="CF128" t="b">
        <v>1</v>
      </c>
      <c r="CG128" t="b">
        <v>1</v>
      </c>
      <c r="CH128" t="s">
        <v>128</v>
      </c>
      <c r="CJ128" t="b">
        <v>1</v>
      </c>
      <c r="CK128" t="b">
        <v>0</v>
      </c>
      <c r="CL128" t="s">
        <v>387</v>
      </c>
      <c r="CO128" t="s">
        <v>1635</v>
      </c>
      <c r="CR128" t="b">
        <v>1</v>
      </c>
      <c r="CT128">
        <v>1.0</v>
      </c>
      <c r="CU128">
        <v>0.0</v>
      </c>
      <c r="CX128" s="4" t="s">
        <v>1148</v>
      </c>
      <c r="CY128" t="s">
        <v>3334</v>
      </c>
      <c r="CZ128" s="5">
        <v>44253.04677083333</v>
      </c>
      <c r="DA128" t="s">
        <v>3335</v>
      </c>
    </row>
    <row r="129">
      <c r="A129" t="s">
        <v>98</v>
      </c>
      <c r="D129" t="s">
        <v>3336</v>
      </c>
      <c r="E129" t="s">
        <v>3337</v>
      </c>
      <c r="F129" s="2">
        <v>37451.0</v>
      </c>
      <c r="G129" t="s">
        <v>1360</v>
      </c>
      <c r="I129" s="3" t="s">
        <v>3338</v>
      </c>
      <c r="J129" t="s">
        <v>3339</v>
      </c>
      <c r="K129" t="b">
        <v>1</v>
      </c>
      <c r="L129" s="4" t="s">
        <v>3340</v>
      </c>
      <c r="M129" t="s">
        <v>3341</v>
      </c>
      <c r="N129" t="s">
        <v>149</v>
      </c>
      <c r="O129" t="s">
        <v>3342</v>
      </c>
      <c r="P129" t="s">
        <v>3343</v>
      </c>
      <c r="Q129" t="s">
        <v>189</v>
      </c>
      <c r="R129" t="s">
        <v>3339</v>
      </c>
      <c r="S129" t="s">
        <v>3344</v>
      </c>
      <c r="T129" s="4" t="s">
        <v>3345</v>
      </c>
      <c r="U129" t="s">
        <v>3346</v>
      </c>
      <c r="V129" t="s">
        <v>3347</v>
      </c>
      <c r="W129" t="s">
        <v>2290</v>
      </c>
      <c r="Y129" t="s">
        <v>158</v>
      </c>
      <c r="Z129" t="s">
        <v>159</v>
      </c>
      <c r="AC129" s="3" t="s">
        <v>3348</v>
      </c>
      <c r="AD129" t="s">
        <v>118</v>
      </c>
      <c r="AE129" t="s">
        <v>3349</v>
      </c>
      <c r="AF129" t="s">
        <v>197</v>
      </c>
      <c r="AG129">
        <v>14.0</v>
      </c>
      <c r="AH129" s="4" t="s">
        <v>520</v>
      </c>
      <c r="AI129" t="s">
        <v>162</v>
      </c>
      <c r="AK129" t="s">
        <v>179</v>
      </c>
      <c r="AL129" t="s">
        <v>199</v>
      </c>
      <c r="AO129" t="s">
        <v>335</v>
      </c>
      <c r="AP129">
        <v>3.0</v>
      </c>
      <c r="AQ129" t="s">
        <v>201</v>
      </c>
      <c r="AR129" t="s">
        <v>3350</v>
      </c>
      <c r="AS129" t="b">
        <v>1</v>
      </c>
      <c r="AT129" t="b">
        <v>1</v>
      </c>
      <c r="AV129">
        <v>5.0</v>
      </c>
      <c r="AW129" t="b">
        <v>0</v>
      </c>
      <c r="AZ129" t="b">
        <v>1</v>
      </c>
      <c r="BA129" t="b">
        <v>1</v>
      </c>
      <c r="BB129" t="b">
        <v>1</v>
      </c>
      <c r="BC129" t="s">
        <v>3351</v>
      </c>
      <c r="BH129" t="s">
        <v>132</v>
      </c>
      <c r="BI129">
        <v>6.0</v>
      </c>
      <c r="BJ129" t="s">
        <v>3352</v>
      </c>
      <c r="BK129">
        <v>4.0</v>
      </c>
      <c r="BL129">
        <v>3.0</v>
      </c>
      <c r="BM129" t="s">
        <v>3353</v>
      </c>
      <c r="BN129">
        <v>4.0</v>
      </c>
      <c r="BO129">
        <v>6.0</v>
      </c>
      <c r="BP129" t="s">
        <v>3354</v>
      </c>
      <c r="BQ129" t="s">
        <v>1050</v>
      </c>
      <c r="BR129" t="s">
        <v>3355</v>
      </c>
      <c r="BS129" t="s">
        <v>3356</v>
      </c>
      <c r="BU129" t="s">
        <v>179</v>
      </c>
      <c r="BV129" s="3" t="s">
        <v>3357</v>
      </c>
      <c r="BW129" t="b">
        <v>1</v>
      </c>
      <c r="BX129" t="s">
        <v>1394</v>
      </c>
      <c r="BY129" t="s">
        <v>140</v>
      </c>
      <c r="CA129" t="s">
        <v>1395</v>
      </c>
      <c r="CD129">
        <v>0.0</v>
      </c>
      <c r="CF129" t="b">
        <v>0</v>
      </c>
      <c r="CG129" t="b">
        <v>1</v>
      </c>
      <c r="CH129" t="s">
        <v>705</v>
      </c>
      <c r="CJ129" t="b">
        <v>1</v>
      </c>
      <c r="CK129" t="b">
        <v>1</v>
      </c>
      <c r="CL129" t="s">
        <v>541</v>
      </c>
      <c r="CO129" t="s">
        <v>1248</v>
      </c>
      <c r="CQ129" t="s">
        <v>541</v>
      </c>
      <c r="CR129" t="b">
        <v>1</v>
      </c>
      <c r="CT129">
        <v>3.0</v>
      </c>
      <c r="CU129">
        <v>0.0</v>
      </c>
      <c r="CX129" s="4" t="s">
        <v>3358</v>
      </c>
      <c r="CZ129" s="5">
        <v>44253.70408564815</v>
      </c>
      <c r="DA129" t="s">
        <v>3359</v>
      </c>
    </row>
    <row r="130">
      <c r="A130" t="s">
        <v>98</v>
      </c>
      <c r="D130" t="s">
        <v>3360</v>
      </c>
      <c r="E130" t="s">
        <v>3361</v>
      </c>
      <c r="F130" s="2" t="s">
        <v>3362</v>
      </c>
      <c r="G130" t="s">
        <v>1360</v>
      </c>
      <c r="I130" s="3" t="s">
        <v>3363</v>
      </c>
      <c r="J130" t="s">
        <v>3364</v>
      </c>
      <c r="K130" t="b">
        <v>1</v>
      </c>
      <c r="L130" s="4" t="s">
        <v>3365</v>
      </c>
      <c r="M130" t="s">
        <v>3366</v>
      </c>
      <c r="N130" t="s">
        <v>105</v>
      </c>
      <c r="P130" t="s">
        <v>3367</v>
      </c>
      <c r="Q130" t="s">
        <v>152</v>
      </c>
      <c r="R130" t="s">
        <v>3364</v>
      </c>
      <c r="S130" t="s">
        <v>3368</v>
      </c>
      <c r="T130" s="4" t="s">
        <v>3365</v>
      </c>
      <c r="U130" t="s">
        <v>2380</v>
      </c>
      <c r="V130" t="s">
        <v>2381</v>
      </c>
      <c r="W130" t="s">
        <v>2290</v>
      </c>
      <c r="Y130" t="s">
        <v>158</v>
      </c>
      <c r="Z130" t="s">
        <v>195</v>
      </c>
      <c r="AC130" s="3" t="s">
        <v>3369</v>
      </c>
      <c r="AD130" t="s">
        <v>118</v>
      </c>
      <c r="AE130" t="s">
        <v>1780</v>
      </c>
      <c r="AI130" t="s">
        <v>121</v>
      </c>
      <c r="AK130" t="s">
        <v>3370</v>
      </c>
      <c r="AL130" t="s">
        <v>621</v>
      </c>
      <c r="AO130" t="s">
        <v>486</v>
      </c>
      <c r="AP130">
        <v>7.0</v>
      </c>
      <c r="AQ130" t="s">
        <v>126</v>
      </c>
      <c r="AR130" t="s">
        <v>3371</v>
      </c>
      <c r="AS130" t="b">
        <v>1</v>
      </c>
      <c r="AT130" t="b">
        <v>0</v>
      </c>
      <c r="AV130">
        <v>5.0</v>
      </c>
      <c r="AW130" t="b">
        <v>1</v>
      </c>
      <c r="AX130" t="s">
        <v>1902</v>
      </c>
      <c r="AY130" s="4" t="s">
        <v>518</v>
      </c>
      <c r="AZ130" t="b">
        <v>0</v>
      </c>
      <c r="BA130" t="b">
        <v>0</v>
      </c>
      <c r="BD130" t="s">
        <v>3371</v>
      </c>
      <c r="BH130" t="s">
        <v>132</v>
      </c>
      <c r="BI130">
        <v>7.0</v>
      </c>
      <c r="BJ130" t="s">
        <v>3372</v>
      </c>
      <c r="BK130">
        <v>5.0</v>
      </c>
      <c r="BL130">
        <v>7.0</v>
      </c>
      <c r="BM130" t="s">
        <v>3373</v>
      </c>
      <c r="BN130">
        <v>7.0</v>
      </c>
      <c r="BO130">
        <v>7.0</v>
      </c>
      <c r="BP130" t="s">
        <v>3374</v>
      </c>
      <c r="BQ130" t="s">
        <v>3375</v>
      </c>
      <c r="BR130" t="s">
        <v>3376</v>
      </c>
      <c r="BS130" t="s">
        <v>3377</v>
      </c>
      <c r="BU130" t="s">
        <v>3378</v>
      </c>
      <c r="BV130" s="3" t="s">
        <v>3379</v>
      </c>
      <c r="BW130" t="b">
        <v>1</v>
      </c>
      <c r="BX130" t="s">
        <v>1394</v>
      </c>
      <c r="BY130" t="s">
        <v>140</v>
      </c>
      <c r="CA130" t="s">
        <v>1395</v>
      </c>
      <c r="CD130">
        <v>0.0</v>
      </c>
      <c r="CF130" t="b">
        <v>1</v>
      </c>
      <c r="CG130" t="b">
        <v>1</v>
      </c>
      <c r="CH130" t="s">
        <v>168</v>
      </c>
      <c r="CJ130" t="b">
        <v>1</v>
      </c>
      <c r="CK130" t="b">
        <v>1</v>
      </c>
      <c r="CL130" t="s">
        <v>541</v>
      </c>
      <c r="CM130" t="s">
        <v>541</v>
      </c>
      <c r="CO130" t="s">
        <v>200</v>
      </c>
      <c r="CQ130" t="s">
        <v>541</v>
      </c>
      <c r="CR130" t="b">
        <v>1</v>
      </c>
      <c r="CT130">
        <v>0.0</v>
      </c>
      <c r="CU130">
        <v>0.0</v>
      </c>
      <c r="CX130" t="s">
        <v>3380</v>
      </c>
      <c r="CZ130" s="5">
        <v>44253.77270833333</v>
      </c>
      <c r="DA130" t="s">
        <v>3381</v>
      </c>
    </row>
    <row r="131">
      <c r="A131" t="s">
        <v>98</v>
      </c>
      <c r="D131" t="s">
        <v>1341</v>
      </c>
      <c r="E131" t="s">
        <v>1314</v>
      </c>
      <c r="F131" s="2">
        <v>37606.0</v>
      </c>
      <c r="G131" t="s">
        <v>1360</v>
      </c>
      <c r="I131" s="3" t="s">
        <v>3382</v>
      </c>
      <c r="J131" t="s">
        <v>1342</v>
      </c>
      <c r="K131" t="b">
        <v>1</v>
      </c>
      <c r="L131" s="4" t="s">
        <v>1343</v>
      </c>
      <c r="M131" t="s">
        <v>3383</v>
      </c>
      <c r="N131" t="s">
        <v>354</v>
      </c>
      <c r="P131" t="s">
        <v>1320</v>
      </c>
      <c r="Q131" t="s">
        <v>292</v>
      </c>
      <c r="R131" t="s">
        <v>1321</v>
      </c>
      <c r="S131" t="s">
        <v>3383</v>
      </c>
      <c r="T131" s="4" t="s">
        <v>3384</v>
      </c>
      <c r="U131" t="s">
        <v>1543</v>
      </c>
      <c r="V131" t="s">
        <v>3385</v>
      </c>
      <c r="W131" t="s">
        <v>113</v>
      </c>
      <c r="Y131" t="s">
        <v>158</v>
      </c>
      <c r="Z131" t="s">
        <v>262</v>
      </c>
      <c r="AC131" s="3" t="s">
        <v>3386</v>
      </c>
      <c r="AD131" t="s">
        <v>118</v>
      </c>
      <c r="AE131" t="s">
        <v>729</v>
      </c>
      <c r="AF131" t="s">
        <v>1019</v>
      </c>
      <c r="AG131">
        <v>16.0</v>
      </c>
      <c r="AH131" t="s">
        <v>3387</v>
      </c>
      <c r="AI131" t="s">
        <v>205</v>
      </c>
      <c r="AK131" t="s">
        <v>528</v>
      </c>
      <c r="AL131" t="s">
        <v>199</v>
      </c>
      <c r="AO131" t="s">
        <v>335</v>
      </c>
      <c r="AP131">
        <v>4.0</v>
      </c>
      <c r="AQ131" t="s">
        <v>126</v>
      </c>
      <c r="AR131" t="s">
        <v>544</v>
      </c>
      <c r="AS131" t="b">
        <v>1</v>
      </c>
      <c r="AT131" t="b">
        <v>1</v>
      </c>
      <c r="AV131">
        <v>4.0</v>
      </c>
      <c r="AW131" t="b">
        <v>0</v>
      </c>
      <c r="AZ131" t="b">
        <v>0</v>
      </c>
      <c r="BA131" t="b">
        <v>1</v>
      </c>
      <c r="BB131" t="b">
        <v>0</v>
      </c>
      <c r="BC131" t="s">
        <v>3388</v>
      </c>
      <c r="BH131" t="s">
        <v>132</v>
      </c>
      <c r="BI131">
        <v>3.0</v>
      </c>
      <c r="BJ131" t="s">
        <v>3389</v>
      </c>
      <c r="BK131">
        <v>3.0</v>
      </c>
      <c r="BL131">
        <v>2.0</v>
      </c>
      <c r="BM131" t="s">
        <v>3390</v>
      </c>
      <c r="BN131">
        <v>2.0</v>
      </c>
      <c r="BO131">
        <v>4.0</v>
      </c>
      <c r="BP131" t="s">
        <v>3391</v>
      </c>
      <c r="BQ131" t="s">
        <v>945</v>
      </c>
      <c r="BR131" t="s">
        <v>3392</v>
      </c>
      <c r="BS131" t="s">
        <v>3393</v>
      </c>
      <c r="BU131" t="s">
        <v>528</v>
      </c>
      <c r="BV131" s="3" t="s">
        <v>3394</v>
      </c>
      <c r="BW131" t="b">
        <v>1</v>
      </c>
      <c r="BX131" t="s">
        <v>1394</v>
      </c>
      <c r="BY131" t="s">
        <v>140</v>
      </c>
      <c r="CA131" t="s">
        <v>1395</v>
      </c>
      <c r="CD131">
        <v>0.0</v>
      </c>
      <c r="CF131" t="b">
        <v>0</v>
      </c>
      <c r="CG131" t="b">
        <v>1</v>
      </c>
      <c r="CH131" t="s">
        <v>128</v>
      </c>
      <c r="CJ131" t="b">
        <v>1</v>
      </c>
      <c r="CK131" t="b">
        <v>0</v>
      </c>
      <c r="CL131" t="s">
        <v>387</v>
      </c>
      <c r="CM131" t="s">
        <v>387</v>
      </c>
      <c r="CO131" t="s">
        <v>1635</v>
      </c>
      <c r="CQ131" t="s">
        <v>387</v>
      </c>
      <c r="CR131" t="b">
        <v>1</v>
      </c>
      <c r="CT131">
        <v>2.0</v>
      </c>
      <c r="CU131">
        <v>1.0</v>
      </c>
      <c r="CX131" t="s">
        <v>679</v>
      </c>
      <c r="CZ131" s="5">
        <v>44254.943460648145</v>
      </c>
      <c r="DA131" t="s">
        <v>3395</v>
      </c>
    </row>
    <row r="132">
      <c r="A132" t="s">
        <v>98</v>
      </c>
      <c r="D132" t="s">
        <v>3396</v>
      </c>
      <c r="E132" t="s">
        <v>3397</v>
      </c>
      <c r="F132" s="2" t="s">
        <v>3398</v>
      </c>
      <c r="G132" t="s">
        <v>1466</v>
      </c>
      <c r="I132" s="3" t="s">
        <v>3399</v>
      </c>
      <c r="J132" t="s">
        <v>3400</v>
      </c>
      <c r="K132" t="b">
        <v>1</v>
      </c>
      <c r="L132" s="4" t="s">
        <v>3401</v>
      </c>
      <c r="M132" t="s">
        <v>3402</v>
      </c>
      <c r="N132" t="s">
        <v>255</v>
      </c>
      <c r="O132" t="s">
        <v>3403</v>
      </c>
      <c r="P132" t="s">
        <v>3404</v>
      </c>
      <c r="Q132" t="s">
        <v>189</v>
      </c>
      <c r="R132" t="s">
        <v>3405</v>
      </c>
      <c r="S132" t="s">
        <v>3406</v>
      </c>
      <c r="T132" s="4" t="s">
        <v>3407</v>
      </c>
      <c r="U132" t="s">
        <v>3408</v>
      </c>
      <c r="V132" t="s">
        <v>3409</v>
      </c>
      <c r="W132" t="s">
        <v>261</v>
      </c>
      <c r="Y132" t="s">
        <v>158</v>
      </c>
      <c r="Z132" t="s">
        <v>262</v>
      </c>
      <c r="AC132" s="3" t="s">
        <v>3410</v>
      </c>
      <c r="AD132" t="s">
        <v>118</v>
      </c>
      <c r="AE132" t="s">
        <v>1220</v>
      </c>
      <c r="AI132" t="s">
        <v>121</v>
      </c>
      <c r="AK132" t="s">
        <v>3411</v>
      </c>
      <c r="AL132" t="s">
        <v>3412</v>
      </c>
      <c r="AO132" t="s">
        <v>125</v>
      </c>
      <c r="AP132">
        <v>5.0</v>
      </c>
      <c r="AQ132" t="s">
        <v>1480</v>
      </c>
      <c r="AR132" t="s">
        <v>3413</v>
      </c>
      <c r="AS132" t="b">
        <v>0</v>
      </c>
      <c r="AV132">
        <v>4.0</v>
      </c>
      <c r="AW132" t="b">
        <v>0</v>
      </c>
      <c r="AZ132" t="b">
        <v>0</v>
      </c>
      <c r="BA132" t="b">
        <v>0</v>
      </c>
      <c r="BD132" t="s">
        <v>3414</v>
      </c>
      <c r="BH132" t="s">
        <v>132</v>
      </c>
      <c r="BI132">
        <v>3.0</v>
      </c>
      <c r="BJ132" t="s">
        <v>3415</v>
      </c>
      <c r="BK132">
        <v>5.0</v>
      </c>
      <c r="BL132">
        <v>7.0</v>
      </c>
      <c r="BM132" t="s">
        <v>3416</v>
      </c>
      <c r="BN132">
        <v>4.0</v>
      </c>
      <c r="BO132">
        <v>2.0</v>
      </c>
      <c r="BP132" t="s">
        <v>3417</v>
      </c>
      <c r="BQ132" t="s">
        <v>1050</v>
      </c>
      <c r="BR132" t="s">
        <v>3418</v>
      </c>
      <c r="BS132" t="s">
        <v>3419</v>
      </c>
      <c r="BU132" t="s">
        <v>3420</v>
      </c>
      <c r="BV132" s="3" t="s">
        <v>3421</v>
      </c>
      <c r="BW132" t="b">
        <v>1</v>
      </c>
      <c r="BX132" t="s">
        <v>1394</v>
      </c>
      <c r="BY132" t="s">
        <v>140</v>
      </c>
      <c r="CA132" t="s">
        <v>1395</v>
      </c>
      <c r="CD132">
        <v>0.0</v>
      </c>
      <c r="CF132" t="b">
        <v>1</v>
      </c>
      <c r="CG132" t="b">
        <v>1</v>
      </c>
      <c r="CH132" t="s">
        <v>1935</v>
      </c>
      <c r="CJ132" t="b">
        <v>1</v>
      </c>
      <c r="CK132" t="b">
        <v>0</v>
      </c>
      <c r="CL132" t="s">
        <v>541</v>
      </c>
      <c r="CM132" t="s">
        <v>198</v>
      </c>
      <c r="CO132" t="s">
        <v>200</v>
      </c>
      <c r="CQ132" t="s">
        <v>541</v>
      </c>
      <c r="CR132" t="b">
        <v>1</v>
      </c>
      <c r="CT132">
        <v>0.0</v>
      </c>
      <c r="CU132">
        <v>0.0</v>
      </c>
      <c r="CX132" s="4" t="s">
        <v>2914</v>
      </c>
      <c r="CZ132" s="5">
        <v>44256.81664351852</v>
      </c>
      <c r="DA132" t="s">
        <v>3422</v>
      </c>
    </row>
    <row r="133">
      <c r="A133" t="s">
        <v>98</v>
      </c>
      <c r="D133" t="s">
        <v>3423</v>
      </c>
      <c r="E133" t="s">
        <v>3424</v>
      </c>
      <c r="F133" s="2">
        <v>38085.0</v>
      </c>
      <c r="G133" t="s">
        <v>1466</v>
      </c>
      <c r="I133" s="3" t="s">
        <v>3425</v>
      </c>
      <c r="J133" t="s">
        <v>3426</v>
      </c>
      <c r="K133" t="b">
        <v>1</v>
      </c>
      <c r="L133" s="4" t="s">
        <v>3427</v>
      </c>
      <c r="M133" t="s">
        <v>3428</v>
      </c>
      <c r="N133" t="s">
        <v>255</v>
      </c>
      <c r="O133" t="s">
        <v>3429</v>
      </c>
      <c r="P133" t="s">
        <v>3430</v>
      </c>
      <c r="Q133" t="s">
        <v>189</v>
      </c>
      <c r="R133" t="s">
        <v>3431</v>
      </c>
      <c r="S133" t="s">
        <v>3432</v>
      </c>
      <c r="T133" s="4" t="s">
        <v>3433</v>
      </c>
      <c r="U133" t="s">
        <v>3078</v>
      </c>
      <c r="V133" t="s">
        <v>2381</v>
      </c>
      <c r="W133" t="s">
        <v>261</v>
      </c>
      <c r="Y133" t="s">
        <v>158</v>
      </c>
      <c r="Z133" t="s">
        <v>262</v>
      </c>
      <c r="AC133" s="3" t="s">
        <v>3434</v>
      </c>
      <c r="AD133" t="s">
        <v>118</v>
      </c>
      <c r="AE133" t="s">
        <v>1220</v>
      </c>
      <c r="AI133" t="s">
        <v>121</v>
      </c>
      <c r="AK133" t="s">
        <v>3008</v>
      </c>
      <c r="AL133" t="s">
        <v>3435</v>
      </c>
      <c r="AO133" t="s">
        <v>125</v>
      </c>
      <c r="AP133">
        <v>6.0</v>
      </c>
      <c r="AQ133" t="s">
        <v>303</v>
      </c>
      <c r="AR133" t="s">
        <v>3436</v>
      </c>
      <c r="AS133" t="b">
        <v>1</v>
      </c>
      <c r="AT133" t="b">
        <v>1</v>
      </c>
      <c r="AV133">
        <v>5.0</v>
      </c>
      <c r="AW133" t="b">
        <v>1</v>
      </c>
      <c r="AX133" t="s">
        <v>2797</v>
      </c>
      <c r="AY133" t="s">
        <v>1451</v>
      </c>
      <c r="AZ133" t="b">
        <v>0</v>
      </c>
      <c r="BA133" t="b">
        <v>1</v>
      </c>
      <c r="BB133" t="b">
        <v>1</v>
      </c>
      <c r="BC133" t="s">
        <v>139</v>
      </c>
      <c r="BH133" t="s">
        <v>132</v>
      </c>
      <c r="BI133">
        <v>6.0</v>
      </c>
      <c r="BJ133" t="s">
        <v>3437</v>
      </c>
      <c r="BK133">
        <v>7.0</v>
      </c>
      <c r="BL133">
        <v>7.0</v>
      </c>
      <c r="BM133" t="s">
        <v>3438</v>
      </c>
      <c r="BN133">
        <v>7.0</v>
      </c>
      <c r="BO133">
        <v>7.0</v>
      </c>
      <c r="BP133" t="s">
        <v>3439</v>
      </c>
      <c r="BQ133" t="s">
        <v>916</v>
      </c>
      <c r="BR133" t="s">
        <v>3440</v>
      </c>
      <c r="BS133" t="s">
        <v>3441</v>
      </c>
      <c r="BU133" t="s">
        <v>139</v>
      </c>
      <c r="BV133" s="3" t="s">
        <v>3442</v>
      </c>
      <c r="BW133" t="b">
        <v>1</v>
      </c>
      <c r="BX133" t="s">
        <v>1394</v>
      </c>
      <c r="BY133" t="s">
        <v>140</v>
      </c>
      <c r="CA133" t="s">
        <v>1395</v>
      </c>
      <c r="CD133">
        <v>0.0</v>
      </c>
      <c r="CF133" t="b">
        <v>1</v>
      </c>
      <c r="CG133" t="b">
        <v>1</v>
      </c>
      <c r="CH133" t="s">
        <v>2553</v>
      </c>
      <c r="CJ133" t="b">
        <v>1</v>
      </c>
      <c r="CK133" t="b">
        <v>1</v>
      </c>
      <c r="CL133" t="s">
        <v>541</v>
      </c>
      <c r="CM133" t="s">
        <v>198</v>
      </c>
      <c r="CO133" t="s">
        <v>3443</v>
      </c>
      <c r="CQ133" t="s">
        <v>198</v>
      </c>
      <c r="CR133" t="b">
        <v>1</v>
      </c>
      <c r="CT133">
        <v>3.0</v>
      </c>
      <c r="CU133">
        <v>0.0</v>
      </c>
      <c r="CX133" s="4" t="s">
        <v>3444</v>
      </c>
      <c r="CZ133" s="5">
        <v>44259.82564814815</v>
      </c>
      <c r="DA133" t="s">
        <v>3445</v>
      </c>
    </row>
    <row r="134">
      <c r="A134" t="s">
        <v>98</v>
      </c>
      <c r="D134" t="s">
        <v>3446</v>
      </c>
      <c r="E134" t="s">
        <v>3447</v>
      </c>
      <c r="F134" s="2">
        <v>38583.0</v>
      </c>
      <c r="G134" t="s">
        <v>1360</v>
      </c>
      <c r="I134" s="3" t="s">
        <v>3448</v>
      </c>
      <c r="J134" t="s">
        <v>3449</v>
      </c>
      <c r="K134" t="b">
        <v>0</v>
      </c>
      <c r="M134" t="s">
        <v>3450</v>
      </c>
      <c r="N134" t="s">
        <v>105</v>
      </c>
      <c r="O134" t="s">
        <v>3451</v>
      </c>
      <c r="P134" t="s">
        <v>3452</v>
      </c>
      <c r="Q134" t="s">
        <v>152</v>
      </c>
      <c r="R134" t="s">
        <v>3453</v>
      </c>
      <c r="S134" t="s">
        <v>3454</v>
      </c>
      <c r="T134" s="4" t="s">
        <v>3455</v>
      </c>
      <c r="U134" t="s">
        <v>2380</v>
      </c>
      <c r="V134" t="s">
        <v>2381</v>
      </c>
      <c r="W134" t="s">
        <v>261</v>
      </c>
      <c r="Y134" t="s">
        <v>158</v>
      </c>
      <c r="Z134" t="s">
        <v>195</v>
      </c>
      <c r="AC134" s="3" t="s">
        <v>3456</v>
      </c>
      <c r="AD134" t="s">
        <v>118</v>
      </c>
      <c r="AE134" t="s">
        <v>729</v>
      </c>
      <c r="AF134" t="s">
        <v>2983</v>
      </c>
      <c r="AG134">
        <v>13.0</v>
      </c>
      <c r="AH134" t="s">
        <v>3457</v>
      </c>
      <c r="AI134" t="s">
        <v>121</v>
      </c>
      <c r="AK134" t="s">
        <v>3458</v>
      </c>
      <c r="AL134" t="s">
        <v>621</v>
      </c>
      <c r="AO134" t="s">
        <v>125</v>
      </c>
      <c r="AP134">
        <v>6.0</v>
      </c>
      <c r="AQ134" t="s">
        <v>126</v>
      </c>
      <c r="AR134" t="s">
        <v>3459</v>
      </c>
      <c r="AS134" t="b">
        <v>0</v>
      </c>
      <c r="AV134">
        <v>5.0</v>
      </c>
      <c r="AW134" t="b">
        <v>0</v>
      </c>
      <c r="AZ134" t="b">
        <v>0</v>
      </c>
      <c r="BA134" t="b">
        <v>0</v>
      </c>
      <c r="BD134" t="s">
        <v>3460</v>
      </c>
      <c r="BH134" t="s">
        <v>132</v>
      </c>
      <c r="BI134">
        <v>2.0</v>
      </c>
      <c r="BJ134" t="s">
        <v>3461</v>
      </c>
      <c r="BK134">
        <v>4.0</v>
      </c>
      <c r="BL134">
        <v>6.0</v>
      </c>
      <c r="BM134" t="s">
        <v>3462</v>
      </c>
      <c r="BN134">
        <v>6.0</v>
      </c>
      <c r="BO134">
        <v>6.0</v>
      </c>
      <c r="BP134" t="s">
        <v>3463</v>
      </c>
      <c r="BQ134" t="s">
        <v>3464</v>
      </c>
      <c r="BR134" t="s">
        <v>3465</v>
      </c>
      <c r="BS134" t="s">
        <v>3466</v>
      </c>
      <c r="BU134" t="s">
        <v>3467</v>
      </c>
      <c r="BV134" s="3" t="s">
        <v>3468</v>
      </c>
      <c r="BW134" t="b">
        <v>1</v>
      </c>
      <c r="BX134" t="s">
        <v>1394</v>
      </c>
      <c r="BY134" t="s">
        <v>140</v>
      </c>
      <c r="CA134" t="s">
        <v>1395</v>
      </c>
      <c r="CD134">
        <v>0.0</v>
      </c>
      <c r="CF134" t="b">
        <v>1</v>
      </c>
      <c r="CG134" t="b">
        <v>1</v>
      </c>
      <c r="CH134" t="s">
        <v>2553</v>
      </c>
      <c r="CJ134" t="b">
        <v>1</v>
      </c>
      <c r="CK134" t="b">
        <v>1</v>
      </c>
      <c r="CL134" t="s">
        <v>198</v>
      </c>
      <c r="CM134" t="s">
        <v>198</v>
      </c>
      <c r="CO134" t="s">
        <v>200</v>
      </c>
      <c r="CQ134" t="s">
        <v>198</v>
      </c>
      <c r="CR134" t="b">
        <v>1</v>
      </c>
      <c r="CT134">
        <v>0.0</v>
      </c>
      <c r="CU134">
        <v>0.0</v>
      </c>
      <c r="CX134" s="4" t="s">
        <v>2914</v>
      </c>
      <c r="CZ134" s="5">
        <v>44259.852175925924</v>
      </c>
      <c r="DA134" t="s">
        <v>3469</v>
      </c>
    </row>
    <row r="135">
      <c r="A135" t="s">
        <v>98</v>
      </c>
      <c r="D135" t="s">
        <v>3470</v>
      </c>
      <c r="E135" t="s">
        <v>3471</v>
      </c>
      <c r="F135" s="2">
        <v>37939.0</v>
      </c>
      <c r="G135" t="s">
        <v>1466</v>
      </c>
      <c r="I135" s="3" t="s">
        <v>3472</v>
      </c>
      <c r="J135" t="s">
        <v>3473</v>
      </c>
      <c r="K135" t="b">
        <v>1</v>
      </c>
      <c r="L135" s="4" t="s">
        <v>3474</v>
      </c>
      <c r="M135" t="s">
        <v>3475</v>
      </c>
      <c r="N135" t="s">
        <v>149</v>
      </c>
      <c r="O135" t="s">
        <v>3476</v>
      </c>
      <c r="P135" t="s">
        <v>3477</v>
      </c>
      <c r="Q135" t="s">
        <v>152</v>
      </c>
      <c r="R135" t="s">
        <v>3478</v>
      </c>
      <c r="S135" t="s">
        <v>3479</v>
      </c>
      <c r="T135" s="4" t="s">
        <v>3474</v>
      </c>
      <c r="U135" t="s">
        <v>3480</v>
      </c>
      <c r="V135" t="s">
        <v>3481</v>
      </c>
      <c r="W135" t="s">
        <v>2290</v>
      </c>
      <c r="Y135" t="s">
        <v>158</v>
      </c>
      <c r="Z135" t="s">
        <v>262</v>
      </c>
      <c r="AC135" s="3" t="s">
        <v>3482</v>
      </c>
      <c r="AD135" t="s">
        <v>118</v>
      </c>
      <c r="AE135" t="s">
        <v>729</v>
      </c>
      <c r="AF135" t="s">
        <v>540</v>
      </c>
      <c r="AG135">
        <v>15.0</v>
      </c>
      <c r="AH135" t="s">
        <v>3483</v>
      </c>
      <c r="AI135" t="s">
        <v>162</v>
      </c>
      <c r="AK135" t="s">
        <v>139</v>
      </c>
      <c r="AL135" t="s">
        <v>2490</v>
      </c>
      <c r="AO135" t="s">
        <v>486</v>
      </c>
      <c r="AP135">
        <v>7.0</v>
      </c>
      <c r="AQ135" t="s">
        <v>303</v>
      </c>
      <c r="AR135" t="s">
        <v>3484</v>
      </c>
      <c r="AS135" t="b">
        <v>1</v>
      </c>
      <c r="AT135" t="b">
        <v>0</v>
      </c>
      <c r="AV135">
        <v>4.0</v>
      </c>
      <c r="AW135" t="b">
        <v>0</v>
      </c>
      <c r="AZ135" t="b">
        <v>0</v>
      </c>
      <c r="BA135" t="b">
        <v>0</v>
      </c>
      <c r="BD135" t="s">
        <v>3484</v>
      </c>
      <c r="BH135" t="s">
        <v>132</v>
      </c>
      <c r="BI135">
        <v>2.0</v>
      </c>
      <c r="BJ135" t="s">
        <v>3485</v>
      </c>
      <c r="BK135">
        <v>4.0</v>
      </c>
      <c r="BL135">
        <v>5.0</v>
      </c>
      <c r="BM135" t="s">
        <v>3486</v>
      </c>
      <c r="BN135">
        <v>1.0</v>
      </c>
      <c r="BO135">
        <v>7.0</v>
      </c>
      <c r="BP135" t="s">
        <v>3487</v>
      </c>
      <c r="BQ135" t="s">
        <v>916</v>
      </c>
      <c r="BR135" t="s">
        <v>3488</v>
      </c>
      <c r="BS135" t="s">
        <v>3489</v>
      </c>
      <c r="BU135" t="s">
        <v>139</v>
      </c>
      <c r="BV135" s="3" t="s">
        <v>3490</v>
      </c>
      <c r="BW135" t="b">
        <v>1</v>
      </c>
      <c r="BX135" t="s">
        <v>1394</v>
      </c>
      <c r="BY135" t="s">
        <v>140</v>
      </c>
      <c r="CA135" t="s">
        <v>1395</v>
      </c>
      <c r="CD135">
        <v>0.0</v>
      </c>
      <c r="CF135" t="b">
        <v>0</v>
      </c>
      <c r="CG135" t="b">
        <v>0</v>
      </c>
      <c r="CH135" t="s">
        <v>2553</v>
      </c>
      <c r="CJ135" t="b">
        <v>0</v>
      </c>
      <c r="CK135" t="b">
        <v>0</v>
      </c>
      <c r="CL135" t="s">
        <v>198</v>
      </c>
      <c r="CM135" t="s">
        <v>198</v>
      </c>
      <c r="CO135" t="s">
        <v>3491</v>
      </c>
      <c r="CQ135" t="s">
        <v>198</v>
      </c>
      <c r="CR135" t="b">
        <v>1</v>
      </c>
      <c r="CT135">
        <v>0.0</v>
      </c>
      <c r="CU135">
        <v>0.0</v>
      </c>
      <c r="CX135" s="4" t="s">
        <v>3492</v>
      </c>
      <c r="CZ135" s="5">
        <v>44263.89365740741</v>
      </c>
      <c r="DA135" t="s">
        <v>3493</v>
      </c>
    </row>
    <row r="136">
      <c r="A136" t="s">
        <v>98</v>
      </c>
      <c r="D136" t="s">
        <v>3494</v>
      </c>
      <c r="E136" t="s">
        <v>3495</v>
      </c>
      <c r="F136" s="2">
        <v>38118.0</v>
      </c>
      <c r="G136" t="s">
        <v>1360</v>
      </c>
      <c r="I136" s="3" t="s">
        <v>3496</v>
      </c>
      <c r="J136" t="s">
        <v>3497</v>
      </c>
      <c r="K136" t="b">
        <v>1</v>
      </c>
      <c r="L136" s="4" t="s">
        <v>3498</v>
      </c>
      <c r="M136" t="s">
        <v>3499</v>
      </c>
      <c r="N136" t="s">
        <v>105</v>
      </c>
      <c r="O136" t="s">
        <v>3500</v>
      </c>
      <c r="P136" t="s">
        <v>3501</v>
      </c>
      <c r="Q136" t="s">
        <v>189</v>
      </c>
      <c r="R136" t="s">
        <v>3502</v>
      </c>
      <c r="S136" t="s">
        <v>3503</v>
      </c>
      <c r="T136" s="4" t="s">
        <v>3504</v>
      </c>
      <c r="U136" t="s">
        <v>2567</v>
      </c>
      <c r="V136" t="s">
        <v>3505</v>
      </c>
      <c r="W136" t="s">
        <v>1412</v>
      </c>
      <c r="Y136" t="s">
        <v>158</v>
      </c>
      <c r="Z136" t="s">
        <v>262</v>
      </c>
      <c r="AC136" s="3" t="s">
        <v>3506</v>
      </c>
      <c r="AD136" t="s">
        <v>118</v>
      </c>
      <c r="AE136" t="s">
        <v>1780</v>
      </c>
      <c r="AI136" t="s">
        <v>121</v>
      </c>
      <c r="AL136" t="s">
        <v>621</v>
      </c>
      <c r="AO136" t="s">
        <v>486</v>
      </c>
      <c r="AP136">
        <v>4.0</v>
      </c>
      <c r="AQ136" t="s">
        <v>1520</v>
      </c>
      <c r="AR136" t="s">
        <v>3507</v>
      </c>
      <c r="AS136" t="b">
        <v>1</v>
      </c>
      <c r="AT136" t="b">
        <v>0</v>
      </c>
      <c r="AV136">
        <v>1.0</v>
      </c>
      <c r="AW136" t="b">
        <v>0</v>
      </c>
      <c r="AZ136" t="b">
        <v>0</v>
      </c>
      <c r="BA136" t="b">
        <v>1</v>
      </c>
      <c r="BB136" t="b">
        <v>0</v>
      </c>
      <c r="BC136" t="s">
        <v>3508</v>
      </c>
      <c r="BH136" t="s">
        <v>132</v>
      </c>
      <c r="BI136">
        <v>4.0</v>
      </c>
      <c r="BJ136" t="s">
        <v>3509</v>
      </c>
      <c r="BK136">
        <v>5.0</v>
      </c>
      <c r="BL136">
        <v>6.0</v>
      </c>
      <c r="BM136" t="s">
        <v>3510</v>
      </c>
      <c r="BN136">
        <v>1.0</v>
      </c>
      <c r="BO136">
        <v>4.0</v>
      </c>
      <c r="BP136" t="s">
        <v>3511</v>
      </c>
      <c r="BQ136" t="s">
        <v>3512</v>
      </c>
      <c r="BR136" t="s">
        <v>3513</v>
      </c>
      <c r="BS136" t="s">
        <v>3514</v>
      </c>
      <c r="BU136" t="s">
        <v>3515</v>
      </c>
      <c r="BV136" s="3" t="s">
        <v>3516</v>
      </c>
      <c r="BW136" t="b">
        <v>1</v>
      </c>
      <c r="BX136" t="s">
        <v>1394</v>
      </c>
      <c r="BY136" t="s">
        <v>140</v>
      </c>
      <c r="CA136" t="s">
        <v>1395</v>
      </c>
      <c r="CD136">
        <v>0.0</v>
      </c>
      <c r="CF136" t="b">
        <v>1</v>
      </c>
      <c r="CG136" t="b">
        <v>0</v>
      </c>
      <c r="CH136" t="s">
        <v>628</v>
      </c>
      <c r="CJ136" t="b">
        <v>0</v>
      </c>
      <c r="CK136" t="b">
        <v>1</v>
      </c>
      <c r="CL136" t="s">
        <v>541</v>
      </c>
      <c r="CO136" t="s">
        <v>388</v>
      </c>
      <c r="CR136" t="b">
        <v>1</v>
      </c>
      <c r="CT136">
        <v>0.0</v>
      </c>
      <c r="CU136">
        <v>0.0</v>
      </c>
      <c r="CX136" s="4" t="s">
        <v>3517</v>
      </c>
      <c r="CZ136" s="5">
        <v>44267.83008101852</v>
      </c>
      <c r="DA136" t="s">
        <v>3518</v>
      </c>
    </row>
    <row r="137">
      <c r="A137" t="s">
        <v>1399</v>
      </c>
      <c r="D137" t="s">
        <v>3519</v>
      </c>
      <c r="E137" t="s">
        <v>1719</v>
      </c>
      <c r="F137" s="2">
        <v>39032.0</v>
      </c>
      <c r="G137" t="s">
        <v>1360</v>
      </c>
      <c r="I137" s="3" t="str">
        <f>HYPERLINK("https://api.typeform.com/responses/files/69681d3eaf03efbf92be8f573df039b82608962bf7208c5e58396f29b6101e7a/Screenshot_2021_05_22_11.45.50_AM.png")</f>
        <v>https://api.typeform.com/responses/files/69681d3eaf03efbf92be8f573df039b82608962bf7208c5e58396f29b6101e7a/Screenshot_2021_05_22_11.45.50_AM.png</v>
      </c>
      <c r="J137" t="s">
        <v>3520</v>
      </c>
      <c r="K137" t="b">
        <v>1</v>
      </c>
      <c r="L137" s="4" t="s">
        <v>3521</v>
      </c>
      <c r="M137" t="s">
        <v>3522</v>
      </c>
      <c r="N137" t="s">
        <v>255</v>
      </c>
      <c r="P137" t="s">
        <v>3523</v>
      </c>
      <c r="Q137" t="s">
        <v>152</v>
      </c>
      <c r="R137" t="s">
        <v>3524</v>
      </c>
      <c r="S137" t="s">
        <v>3522</v>
      </c>
      <c r="T137" s="4" t="s">
        <v>3521</v>
      </c>
      <c r="U137" t="s">
        <v>3525</v>
      </c>
      <c r="V137" t="s">
        <v>3526</v>
      </c>
      <c r="W137" t="s">
        <v>113</v>
      </c>
      <c r="Y137" t="s">
        <v>158</v>
      </c>
      <c r="Z137" t="s">
        <v>384</v>
      </c>
      <c r="AC137" s="3" t="str">
        <f>HYPERLINK("https://api.typeform.com/responses/files/b5e8b4f1afe102f76f82fea96f2be19c94497007fde09811db3e8cd8628a79cf/Screenshot_2021_05_22_11.57.01_AM.png")</f>
        <v>https://api.typeform.com/responses/files/b5e8b4f1afe102f76f82fea96f2be19c94497007fde09811db3e8cd8628a79cf/Screenshot_2021_05_22_11.57.01_AM.png</v>
      </c>
      <c r="AD137" t="s">
        <v>758</v>
      </c>
      <c r="AE137" t="s">
        <v>729</v>
      </c>
      <c r="AF137" t="s">
        <v>1731</v>
      </c>
      <c r="AG137">
        <v>12.0</v>
      </c>
      <c r="AH137" t="s">
        <v>3527</v>
      </c>
      <c r="AI137" t="s">
        <v>162</v>
      </c>
      <c r="AK137" t="s">
        <v>179</v>
      </c>
      <c r="AL137" t="s">
        <v>3528</v>
      </c>
      <c r="AO137" t="s">
        <v>335</v>
      </c>
      <c r="AP137">
        <v>4.0</v>
      </c>
      <c r="AQ137" t="s">
        <v>126</v>
      </c>
      <c r="AR137" t="s">
        <v>462</v>
      </c>
      <c r="AS137" t="b">
        <v>0</v>
      </c>
      <c r="AV137">
        <v>6.0</v>
      </c>
      <c r="AW137" t="b">
        <v>0</v>
      </c>
      <c r="AZ137" t="b">
        <v>0</v>
      </c>
      <c r="BA137" t="b">
        <v>0</v>
      </c>
      <c r="BD137" t="s">
        <v>462</v>
      </c>
      <c r="BH137" t="s">
        <v>132</v>
      </c>
      <c r="BI137">
        <v>4.0</v>
      </c>
      <c r="BJ137" t="s">
        <v>3529</v>
      </c>
      <c r="BK137">
        <v>4.0</v>
      </c>
      <c r="BL137">
        <v>4.0</v>
      </c>
      <c r="BM137" t="s">
        <v>3530</v>
      </c>
      <c r="BN137">
        <v>4.0</v>
      </c>
      <c r="BO137">
        <v>4.0</v>
      </c>
      <c r="BP137" t="s">
        <v>3531</v>
      </c>
      <c r="BQ137" t="s">
        <v>1050</v>
      </c>
      <c r="BR137" t="s">
        <v>3532</v>
      </c>
      <c r="BS137" t="s">
        <v>3533</v>
      </c>
      <c r="BU137" t="s">
        <v>3534</v>
      </c>
      <c r="BV137" s="3" t="str">
        <f>HYPERLINK("https://api.typeform.com/responses/files/52da1b7606fbddd52804b9f15a795a7d49b6af5c50c437d44deb969c033e54f8/SPEAKHIRE_Parent.Guardian_Consent_Form.pdf")</f>
        <v>https://api.typeform.com/responses/files/52da1b7606fbddd52804b9f15a795a7d49b6af5c50c437d44deb969c033e54f8/SPEAKHIRE_Parent.Guardian_Consent_Form.pdf</v>
      </c>
      <c r="BW137" t="b">
        <v>1</v>
      </c>
      <c r="BX137" t="s">
        <v>1394</v>
      </c>
      <c r="BY137" t="s">
        <v>822</v>
      </c>
      <c r="BZ137" t="s">
        <v>1419</v>
      </c>
      <c r="CD137">
        <v>0.0</v>
      </c>
      <c r="CF137" t="b">
        <v>1</v>
      </c>
      <c r="CG137" t="b">
        <v>1</v>
      </c>
      <c r="CH137" t="s">
        <v>3535</v>
      </c>
      <c r="CJ137" t="b">
        <v>1</v>
      </c>
      <c r="CK137" t="b">
        <v>1</v>
      </c>
      <c r="CL137" t="s">
        <v>636</v>
      </c>
      <c r="CO137" t="s">
        <v>124</v>
      </c>
      <c r="CS137" t="b">
        <v>1</v>
      </c>
      <c r="CT137">
        <v>0.0</v>
      </c>
      <c r="CU137">
        <v>10.0</v>
      </c>
      <c r="CX137" s="4" t="s">
        <v>3536</v>
      </c>
      <c r="CZ137" s="5">
        <v>44338.70827546297</v>
      </c>
      <c r="DA137" t="s">
        <v>3537</v>
      </c>
    </row>
    <row r="138">
      <c r="A138" t="s">
        <v>98</v>
      </c>
      <c r="D138" t="s">
        <v>3538</v>
      </c>
      <c r="E138" t="s">
        <v>3539</v>
      </c>
      <c r="F138" s="2">
        <v>37606.0</v>
      </c>
      <c r="G138" t="s">
        <v>1360</v>
      </c>
      <c r="I138" s="3" t="str">
        <f>HYPERLINK("https://api.typeform.com/responses/files/701a0c62b004ba51aab388b3d15d236ec0f8481b616787631d1455d89f167d42/an_n.jpeg")</f>
        <v>https://api.typeform.com/responses/files/701a0c62b004ba51aab388b3d15d236ec0f8481b616787631d1455d89f167d42/an_n.jpeg</v>
      </c>
      <c r="J138" t="s">
        <v>3540</v>
      </c>
      <c r="K138" t="b">
        <v>1</v>
      </c>
      <c r="L138" s="4" t="s">
        <v>3541</v>
      </c>
      <c r="M138" t="s">
        <v>3542</v>
      </c>
      <c r="N138" t="s">
        <v>149</v>
      </c>
      <c r="O138" t="s">
        <v>3543</v>
      </c>
      <c r="P138" t="s">
        <v>3544</v>
      </c>
      <c r="Q138" t="s">
        <v>108</v>
      </c>
      <c r="R138" t="s">
        <v>3545</v>
      </c>
      <c r="S138" t="s">
        <v>3542</v>
      </c>
      <c r="T138" s="4" t="s">
        <v>3546</v>
      </c>
      <c r="U138" t="s">
        <v>3547</v>
      </c>
      <c r="V138" t="s">
        <v>3548</v>
      </c>
      <c r="W138" t="s">
        <v>261</v>
      </c>
      <c r="Y138" t="s">
        <v>158</v>
      </c>
      <c r="Z138" t="s">
        <v>384</v>
      </c>
      <c r="AC138" s="3" t="str">
        <f>HYPERLINK("https://api.typeform.com/responses/files/bc276cafc7f7ea1f8f3f2cd458e5fe079be4528e4d8500800411aa2dbfadcd37/189473385_515606229578411_9165798095386730860_n.jpg")</f>
        <v>https://api.typeform.com/responses/files/bc276cafc7f7ea1f8f3f2cd458e5fe079be4528e4d8500800411aa2dbfadcd37/189473385_515606229578411_9165798095386730860_n.jpg</v>
      </c>
      <c r="AD138" t="s">
        <v>118</v>
      </c>
      <c r="AE138" t="s">
        <v>729</v>
      </c>
      <c r="AF138" t="s">
        <v>3549</v>
      </c>
      <c r="AG138">
        <v>17.0</v>
      </c>
      <c r="AH138" t="s">
        <v>3550</v>
      </c>
      <c r="AI138" t="s">
        <v>162</v>
      </c>
      <c r="AK138" t="s">
        <v>3551</v>
      </c>
      <c r="AL138" t="s">
        <v>3552</v>
      </c>
      <c r="AO138" t="s">
        <v>335</v>
      </c>
      <c r="AP138">
        <v>6.0</v>
      </c>
      <c r="AQ138" t="s">
        <v>2240</v>
      </c>
      <c r="AR138" t="s">
        <v>2701</v>
      </c>
      <c r="AS138" t="b">
        <v>1</v>
      </c>
      <c r="AT138" t="b">
        <v>0</v>
      </c>
      <c r="AV138">
        <v>7.0</v>
      </c>
      <c r="AW138" t="b">
        <v>1</v>
      </c>
      <c r="AX138" s="4" t="s">
        <v>130</v>
      </c>
      <c r="AY138" s="4" t="s">
        <v>170</v>
      </c>
      <c r="AZ138" t="b">
        <v>0</v>
      </c>
      <c r="BA138" t="b">
        <v>0</v>
      </c>
      <c r="BD138" t="s">
        <v>3553</v>
      </c>
      <c r="BH138" t="s">
        <v>132</v>
      </c>
      <c r="BI138">
        <v>2.0</v>
      </c>
      <c r="BJ138" t="s">
        <v>3554</v>
      </c>
      <c r="BK138">
        <v>5.0</v>
      </c>
      <c r="BL138">
        <v>5.0</v>
      </c>
      <c r="BM138" t="s">
        <v>3555</v>
      </c>
      <c r="BN138">
        <v>4.0</v>
      </c>
      <c r="BO138">
        <v>4.0</v>
      </c>
      <c r="BP138" t="s">
        <v>3556</v>
      </c>
      <c r="BQ138" t="s">
        <v>3557</v>
      </c>
      <c r="BR138" t="s">
        <v>3558</v>
      </c>
      <c r="BS138" t="s">
        <v>679</v>
      </c>
      <c r="BU138" t="s">
        <v>3559</v>
      </c>
      <c r="BV138" s="3" t="str">
        <f>HYPERLINK("https://api.typeform.com/responses/files/4d55161123142d0d98e1e8a18d9909b5e8442f5d8d327e777ed958e2b01f13b7/Parent.Guardian_Consent_Form__1_.pdf")</f>
        <v>https://api.typeform.com/responses/files/4d55161123142d0d98e1e8a18d9909b5e8442f5d8d327e777ed958e2b01f13b7/Parent.Guardian_Consent_Form__1_.pdf</v>
      </c>
      <c r="BW138" t="b">
        <v>1</v>
      </c>
      <c r="BX138" t="s">
        <v>497</v>
      </c>
      <c r="BY138" t="s">
        <v>140</v>
      </c>
      <c r="CA138" t="s">
        <v>498</v>
      </c>
      <c r="CB138" t="s">
        <v>3560</v>
      </c>
      <c r="CD138">
        <v>0.0</v>
      </c>
      <c r="CF138" t="b">
        <v>1</v>
      </c>
      <c r="CG138" t="b">
        <v>1</v>
      </c>
      <c r="CH138" t="s">
        <v>366</v>
      </c>
      <c r="CJ138" t="b">
        <v>0</v>
      </c>
      <c r="CK138" t="b">
        <v>1</v>
      </c>
      <c r="CL138" t="s">
        <v>2736</v>
      </c>
      <c r="CM138" t="s">
        <v>2736</v>
      </c>
      <c r="CO138" t="s">
        <v>200</v>
      </c>
      <c r="CR138" t="b">
        <v>1</v>
      </c>
      <c r="CT138">
        <v>0.0</v>
      </c>
      <c r="CU138">
        <v>1.0</v>
      </c>
      <c r="CX138" t="s">
        <v>3561</v>
      </c>
      <c r="CZ138" s="5">
        <v>44340.00336805556</v>
      </c>
      <c r="DA138" t="s">
        <v>3562</v>
      </c>
    </row>
    <row r="139">
      <c r="A139" t="s">
        <v>98</v>
      </c>
      <c r="D139" t="s">
        <v>3563</v>
      </c>
      <c r="E139" t="s">
        <v>3564</v>
      </c>
      <c r="F139" s="2">
        <v>37805.0</v>
      </c>
      <c r="G139" t="s">
        <v>1466</v>
      </c>
      <c r="I139" s="3" t="str">
        <f>HYPERLINK("https://api.typeform.com/responses/files/b54807191892977d12186ade6182941fc17f95ae529cce696ce1791cad26e3f0/IMG_0329.heic")</f>
        <v>https://api.typeform.com/responses/files/b54807191892977d12186ade6182941fc17f95ae529cce696ce1791cad26e3f0/IMG_0329.heic</v>
      </c>
      <c r="J139" t="s">
        <v>3565</v>
      </c>
      <c r="K139" t="b">
        <v>1</v>
      </c>
      <c r="L139" s="4" t="s">
        <v>3566</v>
      </c>
      <c r="M139" t="s">
        <v>3567</v>
      </c>
      <c r="N139" t="s">
        <v>105</v>
      </c>
      <c r="O139" t="s">
        <v>620</v>
      </c>
      <c r="P139" t="s">
        <v>3568</v>
      </c>
      <c r="Q139" t="s">
        <v>189</v>
      </c>
      <c r="R139" t="s">
        <v>3569</v>
      </c>
      <c r="S139" t="s">
        <v>3570</v>
      </c>
      <c r="T139" s="4" t="s">
        <v>3571</v>
      </c>
      <c r="U139" t="s">
        <v>3572</v>
      </c>
      <c r="V139" t="s">
        <v>3573</v>
      </c>
      <c r="W139" t="s">
        <v>261</v>
      </c>
      <c r="Y139" t="s">
        <v>158</v>
      </c>
      <c r="Z139" t="s">
        <v>159</v>
      </c>
      <c r="AC139" s="3" t="str">
        <f>HYPERLINK("https://api.typeform.com/responses/files/aa84a158221d5a07fbf2d4cdf27cee8ae83303367b9029ea02ac3fd5f7decc73/parent_consent_form.html")</f>
        <v>https://api.typeform.com/responses/files/aa84a158221d5a07fbf2d4cdf27cee8ae83303367b9029ea02ac3fd5f7decc73/parent_consent_form.html</v>
      </c>
      <c r="AD139" t="s">
        <v>118</v>
      </c>
      <c r="AE139" t="s">
        <v>1220</v>
      </c>
      <c r="AI139" t="s">
        <v>121</v>
      </c>
      <c r="AK139" t="s">
        <v>3574</v>
      </c>
      <c r="AL139" t="s">
        <v>3575</v>
      </c>
      <c r="AO139" t="s">
        <v>125</v>
      </c>
      <c r="AP139">
        <v>6.0</v>
      </c>
      <c r="AQ139" t="s">
        <v>303</v>
      </c>
      <c r="AR139" t="s">
        <v>3576</v>
      </c>
      <c r="AS139" t="b">
        <v>1</v>
      </c>
      <c r="AT139" t="b">
        <v>0</v>
      </c>
      <c r="AV139">
        <v>5.0</v>
      </c>
      <c r="AW139" t="b">
        <v>1</v>
      </c>
      <c r="AX139" t="s">
        <v>1902</v>
      </c>
      <c r="AY139" s="4" t="s">
        <v>518</v>
      </c>
      <c r="AZ139" t="b">
        <v>1</v>
      </c>
      <c r="BA139" t="b">
        <v>1</v>
      </c>
      <c r="BB139" t="b">
        <v>0</v>
      </c>
      <c r="BC139" t="s">
        <v>3577</v>
      </c>
      <c r="BH139" t="s">
        <v>132</v>
      </c>
      <c r="BI139">
        <v>4.0</v>
      </c>
      <c r="BJ139" t="s">
        <v>3578</v>
      </c>
      <c r="BK139">
        <v>7.0</v>
      </c>
      <c r="BL139">
        <v>7.0</v>
      </c>
      <c r="BM139" t="s">
        <v>3579</v>
      </c>
      <c r="BN139">
        <v>5.0</v>
      </c>
      <c r="BO139">
        <v>6.0</v>
      </c>
      <c r="BP139" t="s">
        <v>3580</v>
      </c>
      <c r="BQ139" t="s">
        <v>3581</v>
      </c>
      <c r="BR139" t="s">
        <v>3582</v>
      </c>
      <c r="BS139" s="4" t="s">
        <v>734</v>
      </c>
      <c r="BU139" t="s">
        <v>3583</v>
      </c>
      <c r="BV139" s="3" t="str">
        <f>HYPERLINK("https://api.typeform.com/responses/files/92c3df37d6b79619dc8e85c833f45cc30e9c684ff36e1041e7d5a5b599b77797/parent_consent_form.html")</f>
        <v>https://api.typeform.com/responses/files/92c3df37d6b79619dc8e85c833f45cc30e9c684ff36e1041e7d5a5b599b77797/parent_consent_form.html</v>
      </c>
      <c r="BW139" t="b">
        <v>1</v>
      </c>
      <c r="BX139" t="s">
        <v>1394</v>
      </c>
      <c r="BY139" t="s">
        <v>140</v>
      </c>
      <c r="CA139" t="s">
        <v>1395</v>
      </c>
      <c r="CD139">
        <v>0.0</v>
      </c>
      <c r="CF139" t="b">
        <v>1</v>
      </c>
      <c r="CG139" t="b">
        <v>1</v>
      </c>
      <c r="CH139" t="s">
        <v>2553</v>
      </c>
      <c r="CJ139" t="b">
        <v>1</v>
      </c>
      <c r="CK139" t="b">
        <v>1</v>
      </c>
      <c r="CL139" t="s">
        <v>198</v>
      </c>
      <c r="CM139" t="s">
        <v>3213</v>
      </c>
      <c r="CO139" t="s">
        <v>3584</v>
      </c>
      <c r="CQ139" t="s">
        <v>619</v>
      </c>
      <c r="CR139" t="b">
        <v>1</v>
      </c>
      <c r="CT139">
        <v>0.0</v>
      </c>
      <c r="CU139">
        <v>0.0</v>
      </c>
      <c r="CX139" t="s">
        <v>3585</v>
      </c>
      <c r="CZ139" s="5">
        <v>44356.79435185185</v>
      </c>
      <c r="DA139" t="s">
        <v>3586</v>
      </c>
    </row>
    <row r="140">
      <c r="A140" t="s">
        <v>98</v>
      </c>
      <c r="D140" t="s">
        <v>3587</v>
      </c>
      <c r="E140" t="s">
        <v>3588</v>
      </c>
      <c r="F140" s="2">
        <v>38510.0</v>
      </c>
      <c r="G140" t="s">
        <v>1360</v>
      </c>
      <c r="I140" s="3" t="str">
        <f>HYPERLINK("https://api.typeform.com/responses/files/9c951606c704b8b2bc290e708bb32bc0283cf74f5fe2cb9b4a1147d4c358bcfc/70b4ed81_ca1a_446d_a3de_e66189ff2952.jpg")</f>
        <v>https://api.typeform.com/responses/files/9c951606c704b8b2bc290e708bb32bc0283cf74f5fe2cb9b4a1147d4c358bcfc/70b4ed81_ca1a_446d_a3de_e66189ff2952.jpg</v>
      </c>
      <c r="J140" t="s">
        <v>3589</v>
      </c>
      <c r="K140" t="b">
        <v>1</v>
      </c>
      <c r="L140" s="4" t="s">
        <v>3590</v>
      </c>
      <c r="M140" t="s">
        <v>3591</v>
      </c>
      <c r="N140" t="s">
        <v>149</v>
      </c>
      <c r="O140" t="s">
        <v>3592</v>
      </c>
      <c r="P140" t="s">
        <v>3593</v>
      </c>
      <c r="Q140" t="s">
        <v>108</v>
      </c>
      <c r="R140" t="s">
        <v>3594</v>
      </c>
      <c r="S140" t="s">
        <v>3591</v>
      </c>
      <c r="T140" s="4" t="s">
        <v>3595</v>
      </c>
      <c r="U140" t="s">
        <v>3596</v>
      </c>
      <c r="V140" t="s">
        <v>3597</v>
      </c>
      <c r="W140" t="s">
        <v>113</v>
      </c>
      <c r="Y140" t="s">
        <v>158</v>
      </c>
      <c r="Z140" t="s">
        <v>195</v>
      </c>
      <c r="AC140" s="3" t="str">
        <f>HYPERLINK("https://api.typeform.com/responses/files/b1a56192480c8431d712d1d800951e33bce9b45bbbf6fbe62398dcefbcb52f87/Screenshot_2021_04_14_at_6.50.05_PM.png")</f>
        <v>https://api.typeform.com/responses/files/b1a56192480c8431d712d1d800951e33bce9b45bbbf6fbe62398dcefbcb52f87/Screenshot_2021_04_14_at_6.50.05_PM.png</v>
      </c>
      <c r="AD140" t="s">
        <v>118</v>
      </c>
      <c r="AE140" t="s">
        <v>729</v>
      </c>
      <c r="AF140" t="s">
        <v>3598</v>
      </c>
      <c r="AG140">
        <v>14.0</v>
      </c>
      <c r="AH140" t="s">
        <v>3599</v>
      </c>
      <c r="AI140" t="s">
        <v>121</v>
      </c>
      <c r="AK140" t="s">
        <v>139</v>
      </c>
      <c r="AL140" t="s">
        <v>3600</v>
      </c>
      <c r="AO140" t="s">
        <v>125</v>
      </c>
      <c r="AP140">
        <v>5.0</v>
      </c>
      <c r="AQ140" t="s">
        <v>303</v>
      </c>
      <c r="AR140" t="s">
        <v>3601</v>
      </c>
      <c r="AS140" t="b">
        <v>1</v>
      </c>
      <c r="AT140" t="b">
        <v>1</v>
      </c>
      <c r="AV140">
        <v>6.0</v>
      </c>
      <c r="AW140" t="b">
        <v>0</v>
      </c>
      <c r="AZ140" t="b">
        <v>1</v>
      </c>
      <c r="BA140" t="b">
        <v>0</v>
      </c>
      <c r="BD140" t="s">
        <v>3602</v>
      </c>
      <c r="BH140" t="s">
        <v>132</v>
      </c>
      <c r="BI140">
        <v>4.0</v>
      </c>
      <c r="BJ140" t="s">
        <v>679</v>
      </c>
      <c r="BK140">
        <v>6.0</v>
      </c>
      <c r="BL140">
        <v>4.0</v>
      </c>
      <c r="BM140" t="s">
        <v>3603</v>
      </c>
      <c r="BN140">
        <v>6.0</v>
      </c>
      <c r="BO140">
        <v>5.0</v>
      </c>
      <c r="BP140" t="s">
        <v>3604</v>
      </c>
      <c r="BQ140" t="s">
        <v>3605</v>
      </c>
      <c r="BR140" t="s">
        <v>3606</v>
      </c>
      <c r="BS140" t="s">
        <v>3607</v>
      </c>
      <c r="BU140" t="s">
        <v>3608</v>
      </c>
      <c r="BV140" s="3" t="str">
        <f>HYPERLINK("https://api.typeform.com/responses/files/7b5c3e6f8875257f2a548083606dae5790b67c51a7b1443b2d21d0e8e13ed9bc/SPEAKHIRE_Parent.Guardian_Consent_Form.pdf")</f>
        <v>https://api.typeform.com/responses/files/7b5c3e6f8875257f2a548083606dae5790b67c51a7b1443b2d21d0e8e13ed9bc/SPEAKHIRE_Parent.Guardian_Consent_Form.pdf</v>
      </c>
      <c r="BW140" t="b">
        <v>1</v>
      </c>
      <c r="BX140" t="s">
        <v>1394</v>
      </c>
      <c r="BY140" t="s">
        <v>140</v>
      </c>
      <c r="CA140" t="s">
        <v>1395</v>
      </c>
      <c r="CD140">
        <v>0.0</v>
      </c>
      <c r="CF140" t="b">
        <v>1</v>
      </c>
      <c r="CG140" t="b">
        <v>1</v>
      </c>
      <c r="CH140" t="s">
        <v>366</v>
      </c>
      <c r="CJ140" t="b">
        <v>1</v>
      </c>
      <c r="CK140" t="b">
        <v>1</v>
      </c>
      <c r="CL140" t="s">
        <v>300</v>
      </c>
      <c r="CM140" t="s">
        <v>810</v>
      </c>
      <c r="CO140" t="s">
        <v>124</v>
      </c>
      <c r="CQ140" t="s">
        <v>300</v>
      </c>
      <c r="CR140" t="b">
        <v>1</v>
      </c>
      <c r="CT140">
        <v>2.0</v>
      </c>
      <c r="CU140">
        <v>4.0</v>
      </c>
      <c r="CX140" t="s">
        <v>3609</v>
      </c>
      <c r="CZ140" s="5">
        <v>44356.8325462963</v>
      </c>
      <c r="DA140" t="s">
        <v>3610</v>
      </c>
    </row>
    <row r="141">
      <c r="A141" t="s">
        <v>98</v>
      </c>
      <c r="D141" t="s">
        <v>3611</v>
      </c>
      <c r="E141" t="s">
        <v>3612</v>
      </c>
      <c r="F141" s="2">
        <v>37898.0</v>
      </c>
      <c r="G141" t="s">
        <v>1466</v>
      </c>
      <c r="I141" s="3" t="str">
        <f>HYPERLINK("d3ea267a1ea4-IMG_1323.JPG")</f>
        <v>d3ea267a1ea4-IMG_1323.JPG</v>
      </c>
      <c r="J141" t="s">
        <v>3613</v>
      </c>
      <c r="K141" t="b">
        <v>1</v>
      </c>
      <c r="L141" s="4" t="s">
        <v>3614</v>
      </c>
      <c r="M141" t="s">
        <v>3615</v>
      </c>
      <c r="N141" t="s">
        <v>149</v>
      </c>
      <c r="O141" t="s">
        <v>3616</v>
      </c>
      <c r="P141" t="s">
        <v>3617</v>
      </c>
      <c r="Q141" t="s">
        <v>189</v>
      </c>
      <c r="R141" t="s">
        <v>3618</v>
      </c>
      <c r="S141" t="s">
        <v>3619</v>
      </c>
      <c r="T141" s="4" t="s">
        <v>3620</v>
      </c>
      <c r="U141" t="s">
        <v>3621</v>
      </c>
      <c r="V141" t="s">
        <v>3622</v>
      </c>
      <c r="W141" t="s">
        <v>113</v>
      </c>
      <c r="Y141" t="s">
        <v>158</v>
      </c>
      <c r="Z141" t="s">
        <v>262</v>
      </c>
      <c r="AC141" s="3" t="str">
        <f>HYPERLINK("5076299faf97-Screen_Shot_2021_05_25_at_3.50.36_PM.png")</f>
        <v>5076299faf97-Screen_Shot_2021_05_25_at_3.50.36_PM.png</v>
      </c>
      <c r="AD141" t="s">
        <v>118</v>
      </c>
      <c r="AE141" t="s">
        <v>729</v>
      </c>
      <c r="AF141" t="s">
        <v>1019</v>
      </c>
      <c r="AG141">
        <v>13.0</v>
      </c>
      <c r="AH141" t="s">
        <v>3623</v>
      </c>
      <c r="AI141" t="s">
        <v>386</v>
      </c>
      <c r="AK141" t="s">
        <v>139</v>
      </c>
      <c r="AL141" t="s">
        <v>1043</v>
      </c>
      <c r="AO141" t="s">
        <v>125</v>
      </c>
      <c r="AP141">
        <v>4.0</v>
      </c>
      <c r="AQ141" t="s">
        <v>268</v>
      </c>
      <c r="AR141" t="s">
        <v>3624</v>
      </c>
      <c r="AS141" t="b">
        <v>0</v>
      </c>
      <c r="AV141">
        <v>5.0</v>
      </c>
      <c r="AW141" t="b">
        <v>0</v>
      </c>
      <c r="AZ141" t="b">
        <v>0</v>
      </c>
      <c r="BA141" t="b">
        <v>1</v>
      </c>
      <c r="BB141" t="b">
        <v>0</v>
      </c>
      <c r="BC141" t="s">
        <v>3625</v>
      </c>
      <c r="BH141" t="s">
        <v>132</v>
      </c>
      <c r="BI141">
        <v>1.0</v>
      </c>
      <c r="BJ141" t="s">
        <v>620</v>
      </c>
      <c r="BK141">
        <v>3.0</v>
      </c>
      <c r="BL141">
        <v>4.0</v>
      </c>
      <c r="BM141" t="s">
        <v>3626</v>
      </c>
      <c r="BN141">
        <v>2.0</v>
      </c>
      <c r="BO141">
        <v>4.0</v>
      </c>
      <c r="BP141" t="s">
        <v>3627</v>
      </c>
      <c r="BQ141" t="s">
        <v>2218</v>
      </c>
      <c r="BR141" t="s">
        <v>3628</v>
      </c>
      <c r="BS141" t="s">
        <v>3629</v>
      </c>
      <c r="BU141" t="s">
        <v>139</v>
      </c>
      <c r="BV141" s="3" t="str">
        <f>HYPERLINK("https://api.typeform.com/responses/files/b5a15d609d8e38ab3323a690345d81b67cf7195866f975ac9610df6fe020ed80/SPEAKHIRE_Parent.Guardian_Consent_Form.pdf")</f>
        <v>https://api.typeform.com/responses/files/b5a15d609d8e38ab3323a690345d81b67cf7195866f975ac9610df6fe020ed80/SPEAKHIRE_Parent.Guardian_Consent_Form.pdf</v>
      </c>
      <c r="BW141" t="b">
        <v>1</v>
      </c>
      <c r="BX141" t="s">
        <v>1394</v>
      </c>
      <c r="BY141" t="s">
        <v>140</v>
      </c>
      <c r="CA141" t="s">
        <v>1395</v>
      </c>
      <c r="CD141">
        <v>0.0</v>
      </c>
      <c r="CF141" t="b">
        <v>1</v>
      </c>
      <c r="CG141" t="b">
        <v>0</v>
      </c>
      <c r="CH141" t="s">
        <v>1420</v>
      </c>
      <c r="CJ141" t="b">
        <v>0</v>
      </c>
      <c r="CK141" t="b">
        <v>1</v>
      </c>
      <c r="CL141" t="s">
        <v>387</v>
      </c>
      <c r="CM141" t="s">
        <v>387</v>
      </c>
      <c r="CO141" t="s">
        <v>200</v>
      </c>
      <c r="CQ141" t="s">
        <v>387</v>
      </c>
      <c r="CR141" t="b">
        <v>1</v>
      </c>
      <c r="CT141">
        <v>0.0</v>
      </c>
      <c r="CU141">
        <v>5.0</v>
      </c>
      <c r="CX141" t="s">
        <v>3630</v>
      </c>
      <c r="CZ141" s="5">
        <v>44357.11969907407</v>
      </c>
      <c r="DA141" t="s">
        <v>3631</v>
      </c>
    </row>
    <row r="142">
      <c r="A142" t="s">
        <v>98</v>
      </c>
      <c r="D142" t="s">
        <v>3632</v>
      </c>
      <c r="E142" t="s">
        <v>3633</v>
      </c>
      <c r="F142" s="2">
        <v>37261.0</v>
      </c>
      <c r="G142" t="s">
        <v>1466</v>
      </c>
      <c r="I142" s="3" t="str">
        <f>HYPERLINK("90e543817e25-EC6C6C53_C63C_47FF_83D4_2D3895E904AA.jpeg")</f>
        <v>90e543817e25-EC6C6C53_C63C_47FF_83D4_2D3895E904AA.jpeg</v>
      </c>
      <c r="J142" t="s">
        <v>3634</v>
      </c>
      <c r="K142" t="b">
        <v>1</v>
      </c>
      <c r="L142" s="4" t="s">
        <v>3635</v>
      </c>
      <c r="M142" t="s">
        <v>3636</v>
      </c>
      <c r="N142" t="s">
        <v>149</v>
      </c>
      <c r="O142" t="s">
        <v>3637</v>
      </c>
      <c r="P142" t="s">
        <v>3638</v>
      </c>
      <c r="Q142" t="s">
        <v>189</v>
      </c>
      <c r="R142" t="s">
        <v>3634</v>
      </c>
      <c r="S142" t="s">
        <v>3636</v>
      </c>
      <c r="T142" s="4" t="s">
        <v>3639</v>
      </c>
      <c r="U142" t="s">
        <v>3640</v>
      </c>
      <c r="V142" t="s">
        <v>3641</v>
      </c>
      <c r="W142" t="s">
        <v>261</v>
      </c>
      <c r="Y142" t="s">
        <v>158</v>
      </c>
      <c r="Z142" t="s">
        <v>262</v>
      </c>
      <c r="AC142" s="3" t="str">
        <f>HYPERLINK("https://api.typeform.com/responses/files/2855a6a5ec4b980e156ad862fddaf8e313e3a57f0c45a1c14542ce1cd8e7bdc6/Rasel_Ali___trans.pdf")</f>
        <v>https://api.typeform.com/responses/files/2855a6a5ec4b980e156ad862fddaf8e313e3a57f0c45a1c14542ce1cd8e7bdc6/Rasel_Ali___trans.pdf</v>
      </c>
      <c r="AD142" t="s">
        <v>3642</v>
      </c>
      <c r="AE142" t="s">
        <v>729</v>
      </c>
      <c r="AF142" t="s">
        <v>3643</v>
      </c>
      <c r="AG142">
        <v>14.0</v>
      </c>
      <c r="AH142" s="4" t="s">
        <v>520</v>
      </c>
      <c r="AI142" t="s">
        <v>162</v>
      </c>
      <c r="AL142" t="s">
        <v>3644</v>
      </c>
      <c r="AO142" t="s">
        <v>335</v>
      </c>
      <c r="AP142">
        <v>3.0</v>
      </c>
      <c r="AQ142" t="s">
        <v>2240</v>
      </c>
      <c r="AR142" t="s">
        <v>3645</v>
      </c>
      <c r="AS142" t="b">
        <v>1</v>
      </c>
      <c r="AT142" t="b">
        <v>1</v>
      </c>
      <c r="AV142">
        <v>6.0</v>
      </c>
      <c r="AW142" t="b">
        <v>1</v>
      </c>
      <c r="AX142" t="s">
        <v>1902</v>
      </c>
      <c r="AY142" s="4" t="s">
        <v>518</v>
      </c>
      <c r="AZ142" t="b">
        <v>1</v>
      </c>
      <c r="BA142" t="b">
        <v>0</v>
      </c>
      <c r="BD142" t="s">
        <v>3646</v>
      </c>
      <c r="BH142" t="s">
        <v>132</v>
      </c>
      <c r="BI142">
        <v>2.0</v>
      </c>
      <c r="BJ142" t="s">
        <v>3647</v>
      </c>
      <c r="BK142">
        <v>2.0</v>
      </c>
      <c r="BL142">
        <v>1.0</v>
      </c>
      <c r="BM142" t="s">
        <v>3648</v>
      </c>
      <c r="BN142">
        <v>2.0</v>
      </c>
      <c r="BO142">
        <v>2.0</v>
      </c>
      <c r="BP142" t="s">
        <v>3649</v>
      </c>
      <c r="BQ142" t="s">
        <v>916</v>
      </c>
      <c r="BR142" t="s">
        <v>3650</v>
      </c>
      <c r="BS142" t="s">
        <v>3651</v>
      </c>
      <c r="BU142" t="s">
        <v>3652</v>
      </c>
      <c r="BV142" s="3" t="str">
        <f>HYPERLINK("https://api.typeform.com/responses/files/f0b47f4f970badc8459fd2693d139ca0b9cbd10508a710332b66d67be27b39d9/D7E17EB1_9D93_44E7_A45B_F3D9E2B90D45.jpeg")</f>
        <v>https://api.typeform.com/responses/files/f0b47f4f970badc8459fd2693d139ca0b9cbd10508a710332b66d67be27b39d9/D7E17EB1_9D93_44E7_A45B_F3D9E2B90D45.jpeg</v>
      </c>
      <c r="BW142" t="b">
        <v>1</v>
      </c>
      <c r="BX142" t="s">
        <v>1394</v>
      </c>
      <c r="BY142" t="s">
        <v>140</v>
      </c>
      <c r="CA142" t="s">
        <v>1395</v>
      </c>
      <c r="CD142">
        <v>0.0</v>
      </c>
      <c r="CF142" t="b">
        <v>1</v>
      </c>
      <c r="CG142" t="b">
        <v>1</v>
      </c>
      <c r="CH142" t="s">
        <v>705</v>
      </c>
      <c r="CJ142" t="b">
        <v>1</v>
      </c>
      <c r="CK142" t="b">
        <v>1</v>
      </c>
      <c r="CL142" t="s">
        <v>636</v>
      </c>
      <c r="CO142" t="s">
        <v>124</v>
      </c>
      <c r="CR142" t="b">
        <v>1</v>
      </c>
      <c r="CT142">
        <v>0.0</v>
      </c>
      <c r="CU142">
        <v>1.0</v>
      </c>
      <c r="CX142" s="4" t="s">
        <v>3653</v>
      </c>
      <c r="CZ142" s="5">
        <v>44357.64394675926</v>
      </c>
      <c r="DA142" t="s">
        <v>3654</v>
      </c>
    </row>
    <row r="143">
      <c r="A143" t="s">
        <v>98</v>
      </c>
      <c r="D143" t="s">
        <v>3655</v>
      </c>
      <c r="E143" t="s">
        <v>3656</v>
      </c>
      <c r="F143" s="2">
        <v>37190.0</v>
      </c>
      <c r="G143" t="s">
        <v>1360</v>
      </c>
      <c r="I143" s="3" t="str">
        <f>HYPERLINK("https://api.typeform.com/responses/files/738d467f03e2cc6430e76d603b9295e94794b1ae1b0b93c8bcdbb49d278c1e6c/20210607_140037.jpg")</f>
        <v>https://api.typeform.com/responses/files/738d467f03e2cc6430e76d603b9295e94794b1ae1b0b93c8bcdbb49d278c1e6c/20210607_140037.jpg</v>
      </c>
      <c r="J143" t="s">
        <v>3657</v>
      </c>
      <c r="K143" t="b">
        <v>1</v>
      </c>
      <c r="L143" s="4" t="s">
        <v>3658</v>
      </c>
      <c r="M143" t="s">
        <v>3659</v>
      </c>
      <c r="N143" t="s">
        <v>255</v>
      </c>
      <c r="O143" t="s">
        <v>3660</v>
      </c>
      <c r="P143" t="s">
        <v>3661</v>
      </c>
      <c r="Q143" t="s">
        <v>292</v>
      </c>
      <c r="R143" t="s">
        <v>3662</v>
      </c>
      <c r="S143" t="s">
        <v>3663</v>
      </c>
      <c r="T143" s="4" t="s">
        <v>3664</v>
      </c>
      <c r="U143" t="s">
        <v>698</v>
      </c>
      <c r="V143" t="s">
        <v>3665</v>
      </c>
      <c r="W143" t="s">
        <v>113</v>
      </c>
      <c r="Y143" t="s">
        <v>158</v>
      </c>
      <c r="Z143" t="s">
        <v>195</v>
      </c>
      <c r="AC143" s="3" t="str">
        <f>HYPERLINK("https://api.typeform.com/responses/files/1a93259fff2317ccf2f68760577d68bfbea9d2cc1d7b2714d86457465df549e2/Snapchat_1314322454.mp4")</f>
        <v>https://api.typeform.com/responses/files/1a93259fff2317ccf2f68760577d68bfbea9d2cc1d7b2714d86457465df549e2/Snapchat_1314322454.mp4</v>
      </c>
      <c r="AD143" t="s">
        <v>118</v>
      </c>
      <c r="AE143" t="s">
        <v>729</v>
      </c>
      <c r="AF143" t="s">
        <v>936</v>
      </c>
      <c r="AG143">
        <v>17.0</v>
      </c>
      <c r="AH143" t="s">
        <v>3550</v>
      </c>
      <c r="AI143" t="s">
        <v>543</v>
      </c>
      <c r="AK143" t="s">
        <v>3666</v>
      </c>
      <c r="AL143" t="s">
        <v>334</v>
      </c>
      <c r="AO143" t="s">
        <v>335</v>
      </c>
      <c r="AP143">
        <v>5.0</v>
      </c>
      <c r="AQ143" t="s">
        <v>126</v>
      </c>
      <c r="AR143" t="s">
        <v>3667</v>
      </c>
      <c r="AS143" t="b">
        <v>1</v>
      </c>
      <c r="AT143" t="b">
        <v>1</v>
      </c>
      <c r="AV143">
        <v>6.0</v>
      </c>
      <c r="AW143" t="b">
        <v>1</v>
      </c>
      <c r="AX143" t="s">
        <v>2797</v>
      </c>
      <c r="AY143" s="4" t="s">
        <v>518</v>
      </c>
      <c r="AZ143" t="b">
        <v>1</v>
      </c>
      <c r="BA143" t="b">
        <v>1</v>
      </c>
      <c r="BB143" t="b">
        <v>1</v>
      </c>
      <c r="BC143" t="s">
        <v>1420</v>
      </c>
      <c r="BH143" t="s">
        <v>132</v>
      </c>
      <c r="BI143">
        <v>2.0</v>
      </c>
      <c r="BJ143" t="s">
        <v>3668</v>
      </c>
      <c r="BK143">
        <v>6.0</v>
      </c>
      <c r="BL143">
        <v>4.0</v>
      </c>
      <c r="BM143" t="s">
        <v>3668</v>
      </c>
      <c r="BN143">
        <v>4.0</v>
      </c>
      <c r="BO143">
        <v>5.0</v>
      </c>
      <c r="BP143" t="s">
        <v>3669</v>
      </c>
      <c r="BQ143" t="s">
        <v>626</v>
      </c>
      <c r="BR143" t="s">
        <v>3670</v>
      </c>
      <c r="BS143" t="s">
        <v>3671</v>
      </c>
      <c r="BU143" t="s">
        <v>3672</v>
      </c>
      <c r="BV143" s="3" t="str">
        <f>HYPERLINK("https://api.typeform.com/responses/files/5cf6b3db553fc480e4bd0405e8deaea26db148a6180296cc5424308f06453d59/VID_20210610_WA0098.mp4")</f>
        <v>https://api.typeform.com/responses/files/5cf6b3db553fc480e4bd0405e8deaea26db148a6180296cc5424308f06453d59/VID_20210610_WA0098.mp4</v>
      </c>
      <c r="BW143" t="b">
        <v>1</v>
      </c>
      <c r="BX143" t="s">
        <v>1394</v>
      </c>
      <c r="BY143" t="s">
        <v>140</v>
      </c>
      <c r="CA143" t="s">
        <v>1395</v>
      </c>
      <c r="CD143">
        <v>0.0</v>
      </c>
      <c r="CF143" t="b">
        <v>1</v>
      </c>
      <c r="CG143" t="b">
        <v>1</v>
      </c>
      <c r="CH143" t="s">
        <v>3058</v>
      </c>
      <c r="CJ143" t="b">
        <v>1</v>
      </c>
      <c r="CK143" t="b">
        <v>1</v>
      </c>
      <c r="CL143" t="s">
        <v>300</v>
      </c>
      <c r="CM143" t="s">
        <v>387</v>
      </c>
      <c r="CO143" t="s">
        <v>1635</v>
      </c>
      <c r="CQ143" t="s">
        <v>810</v>
      </c>
      <c r="CR143" t="b">
        <v>1</v>
      </c>
      <c r="CT143">
        <v>4.0</v>
      </c>
      <c r="CU143">
        <v>3.0</v>
      </c>
      <c r="CX143" t="s">
        <v>374</v>
      </c>
      <c r="CZ143" s="5">
        <v>44358.768599537034</v>
      </c>
      <c r="DA143" t="s">
        <v>3673</v>
      </c>
    </row>
    <row r="144">
      <c r="A144" t="s">
        <v>98</v>
      </c>
      <c r="D144" t="s">
        <v>3674</v>
      </c>
      <c r="E144" t="s">
        <v>254</v>
      </c>
      <c r="F144" s="2">
        <v>36896.0</v>
      </c>
      <c r="G144" t="s">
        <v>1360</v>
      </c>
      <c r="I144" s="3" t="str">
        <f>HYPERLINK("aa79ab3ece3c-Screenshot_2021_06_10_1.01.25_PM.png")</f>
        <v>aa79ab3ece3c-Screenshot_2021_06_10_1.01.25_PM.png</v>
      </c>
      <c r="J144" t="s">
        <v>3675</v>
      </c>
      <c r="K144" t="b">
        <v>1</v>
      </c>
      <c r="L144" s="4" t="s">
        <v>3676</v>
      </c>
      <c r="M144" t="s">
        <v>3677</v>
      </c>
      <c r="N144" t="s">
        <v>149</v>
      </c>
      <c r="O144" t="s">
        <v>3678</v>
      </c>
      <c r="P144" t="s">
        <v>3679</v>
      </c>
      <c r="Q144" t="s">
        <v>152</v>
      </c>
      <c r="R144" t="s">
        <v>3680</v>
      </c>
      <c r="S144" t="s">
        <v>3681</v>
      </c>
      <c r="T144" s="4" t="s">
        <v>3682</v>
      </c>
      <c r="U144" t="s">
        <v>3683</v>
      </c>
      <c r="V144" t="s">
        <v>3684</v>
      </c>
      <c r="W144" t="s">
        <v>113</v>
      </c>
      <c r="Y144" t="s">
        <v>158</v>
      </c>
      <c r="Z144" t="s">
        <v>195</v>
      </c>
      <c r="AC144" s="3" t="str">
        <f>HYPERLINK("https://api.typeform.com/responses/files/f427ab24089ba03643c4cbff8c292d557f8232b3b2b58a7d855d9899a0cdaced/Camera_Corner.jpg")</f>
        <v>https://api.typeform.com/responses/files/f427ab24089ba03643c4cbff8c292d557f8232b3b2b58a7d855d9899a0cdaced/Camera_Corner.jpg</v>
      </c>
      <c r="AD144" t="s">
        <v>118</v>
      </c>
      <c r="AE144" t="s">
        <v>729</v>
      </c>
      <c r="AF144" t="s">
        <v>3685</v>
      </c>
      <c r="AG144">
        <v>18.0</v>
      </c>
      <c r="AH144" s="4" t="s">
        <v>3686</v>
      </c>
      <c r="AI144" t="s">
        <v>162</v>
      </c>
      <c r="AK144" t="s">
        <v>3687</v>
      </c>
      <c r="AL144" t="s">
        <v>334</v>
      </c>
      <c r="AO144" t="s">
        <v>335</v>
      </c>
      <c r="AP144">
        <v>5.0</v>
      </c>
      <c r="AQ144" t="s">
        <v>126</v>
      </c>
      <c r="AR144" t="s">
        <v>3688</v>
      </c>
      <c r="AS144" t="b">
        <v>1</v>
      </c>
      <c r="AT144" t="b">
        <v>1</v>
      </c>
      <c r="AV144">
        <v>7.0</v>
      </c>
      <c r="AW144" t="b">
        <v>0</v>
      </c>
      <c r="AZ144" t="b">
        <v>1</v>
      </c>
      <c r="BA144" t="b">
        <v>0</v>
      </c>
      <c r="BD144" t="s">
        <v>3688</v>
      </c>
      <c r="BH144" t="s">
        <v>132</v>
      </c>
      <c r="BI144">
        <v>4.0</v>
      </c>
      <c r="BJ144" t="s">
        <v>3689</v>
      </c>
      <c r="BK144">
        <v>4.0</v>
      </c>
      <c r="BL144">
        <v>4.0</v>
      </c>
      <c r="BM144" t="s">
        <v>3690</v>
      </c>
      <c r="BN144">
        <v>2.0</v>
      </c>
      <c r="BO144">
        <v>3.0</v>
      </c>
      <c r="BP144" t="s">
        <v>3691</v>
      </c>
      <c r="BQ144" t="s">
        <v>3692</v>
      </c>
      <c r="BR144" t="s">
        <v>3693</v>
      </c>
      <c r="BS144" t="s">
        <v>3694</v>
      </c>
      <c r="BU144" t="s">
        <v>3695</v>
      </c>
      <c r="BV144" s="3" t="str">
        <f>HYPERLINK("https://api.typeform.com/responses/files/9db2b4f8d7c6e651fb4ff71c68a4d2efbccead65450ad721aa98c6fd361d40a8/Screenshot_2021_06_12_11.10.33_PM.png")</f>
        <v>https://api.typeform.com/responses/files/9db2b4f8d7c6e651fb4ff71c68a4d2efbccead65450ad721aa98c6fd361d40a8/Screenshot_2021_06_12_11.10.33_PM.png</v>
      </c>
      <c r="BW144" t="b">
        <v>1</v>
      </c>
      <c r="BX144" t="s">
        <v>1394</v>
      </c>
      <c r="BY144" t="s">
        <v>140</v>
      </c>
      <c r="CA144" t="s">
        <v>1395</v>
      </c>
      <c r="CD144">
        <v>0.0</v>
      </c>
      <c r="CF144" t="b">
        <v>1</v>
      </c>
      <c r="CG144" t="b">
        <v>0</v>
      </c>
      <c r="CH144" t="s">
        <v>3696</v>
      </c>
      <c r="CJ144" t="b">
        <v>1</v>
      </c>
      <c r="CK144" t="b">
        <v>1</v>
      </c>
      <c r="CL144" t="s">
        <v>300</v>
      </c>
      <c r="CM144" t="s">
        <v>300</v>
      </c>
      <c r="CO144" t="s">
        <v>124</v>
      </c>
      <c r="CQ144" t="s">
        <v>300</v>
      </c>
      <c r="CR144" t="b">
        <v>1</v>
      </c>
      <c r="CT144">
        <v>1.0</v>
      </c>
      <c r="CU144">
        <v>1.0</v>
      </c>
      <c r="CX144" t="s">
        <v>3697</v>
      </c>
      <c r="CZ144" s="5">
        <v>44360.80967592593</v>
      </c>
      <c r="DA144" t="s">
        <v>3698</v>
      </c>
    </row>
    <row r="145">
      <c r="A145" t="s">
        <v>98</v>
      </c>
      <c r="D145" t="s">
        <v>3699</v>
      </c>
      <c r="E145" t="s">
        <v>3700</v>
      </c>
      <c r="F145" s="2">
        <v>37240.0</v>
      </c>
      <c r="G145" t="s">
        <v>1466</v>
      </c>
      <c r="I145" s="3" t="str">
        <f>HYPERLINK("https://api.typeform.com/responses/files/da3eeeac1beb2aae4fe75a0cefa37ccd69759a17ae50eb5e9108d484017e85d1/imogi.jpeg")</f>
        <v>https://api.typeform.com/responses/files/da3eeeac1beb2aae4fe75a0cefa37ccd69759a17ae50eb5e9108d484017e85d1/imogi.jpeg</v>
      </c>
      <c r="J145" t="s">
        <v>3701</v>
      </c>
      <c r="K145" t="b">
        <v>1</v>
      </c>
      <c r="L145" s="4" t="s">
        <v>3702</v>
      </c>
      <c r="M145" t="s">
        <v>3703</v>
      </c>
      <c r="N145" t="s">
        <v>255</v>
      </c>
      <c r="O145" t="s">
        <v>3704</v>
      </c>
      <c r="P145" t="s">
        <v>3705</v>
      </c>
      <c r="Q145" t="s">
        <v>152</v>
      </c>
      <c r="R145" t="s">
        <v>3706</v>
      </c>
      <c r="S145" t="s">
        <v>3703</v>
      </c>
      <c r="T145" s="4" t="s">
        <v>3702</v>
      </c>
      <c r="U145" t="s">
        <v>1543</v>
      </c>
      <c r="V145" t="s">
        <v>3707</v>
      </c>
      <c r="W145" t="s">
        <v>113</v>
      </c>
      <c r="Y145" t="s">
        <v>158</v>
      </c>
      <c r="Z145" t="s">
        <v>262</v>
      </c>
      <c r="AC145" s="3" t="str">
        <f>HYPERLINK("https://api.typeform.com/responses/files/12822470cf3df6a661378b79f3fb4c5ae20e98bb2f4435028525cdf0137f6801/Rising_JKLM_transcripts_09.04.20__8__Thanwer_Mahmud.pdf")</f>
        <v>https://api.typeform.com/responses/files/12822470cf3df6a661378b79f3fb4c5ae20e98bb2f4435028525cdf0137f6801/Rising_JKLM_transcripts_09.04.20__8__Thanwer_Mahmud.pdf</v>
      </c>
      <c r="AD145" t="s">
        <v>118</v>
      </c>
      <c r="AE145" t="s">
        <v>729</v>
      </c>
      <c r="AF145" t="s">
        <v>1731</v>
      </c>
      <c r="AG145">
        <v>17.0</v>
      </c>
      <c r="AH145" s="4" t="s">
        <v>639</v>
      </c>
      <c r="AI145" t="s">
        <v>162</v>
      </c>
      <c r="AK145" t="s">
        <v>179</v>
      </c>
      <c r="AL145" t="s">
        <v>123</v>
      </c>
      <c r="AO145" t="s">
        <v>125</v>
      </c>
      <c r="AP145">
        <v>3.0</v>
      </c>
      <c r="AQ145" t="s">
        <v>2625</v>
      </c>
      <c r="AR145" t="s">
        <v>813</v>
      </c>
      <c r="AS145" t="b">
        <v>1</v>
      </c>
      <c r="AT145" t="b">
        <v>1</v>
      </c>
      <c r="AV145">
        <v>3.0</v>
      </c>
      <c r="AW145" t="b">
        <v>0</v>
      </c>
      <c r="AZ145" t="b">
        <v>1</v>
      </c>
      <c r="BA145" t="b">
        <v>1</v>
      </c>
      <c r="BB145" t="b">
        <v>0</v>
      </c>
      <c r="BC145" t="s">
        <v>3708</v>
      </c>
      <c r="BH145" t="s">
        <v>132</v>
      </c>
      <c r="BI145">
        <v>3.0</v>
      </c>
      <c r="BJ145" t="s">
        <v>3709</v>
      </c>
      <c r="BK145">
        <v>4.0</v>
      </c>
      <c r="BL145">
        <v>3.0</v>
      </c>
      <c r="BM145" t="s">
        <v>3710</v>
      </c>
      <c r="BN145">
        <v>3.0</v>
      </c>
      <c r="BO145">
        <v>3.0</v>
      </c>
      <c r="BP145" t="s">
        <v>3711</v>
      </c>
      <c r="BQ145" t="s">
        <v>916</v>
      </c>
      <c r="BR145" t="s">
        <v>3712</v>
      </c>
      <c r="BS145" t="s">
        <v>3713</v>
      </c>
      <c r="BU145" t="s">
        <v>179</v>
      </c>
      <c r="BV145" s="3" t="str">
        <f>HYPERLINK("https://api.typeform.com/responses/files/8dda732e37396ac6e97624b0222d69f10b5c934c395517c5cc55b05fe3722285/SPEAKHIRE_Parent.Guardian_Consent_Form.pdf")</f>
        <v>https://api.typeform.com/responses/files/8dda732e37396ac6e97624b0222d69f10b5c934c395517c5cc55b05fe3722285/SPEAKHIRE_Parent.Guardian_Consent_Form.pdf</v>
      </c>
      <c r="BW145" t="b">
        <v>1</v>
      </c>
      <c r="BX145" t="s">
        <v>1394</v>
      </c>
      <c r="BY145" t="s">
        <v>140</v>
      </c>
      <c r="CA145" t="s">
        <v>1395</v>
      </c>
      <c r="CD145">
        <v>0.0</v>
      </c>
      <c r="CF145" t="b">
        <v>1</v>
      </c>
      <c r="CG145" t="b">
        <v>1</v>
      </c>
      <c r="CH145" t="s">
        <v>2553</v>
      </c>
      <c r="CJ145" t="b">
        <v>1</v>
      </c>
      <c r="CK145" t="b">
        <v>0</v>
      </c>
      <c r="CL145" t="s">
        <v>636</v>
      </c>
      <c r="CM145" t="s">
        <v>362</v>
      </c>
      <c r="CO145" t="s">
        <v>124</v>
      </c>
      <c r="CQ145" t="s">
        <v>413</v>
      </c>
      <c r="CR145" t="b">
        <v>1</v>
      </c>
      <c r="CT145">
        <v>2.0</v>
      </c>
      <c r="CU145">
        <v>1.0</v>
      </c>
      <c r="CX145" s="4" t="s">
        <v>419</v>
      </c>
      <c r="CZ145" s="5">
        <v>44361.60162037037</v>
      </c>
      <c r="DA145" t="s">
        <v>3714</v>
      </c>
    </row>
    <row r="146">
      <c r="A146" t="s">
        <v>98</v>
      </c>
      <c r="D146" t="s">
        <v>2148</v>
      </c>
      <c r="E146" t="s">
        <v>3287</v>
      </c>
      <c r="F146" s="2" t="s">
        <v>3715</v>
      </c>
      <c r="G146" t="s">
        <v>1360</v>
      </c>
      <c r="I146" s="3" t="str">
        <f>HYPERLINK("https://api.typeform.com/responses/files/d4f822b3c0b3272409f6afbf538a3b4b1360b9376e242582b22fc98991f4c1df/IMG_2614.jpg")</f>
        <v>https://api.typeform.com/responses/files/d4f822b3c0b3272409f6afbf538a3b4b1360b9376e242582b22fc98991f4c1df/IMG_2614.jpg</v>
      </c>
      <c r="J146" t="s">
        <v>3716</v>
      </c>
      <c r="K146" t="b">
        <v>1</v>
      </c>
      <c r="L146" s="4" t="s">
        <v>2152</v>
      </c>
      <c r="M146" t="s">
        <v>3717</v>
      </c>
      <c r="N146" t="s">
        <v>149</v>
      </c>
      <c r="O146" t="s">
        <v>3718</v>
      </c>
      <c r="P146" t="s">
        <v>3719</v>
      </c>
      <c r="Q146" t="s">
        <v>189</v>
      </c>
      <c r="R146" t="s">
        <v>3720</v>
      </c>
      <c r="S146" t="s">
        <v>3717</v>
      </c>
      <c r="T146" s="4" t="s">
        <v>2158</v>
      </c>
      <c r="U146" t="s">
        <v>3721</v>
      </c>
      <c r="V146" t="s">
        <v>3722</v>
      </c>
      <c r="W146" t="s">
        <v>113</v>
      </c>
      <c r="Y146" t="s">
        <v>158</v>
      </c>
      <c r="Z146" t="s">
        <v>262</v>
      </c>
      <c r="AC146" s="3" t="str">
        <f>HYPERLINK("https://api.typeform.com/responses/files/2f43a9a7171324f7f1d110dc11e61ce950e2ca5b425c51695c691f6fbed5ab01/SPEAKHIRE_Parent.Guardian_Consent_Form.pdf")</f>
        <v>https://api.typeform.com/responses/files/2f43a9a7171324f7f1d110dc11e61ce950e2ca5b425c51695c691f6fbed5ab01/SPEAKHIRE_Parent.Guardian_Consent_Form.pdf</v>
      </c>
      <c r="AD146" t="s">
        <v>118</v>
      </c>
      <c r="AE146" t="s">
        <v>781</v>
      </c>
      <c r="AI146" t="s">
        <v>205</v>
      </c>
      <c r="AK146" t="s">
        <v>139</v>
      </c>
      <c r="AL146" t="s">
        <v>199</v>
      </c>
      <c r="AO146" t="s">
        <v>335</v>
      </c>
      <c r="AP146">
        <v>5.0</v>
      </c>
      <c r="AQ146" t="s">
        <v>461</v>
      </c>
      <c r="AR146" t="s">
        <v>3723</v>
      </c>
      <c r="AS146" t="b">
        <v>1</v>
      </c>
      <c r="AT146" t="b">
        <v>1</v>
      </c>
      <c r="AV146">
        <v>6.0</v>
      </c>
      <c r="AW146" t="b">
        <v>0</v>
      </c>
      <c r="AZ146" t="b">
        <v>1</v>
      </c>
      <c r="BA146" t="b">
        <v>0</v>
      </c>
      <c r="BD146" t="s">
        <v>3724</v>
      </c>
      <c r="BH146" t="s">
        <v>132</v>
      </c>
      <c r="BI146">
        <v>5.0</v>
      </c>
      <c r="BJ146" t="s">
        <v>3725</v>
      </c>
      <c r="BK146">
        <v>5.0</v>
      </c>
      <c r="BL146">
        <v>5.0</v>
      </c>
      <c r="BM146" t="s">
        <v>3726</v>
      </c>
      <c r="BN146">
        <v>5.0</v>
      </c>
      <c r="BO146">
        <v>5.0</v>
      </c>
      <c r="BP146" s="4" t="s">
        <v>3727</v>
      </c>
      <c r="BQ146" t="s">
        <v>3728</v>
      </c>
      <c r="BR146" t="s">
        <v>3729</v>
      </c>
      <c r="BS146" t="s">
        <v>3730</v>
      </c>
      <c r="BU146" t="s">
        <v>3731</v>
      </c>
      <c r="BV146" s="3" t="str">
        <f>HYPERLINK("https://api.typeform.com/responses/files/36498acef8a709c30112d40ba1faa1ec826130616e8b037636c90031eadf2258/SPEAKHIRE_Parent.Guardian_Consent_Form.pdf")</f>
        <v>https://api.typeform.com/responses/files/36498acef8a709c30112d40ba1faa1ec826130616e8b037636c90031eadf2258/SPEAKHIRE_Parent.Guardian_Consent_Form.pdf</v>
      </c>
      <c r="BW146" t="b">
        <v>1</v>
      </c>
      <c r="BX146" t="s">
        <v>1394</v>
      </c>
      <c r="BY146" t="s">
        <v>140</v>
      </c>
      <c r="CA146" t="s">
        <v>1395</v>
      </c>
      <c r="CD146">
        <v>0.0</v>
      </c>
      <c r="CF146" t="b">
        <v>1</v>
      </c>
      <c r="CG146" t="b">
        <v>1</v>
      </c>
      <c r="CH146" t="s">
        <v>3732</v>
      </c>
      <c r="CJ146" t="b">
        <v>1</v>
      </c>
      <c r="CK146" t="b">
        <v>1</v>
      </c>
      <c r="CL146" t="s">
        <v>198</v>
      </c>
      <c r="CM146" t="s">
        <v>198</v>
      </c>
      <c r="CO146" t="s">
        <v>1635</v>
      </c>
      <c r="CR146" t="b">
        <v>1</v>
      </c>
      <c r="CT146">
        <v>0.0</v>
      </c>
      <c r="CU146">
        <v>0.0</v>
      </c>
      <c r="CX146" s="4" t="s">
        <v>3733</v>
      </c>
      <c r="CZ146" s="5">
        <v>44361.62207175926</v>
      </c>
      <c r="DA146" t="s">
        <v>3734</v>
      </c>
    </row>
    <row r="147">
      <c r="A147" t="s">
        <v>98</v>
      </c>
      <c r="D147" t="s">
        <v>3735</v>
      </c>
      <c r="E147" t="s">
        <v>3736</v>
      </c>
      <c r="F147" s="2">
        <v>36613.0</v>
      </c>
      <c r="G147" t="s">
        <v>1360</v>
      </c>
      <c r="I147" s="3" t="str">
        <f>HYPERLINK("https://api.typeform.com/responses/files/246b8e46a56105bfb35b3ab8d2183f9338b3199761b7c87f5ba2aa7907cc3d4f/8B0B10DC_E79E_4063_949D_BBFD1C855A4F_1_201_a.jpeg")</f>
        <v>https://api.typeform.com/responses/files/246b8e46a56105bfb35b3ab8d2183f9338b3199761b7c87f5ba2aa7907cc3d4f/8B0B10DC_E79E_4063_949D_BBFD1C855A4F_1_201_a.jpeg</v>
      </c>
      <c r="J147" t="s">
        <v>3737</v>
      </c>
      <c r="K147" t="b">
        <v>1</v>
      </c>
      <c r="L147" s="4" t="s">
        <v>3738</v>
      </c>
      <c r="M147" t="s">
        <v>3739</v>
      </c>
      <c r="N147" t="s">
        <v>149</v>
      </c>
      <c r="O147" t="s">
        <v>606</v>
      </c>
      <c r="P147" t="s">
        <v>374</v>
      </c>
      <c r="Q147" t="s">
        <v>292</v>
      </c>
      <c r="R147" t="s">
        <v>3740</v>
      </c>
      <c r="S147" t="s">
        <v>3741</v>
      </c>
      <c r="T147" s="4" t="s">
        <v>3742</v>
      </c>
      <c r="U147" t="s">
        <v>3596</v>
      </c>
      <c r="V147" t="s">
        <v>3743</v>
      </c>
      <c r="W147" t="s">
        <v>113</v>
      </c>
      <c r="Y147" t="s">
        <v>158</v>
      </c>
      <c r="Z147" t="s">
        <v>159</v>
      </c>
      <c r="AC147" s="3" t="str">
        <f>HYPERLINK("https://api.typeform.com/responses/files/4fb64d71fa4dad4ff0a9e2bda6272b829f7569b0d8a4f4207869116add390e57/C5A5E667_BD53_4F6F_A716_FA4392653435.jpeg")</f>
        <v>https://api.typeform.com/responses/files/4fb64d71fa4dad4ff0a9e2bda6272b829f7569b0d8a4f4207869116add390e57/C5A5E667_BD53_4F6F_A716_FA4392653435.jpeg</v>
      </c>
      <c r="AD147" t="s">
        <v>118</v>
      </c>
      <c r="AE147" t="s">
        <v>729</v>
      </c>
      <c r="AF147" t="s">
        <v>3744</v>
      </c>
      <c r="AG147">
        <v>17.0</v>
      </c>
      <c r="AH147" s="4" t="s">
        <v>130</v>
      </c>
      <c r="AI147" t="s">
        <v>386</v>
      </c>
      <c r="AK147" t="s">
        <v>606</v>
      </c>
      <c r="AL147" t="s">
        <v>1043</v>
      </c>
      <c r="AO147" t="s">
        <v>335</v>
      </c>
      <c r="AP147">
        <v>1.0</v>
      </c>
      <c r="AQ147" t="s">
        <v>126</v>
      </c>
      <c r="AR147" t="s">
        <v>3460</v>
      </c>
      <c r="AS147" t="b">
        <v>0</v>
      </c>
      <c r="AV147">
        <v>5.0</v>
      </c>
      <c r="AW147" t="b">
        <v>0</v>
      </c>
      <c r="AZ147" t="b">
        <v>1</v>
      </c>
      <c r="BA147" t="b">
        <v>1</v>
      </c>
      <c r="BB147" t="b">
        <v>0</v>
      </c>
      <c r="BC147" t="s">
        <v>3745</v>
      </c>
      <c r="BH147" t="s">
        <v>132</v>
      </c>
      <c r="BI147">
        <v>4.0</v>
      </c>
      <c r="BJ147" s="4" t="s">
        <v>130</v>
      </c>
      <c r="BK147">
        <v>3.0</v>
      </c>
      <c r="BL147">
        <v>3.0</v>
      </c>
      <c r="BM147" t="s">
        <v>3746</v>
      </c>
      <c r="BN147">
        <v>2.0</v>
      </c>
      <c r="BO147">
        <v>2.0</v>
      </c>
      <c r="BP147" t="s">
        <v>3747</v>
      </c>
      <c r="BQ147" t="s">
        <v>916</v>
      </c>
      <c r="BR147" t="s">
        <v>3748</v>
      </c>
      <c r="BS147" t="s">
        <v>3749</v>
      </c>
      <c r="BU147" t="s">
        <v>606</v>
      </c>
      <c r="BV147" s="3" t="str">
        <f>HYPERLINK("https://api.typeform.com/responses/files/ff986e323cf76f51dba699612639cebe4498cad81b4d78447348711a632fd535/Google.webloc")</f>
        <v>https://api.typeform.com/responses/files/ff986e323cf76f51dba699612639cebe4498cad81b4d78447348711a632fd535/Google.webloc</v>
      </c>
      <c r="BW147" t="b">
        <v>1</v>
      </c>
      <c r="BX147" t="s">
        <v>1394</v>
      </c>
      <c r="BY147" t="s">
        <v>140</v>
      </c>
      <c r="CA147" t="s">
        <v>1395</v>
      </c>
      <c r="CD147">
        <v>0.0</v>
      </c>
      <c r="CF147" t="b">
        <v>1</v>
      </c>
      <c r="CG147" t="b">
        <v>1</v>
      </c>
      <c r="CH147" t="s">
        <v>1557</v>
      </c>
      <c r="CJ147" t="b">
        <v>0</v>
      </c>
      <c r="CK147" t="b">
        <v>1</v>
      </c>
      <c r="CL147" t="s">
        <v>387</v>
      </c>
      <c r="CM147" t="s">
        <v>387</v>
      </c>
      <c r="CO147" t="s">
        <v>2888</v>
      </c>
      <c r="CQ147" t="s">
        <v>387</v>
      </c>
      <c r="CR147" t="b">
        <v>1</v>
      </c>
      <c r="CT147">
        <v>3.0</v>
      </c>
      <c r="CU147">
        <v>0.0</v>
      </c>
      <c r="CX147" t="s">
        <v>3750</v>
      </c>
      <c r="CZ147" s="5">
        <v>44361.93550925926</v>
      </c>
      <c r="DA147" t="s">
        <v>3751</v>
      </c>
    </row>
    <row r="148">
      <c r="A148" t="s">
        <v>98</v>
      </c>
      <c r="D148" t="s">
        <v>3752</v>
      </c>
      <c r="E148" t="s">
        <v>3736</v>
      </c>
      <c r="F148" s="2">
        <v>37649.0</v>
      </c>
      <c r="G148" t="s">
        <v>1360</v>
      </c>
      <c r="I148" s="3" t="str">
        <f>HYPERLINK("https://api.typeform.com/responses/files/7d0c3474d8ab66f52ea2fa77d22dcea8ac907a890ffbcc94fd30f166f73784bb/1_3.jpg")</f>
        <v>https://api.typeform.com/responses/files/7d0c3474d8ab66f52ea2fa77d22dcea8ac907a890ffbcc94fd30f166f73784bb/1_3.jpg</v>
      </c>
      <c r="J148" t="s">
        <v>3753</v>
      </c>
      <c r="K148" t="b">
        <v>1</v>
      </c>
      <c r="L148" s="4" t="s">
        <v>3754</v>
      </c>
      <c r="M148" t="s">
        <v>3755</v>
      </c>
      <c r="N148" t="s">
        <v>149</v>
      </c>
      <c r="O148" t="s">
        <v>3756</v>
      </c>
      <c r="P148" t="s">
        <v>3757</v>
      </c>
      <c r="Q148" t="s">
        <v>189</v>
      </c>
      <c r="R148" t="s">
        <v>3758</v>
      </c>
      <c r="S148" t="s">
        <v>3759</v>
      </c>
      <c r="T148" s="4" t="s">
        <v>3754</v>
      </c>
      <c r="U148" t="s">
        <v>3572</v>
      </c>
      <c r="V148" t="s">
        <v>3743</v>
      </c>
      <c r="W148" t="s">
        <v>113</v>
      </c>
      <c r="Y148" t="s">
        <v>114</v>
      </c>
      <c r="Z148" t="s">
        <v>262</v>
      </c>
      <c r="AC148" s="3" t="str">
        <f>HYPERLINK("https://api.typeform.com/responses/files/5845296b72c148b20a09d78b40673a5ae530be05db078188cb884ae8f95b64b8/SPEAKHIRE_PARENT_CONSENT_FORM.docx")</f>
        <v>https://api.typeform.com/responses/files/5845296b72c148b20a09d78b40673a5ae530be05db078188cb884ae8f95b64b8/SPEAKHIRE_PARENT_CONSENT_FORM.docx</v>
      </c>
      <c r="AD148" t="s">
        <v>118</v>
      </c>
      <c r="AE148" t="s">
        <v>729</v>
      </c>
      <c r="AF148" t="s">
        <v>1019</v>
      </c>
      <c r="AG148">
        <v>17.0</v>
      </c>
      <c r="AH148" s="4" t="s">
        <v>547</v>
      </c>
      <c r="AI148" t="s">
        <v>386</v>
      </c>
      <c r="AK148" t="s">
        <v>3760</v>
      </c>
      <c r="AL148" t="s">
        <v>199</v>
      </c>
      <c r="AO148" t="s">
        <v>125</v>
      </c>
      <c r="AP148">
        <v>7.0</v>
      </c>
      <c r="AQ148" t="s">
        <v>2240</v>
      </c>
      <c r="AR148" t="s">
        <v>127</v>
      </c>
      <c r="AS148" t="b">
        <v>1</v>
      </c>
      <c r="AT148" t="b">
        <v>1</v>
      </c>
      <c r="AV148">
        <v>7.0</v>
      </c>
      <c r="AW148" t="b">
        <v>1</v>
      </c>
      <c r="AX148" t="s">
        <v>2797</v>
      </c>
      <c r="AY148" t="s">
        <v>706</v>
      </c>
      <c r="AZ148" t="b">
        <v>1</v>
      </c>
      <c r="BA148" t="b">
        <v>1</v>
      </c>
      <c r="BB148" t="b">
        <v>0</v>
      </c>
      <c r="BC148" t="s">
        <v>3761</v>
      </c>
      <c r="BH148" t="s">
        <v>132</v>
      </c>
      <c r="BI148">
        <v>4.0</v>
      </c>
      <c r="BJ148" s="4" t="s">
        <v>130</v>
      </c>
      <c r="BK148">
        <v>7.0</v>
      </c>
      <c r="BL148">
        <v>7.0</v>
      </c>
      <c r="BM148" t="s">
        <v>3762</v>
      </c>
      <c r="BN148">
        <v>5.0</v>
      </c>
      <c r="BO148">
        <v>7.0</v>
      </c>
      <c r="BP148" t="s">
        <v>3763</v>
      </c>
      <c r="BQ148" t="s">
        <v>2218</v>
      </c>
      <c r="BR148" t="s">
        <v>3764</v>
      </c>
      <c r="BS148" t="s">
        <v>3749</v>
      </c>
      <c r="BU148" t="s">
        <v>3765</v>
      </c>
      <c r="BV148" s="3" t="str">
        <f>HYPERLINK("https://api.typeform.com/responses/files/cc45b305c7c7c13bc4fe0a8a112fefe7c829ed1489f8a26017bc0f9f296090a1/SPEAKHIRE_PARENT_CONSENT_FORM.docx")</f>
        <v>https://api.typeform.com/responses/files/cc45b305c7c7c13bc4fe0a8a112fefe7c829ed1489f8a26017bc0f9f296090a1/SPEAKHIRE_PARENT_CONSENT_FORM.docx</v>
      </c>
      <c r="BW148" t="b">
        <v>1</v>
      </c>
      <c r="BX148" t="s">
        <v>1394</v>
      </c>
      <c r="BY148" t="s">
        <v>140</v>
      </c>
      <c r="CA148" t="s">
        <v>1395</v>
      </c>
      <c r="CD148">
        <v>0.0</v>
      </c>
      <c r="CF148" t="b">
        <v>1</v>
      </c>
      <c r="CG148" t="b">
        <v>1</v>
      </c>
      <c r="CH148" t="s">
        <v>705</v>
      </c>
      <c r="CJ148" t="b">
        <v>0</v>
      </c>
      <c r="CK148" t="b">
        <v>1</v>
      </c>
      <c r="CL148" t="s">
        <v>198</v>
      </c>
      <c r="CO148" t="s">
        <v>200</v>
      </c>
      <c r="CQ148" t="s">
        <v>387</v>
      </c>
      <c r="CR148" t="b">
        <v>1</v>
      </c>
      <c r="CT148">
        <v>3.0</v>
      </c>
      <c r="CU148">
        <v>0.0</v>
      </c>
      <c r="CX148" t="s">
        <v>3766</v>
      </c>
      <c r="CZ148" s="5">
        <v>44361.93572916667</v>
      </c>
      <c r="DA148" t="s">
        <v>3767</v>
      </c>
    </row>
    <row r="149">
      <c r="A149" t="s">
        <v>98</v>
      </c>
      <c r="D149" t="s">
        <v>3768</v>
      </c>
      <c r="E149" t="s">
        <v>2251</v>
      </c>
      <c r="F149" s="2">
        <v>37656.0</v>
      </c>
      <c r="G149" t="s">
        <v>1466</v>
      </c>
      <c r="I149" s="3" t="str">
        <f>HYPERLINK("84e2ddc0946a-ACE04847_1379_4F13_9AE9_70D78C116C7C.jpeg")</f>
        <v>84e2ddc0946a-ACE04847_1379_4F13_9AE9_70D78C116C7C.jpeg</v>
      </c>
      <c r="J149" t="s">
        <v>3769</v>
      </c>
      <c r="K149" t="b">
        <v>1</v>
      </c>
      <c r="L149" s="4" t="s">
        <v>3770</v>
      </c>
      <c r="M149" t="s">
        <v>3771</v>
      </c>
      <c r="N149" t="s">
        <v>149</v>
      </c>
      <c r="O149" t="s">
        <v>3772</v>
      </c>
      <c r="P149" t="s">
        <v>3773</v>
      </c>
      <c r="Q149" t="s">
        <v>189</v>
      </c>
      <c r="R149" t="s">
        <v>3774</v>
      </c>
      <c r="S149" t="s">
        <v>3775</v>
      </c>
      <c r="T149" s="4" t="s">
        <v>3776</v>
      </c>
      <c r="U149" t="s">
        <v>3596</v>
      </c>
      <c r="V149" t="s">
        <v>157</v>
      </c>
      <c r="W149" t="s">
        <v>261</v>
      </c>
      <c r="Y149" t="s">
        <v>158</v>
      </c>
      <c r="Z149" t="s">
        <v>262</v>
      </c>
      <c r="AC149" s="3" t="str">
        <f>HYPERLINK("https://api.typeform.com/responses/files/37ee60b579d5953e0c86de82c42a10267dfed43e341d0102e3d6e8b8c8d534cb/image.jpg")</f>
        <v>https://api.typeform.com/responses/files/37ee60b579d5953e0c86de82c42a10267dfed43e341d0102e3d6e8b8c8d534cb/image.jpg</v>
      </c>
      <c r="AD149" t="s">
        <v>118</v>
      </c>
      <c r="AE149" t="s">
        <v>729</v>
      </c>
      <c r="AF149" t="s">
        <v>2029</v>
      </c>
      <c r="AG149">
        <v>16.0</v>
      </c>
      <c r="AH149" t="s">
        <v>3777</v>
      </c>
      <c r="AI149" t="s">
        <v>162</v>
      </c>
      <c r="AK149" t="s">
        <v>3778</v>
      </c>
      <c r="AL149" t="s">
        <v>199</v>
      </c>
      <c r="AO149" t="s">
        <v>125</v>
      </c>
      <c r="AP149">
        <v>7.0</v>
      </c>
      <c r="AQ149" t="s">
        <v>126</v>
      </c>
      <c r="AR149" t="s">
        <v>3779</v>
      </c>
      <c r="AS149" t="b">
        <v>1</v>
      </c>
      <c r="AT149" t="b">
        <v>0</v>
      </c>
      <c r="AV149">
        <v>4.0</v>
      </c>
      <c r="AW149" t="b">
        <v>1</v>
      </c>
      <c r="AX149" t="s">
        <v>1902</v>
      </c>
      <c r="AY149" s="4" t="s">
        <v>518</v>
      </c>
      <c r="AZ149" t="b">
        <v>1</v>
      </c>
      <c r="BA149" t="b">
        <v>1</v>
      </c>
      <c r="BB149" t="b">
        <v>1</v>
      </c>
      <c r="BC149" t="s">
        <v>3780</v>
      </c>
      <c r="BH149" t="s">
        <v>132</v>
      </c>
      <c r="BI149">
        <v>4.0</v>
      </c>
      <c r="BJ149" t="s">
        <v>3781</v>
      </c>
      <c r="BK149">
        <v>3.0</v>
      </c>
      <c r="BL149">
        <v>7.0</v>
      </c>
      <c r="BM149" t="s">
        <v>3782</v>
      </c>
      <c r="BN149">
        <v>7.0</v>
      </c>
      <c r="BO149">
        <v>5.0</v>
      </c>
      <c r="BP149" t="s">
        <v>3783</v>
      </c>
      <c r="BQ149" t="s">
        <v>1906</v>
      </c>
      <c r="BR149" t="s">
        <v>3784</v>
      </c>
      <c r="BS149" t="s">
        <v>3785</v>
      </c>
      <c r="BU149" t="s">
        <v>3786</v>
      </c>
      <c r="BV149" s="3" t="str">
        <f>HYPERLINK("https://api.typeform.com/responses/files/fa26e035b2d1d2913b4e7b04cd42a7ddaa514b9a8efce9d4e3b76cb2ff5b86f6/image.jpg")</f>
        <v>https://api.typeform.com/responses/files/fa26e035b2d1d2913b4e7b04cd42a7ddaa514b9a8efce9d4e3b76cb2ff5b86f6/image.jpg</v>
      </c>
      <c r="BW149" t="b">
        <v>1</v>
      </c>
      <c r="BX149" t="s">
        <v>1394</v>
      </c>
      <c r="BY149" t="s">
        <v>140</v>
      </c>
      <c r="CA149" t="s">
        <v>1395</v>
      </c>
      <c r="CD149">
        <v>0.0</v>
      </c>
      <c r="CF149" t="b">
        <v>1</v>
      </c>
      <c r="CG149" t="b">
        <v>1</v>
      </c>
      <c r="CH149" t="s">
        <v>1420</v>
      </c>
      <c r="CJ149" t="b">
        <v>1</v>
      </c>
      <c r="CK149" t="b">
        <v>1</v>
      </c>
      <c r="CL149" t="s">
        <v>387</v>
      </c>
      <c r="CM149" t="s">
        <v>387</v>
      </c>
      <c r="CO149" t="s">
        <v>388</v>
      </c>
      <c r="CQ149" t="s">
        <v>387</v>
      </c>
      <c r="CR149" t="b">
        <v>1</v>
      </c>
      <c r="CT149">
        <v>1.0</v>
      </c>
      <c r="CU149">
        <v>1.0</v>
      </c>
      <c r="CX149" s="4" t="s">
        <v>340</v>
      </c>
      <c r="CZ149" s="5">
        <v>44362.02315972222</v>
      </c>
      <c r="DA149" t="s">
        <v>3787</v>
      </c>
    </row>
    <row r="150">
      <c r="A150" t="s">
        <v>98</v>
      </c>
      <c r="D150" t="s">
        <v>3788</v>
      </c>
      <c r="E150" t="s">
        <v>3789</v>
      </c>
      <c r="F150" s="2">
        <v>37715.0</v>
      </c>
      <c r="G150" t="s">
        <v>1466</v>
      </c>
      <c r="I150" s="3" t="str">
        <f>HYPERLINK("https://api.typeform.com/responses/files/254a7bae560bf252353284a8cda193471f2ea5b9586c97b60eb8e33708702bbf/__UxS1Lk_400x400.jpg")</f>
        <v>https://api.typeform.com/responses/files/254a7bae560bf252353284a8cda193471f2ea5b9586c97b60eb8e33708702bbf/__UxS1Lk_400x400.jpg</v>
      </c>
      <c r="J150" t="s">
        <v>3790</v>
      </c>
      <c r="K150" t="b">
        <v>1</v>
      </c>
      <c r="L150" s="4" t="s">
        <v>3791</v>
      </c>
      <c r="M150" t="s">
        <v>3792</v>
      </c>
      <c r="N150" t="s">
        <v>149</v>
      </c>
      <c r="O150" t="s">
        <v>3793</v>
      </c>
      <c r="P150" t="s">
        <v>3794</v>
      </c>
      <c r="Q150" t="s">
        <v>189</v>
      </c>
      <c r="R150" t="s">
        <v>3790</v>
      </c>
      <c r="S150" t="s">
        <v>3795</v>
      </c>
      <c r="T150" s="4" t="s">
        <v>3796</v>
      </c>
      <c r="U150" t="s">
        <v>1543</v>
      </c>
      <c r="V150" t="s">
        <v>2109</v>
      </c>
      <c r="W150" t="s">
        <v>113</v>
      </c>
      <c r="Y150" t="s">
        <v>158</v>
      </c>
      <c r="Z150" t="s">
        <v>262</v>
      </c>
      <c r="AC150" s="3" t="str">
        <f>HYPERLINK("https://api.typeform.com/responses/files/6d71a16c934ce4c4c0994bfdf8def760b12dff1cba4fad659b49f7189aed989f/JKL_transcripts___spring_Paredes_Michael_Steven.jpg")</f>
        <v>https://api.typeform.com/responses/files/6d71a16c934ce4c4c0994bfdf8def760b12dff1cba4fad659b49f7189aed989f/JKL_transcripts___spring_Paredes_Michael_Steven.jpg</v>
      </c>
      <c r="AD150" t="s">
        <v>118</v>
      </c>
      <c r="AE150" t="s">
        <v>729</v>
      </c>
      <c r="AF150" t="s">
        <v>2651</v>
      </c>
      <c r="AG150">
        <v>11.0</v>
      </c>
      <c r="AH150" t="s">
        <v>3797</v>
      </c>
      <c r="AI150" t="s">
        <v>121</v>
      </c>
      <c r="AK150" t="s">
        <v>139</v>
      </c>
      <c r="AL150" t="s">
        <v>199</v>
      </c>
      <c r="AO150" t="s">
        <v>125</v>
      </c>
      <c r="AP150">
        <v>7.0</v>
      </c>
      <c r="AQ150" t="s">
        <v>303</v>
      </c>
      <c r="AR150" t="s">
        <v>3798</v>
      </c>
      <c r="AS150" t="b">
        <v>1</v>
      </c>
      <c r="AT150" t="b">
        <v>1</v>
      </c>
      <c r="AV150">
        <v>4.0</v>
      </c>
      <c r="AW150" t="b">
        <v>0</v>
      </c>
      <c r="AZ150" t="b">
        <v>1</v>
      </c>
      <c r="BA150" t="b">
        <v>1</v>
      </c>
      <c r="BB150" t="b">
        <v>1</v>
      </c>
      <c r="BC150" t="s">
        <v>309</v>
      </c>
      <c r="BH150" t="s">
        <v>132</v>
      </c>
      <c r="BI150">
        <v>3.0</v>
      </c>
      <c r="BJ150" t="s">
        <v>1951</v>
      </c>
      <c r="BK150">
        <v>4.0</v>
      </c>
      <c r="BL150">
        <v>6.0</v>
      </c>
      <c r="BM150" t="s">
        <v>3799</v>
      </c>
      <c r="BN150">
        <v>3.0</v>
      </c>
      <c r="BO150">
        <v>6.0</v>
      </c>
      <c r="BP150" t="s">
        <v>3800</v>
      </c>
      <c r="BQ150" t="s">
        <v>3801</v>
      </c>
      <c r="BR150" t="s">
        <v>3802</v>
      </c>
      <c r="BS150" t="s">
        <v>3803</v>
      </c>
      <c r="BU150" t="s">
        <v>3804</v>
      </c>
      <c r="BV150" s="3" t="str">
        <f>HYPERLINK("https://api.typeform.com/responses/files/d04eb4f6adcf2f425761f9ba90a161b29e7ddcb71636f6517cb179291472b871/OIP.jpg")</f>
        <v>https://api.typeform.com/responses/files/d04eb4f6adcf2f425761f9ba90a161b29e7ddcb71636f6517cb179291472b871/OIP.jpg</v>
      </c>
      <c r="BW150" t="b">
        <v>1</v>
      </c>
      <c r="BX150" t="s">
        <v>1394</v>
      </c>
      <c r="BY150" t="s">
        <v>140</v>
      </c>
      <c r="CA150" t="s">
        <v>1395</v>
      </c>
      <c r="CD150">
        <v>0.0</v>
      </c>
      <c r="CF150" t="b">
        <v>0</v>
      </c>
      <c r="CG150" t="b">
        <v>1</v>
      </c>
      <c r="CH150" t="s">
        <v>3805</v>
      </c>
      <c r="CJ150" t="b">
        <v>1</v>
      </c>
      <c r="CK150" t="b">
        <v>1</v>
      </c>
      <c r="CL150" t="s">
        <v>2301</v>
      </c>
      <c r="CM150" t="s">
        <v>2301</v>
      </c>
      <c r="CO150" t="s">
        <v>1635</v>
      </c>
      <c r="CR150" t="b">
        <v>1</v>
      </c>
      <c r="CT150">
        <v>0.0</v>
      </c>
      <c r="CU150">
        <v>0.0</v>
      </c>
      <c r="CX150" s="4" t="s">
        <v>3042</v>
      </c>
      <c r="CZ150" s="5">
        <v>44362.66905092593</v>
      </c>
      <c r="DA150" t="s">
        <v>3806</v>
      </c>
    </row>
    <row r="151">
      <c r="A151" t="s">
        <v>98</v>
      </c>
      <c r="D151" t="s">
        <v>3807</v>
      </c>
      <c r="E151" t="s">
        <v>3808</v>
      </c>
      <c r="F151" s="2">
        <v>37205.0</v>
      </c>
      <c r="G151" t="s">
        <v>1466</v>
      </c>
      <c r="I151" s="3" t="str">
        <f>HYPERLINK("https://api.typeform.com/responses/files/dc6772bca1281a3c05fd20f36dc78614e1687e1253c215de24f4bc036dfe48d3/image.jpg")</f>
        <v>https://api.typeform.com/responses/files/dc6772bca1281a3c05fd20f36dc78614e1687e1253c215de24f4bc036dfe48d3/image.jpg</v>
      </c>
      <c r="J151" t="s">
        <v>3809</v>
      </c>
      <c r="K151" t="b">
        <v>1</v>
      </c>
      <c r="L151" s="4" t="s">
        <v>3810</v>
      </c>
      <c r="M151" t="s">
        <v>3811</v>
      </c>
      <c r="N151" t="s">
        <v>149</v>
      </c>
      <c r="O151" t="s">
        <v>3812</v>
      </c>
      <c r="P151" t="s">
        <v>3813</v>
      </c>
      <c r="Q151" t="s">
        <v>152</v>
      </c>
      <c r="R151" t="s">
        <v>3814</v>
      </c>
      <c r="S151" t="s">
        <v>3815</v>
      </c>
      <c r="T151" s="4" t="s">
        <v>3816</v>
      </c>
      <c r="U151" t="s">
        <v>1345</v>
      </c>
      <c r="V151" t="s">
        <v>2109</v>
      </c>
      <c r="W151" t="s">
        <v>113</v>
      </c>
      <c r="Y151" t="s">
        <v>158</v>
      </c>
      <c r="Z151" t="s">
        <v>262</v>
      </c>
      <c r="AC151" s="3" t="str">
        <f>HYPERLINK("https://api.typeform.com/responses/files/4caff2a334256077faf9a4b56e8399af9a200da08295de0227df7c4968630f5f/5663A567_1893_44F6_9B97_CC3F8058AC75.jpeg")</f>
        <v>https://api.typeform.com/responses/files/4caff2a334256077faf9a4b56e8399af9a200da08295de0227df7c4968630f5f/5663A567_1893_44F6_9B97_CC3F8058AC75.jpeg</v>
      </c>
      <c r="AD151" t="s">
        <v>118</v>
      </c>
      <c r="AE151" t="s">
        <v>729</v>
      </c>
      <c r="AF151" t="s">
        <v>3817</v>
      </c>
      <c r="AG151">
        <v>15.0</v>
      </c>
      <c r="AH151" t="s">
        <v>575</v>
      </c>
      <c r="AI151" t="s">
        <v>162</v>
      </c>
      <c r="AL151" t="s">
        <v>3818</v>
      </c>
      <c r="AO151" t="s">
        <v>335</v>
      </c>
      <c r="AP151">
        <v>5.0</v>
      </c>
      <c r="AQ151" t="s">
        <v>303</v>
      </c>
      <c r="AR151" t="s">
        <v>3819</v>
      </c>
      <c r="AS151" t="b">
        <v>1</v>
      </c>
      <c r="AT151" t="b">
        <v>0</v>
      </c>
      <c r="AV151">
        <v>5.0</v>
      </c>
      <c r="AW151" t="b">
        <v>1</v>
      </c>
      <c r="AX151" t="s">
        <v>1902</v>
      </c>
      <c r="AY151" t="s">
        <v>1451</v>
      </c>
      <c r="AZ151" t="b">
        <v>1</v>
      </c>
      <c r="BA151" t="b">
        <v>1</v>
      </c>
      <c r="BB151" t="b">
        <v>0</v>
      </c>
      <c r="BC151" t="s">
        <v>3820</v>
      </c>
      <c r="BH151" t="s">
        <v>132</v>
      </c>
      <c r="BI151">
        <v>2.0</v>
      </c>
      <c r="BJ151" t="s">
        <v>3821</v>
      </c>
      <c r="BK151">
        <v>3.0</v>
      </c>
      <c r="BL151">
        <v>4.0</v>
      </c>
      <c r="BM151" t="s">
        <v>3822</v>
      </c>
      <c r="BN151">
        <v>4.0</v>
      </c>
      <c r="BO151">
        <v>5.0</v>
      </c>
      <c r="BP151" t="s">
        <v>3823</v>
      </c>
      <c r="BQ151" t="s">
        <v>1881</v>
      </c>
      <c r="BR151" t="s">
        <v>3824</v>
      </c>
      <c r="BS151" t="s">
        <v>3825</v>
      </c>
      <c r="BU151" t="s">
        <v>3826</v>
      </c>
      <c r="BV151" s="3" t="str">
        <f>HYPERLINK("https://api.typeform.com/responses/files/8e69bd842ab393d5c18147862793abaa76c672dee9cb6d464ed438ec16a931ad/F63C2B43_CF95_45C0_846E_E03D21317E14.png")</f>
        <v>https://api.typeform.com/responses/files/8e69bd842ab393d5c18147862793abaa76c672dee9cb6d464ed438ec16a931ad/F63C2B43_CF95_45C0_846E_E03D21317E14.png</v>
      </c>
      <c r="BW151" t="b">
        <v>1</v>
      </c>
      <c r="BX151" t="s">
        <v>1394</v>
      </c>
      <c r="BY151" t="s">
        <v>140</v>
      </c>
      <c r="CA151" t="s">
        <v>1395</v>
      </c>
      <c r="CD151">
        <v>0.0</v>
      </c>
      <c r="CF151" t="b">
        <v>1</v>
      </c>
      <c r="CG151" t="b">
        <v>1</v>
      </c>
      <c r="CH151" t="s">
        <v>705</v>
      </c>
      <c r="CJ151" t="b">
        <v>0</v>
      </c>
      <c r="CK151" t="b">
        <v>1</v>
      </c>
      <c r="CL151" t="s">
        <v>300</v>
      </c>
      <c r="CM151" t="s">
        <v>300</v>
      </c>
      <c r="CO151" t="s">
        <v>124</v>
      </c>
      <c r="CR151" t="b">
        <v>1</v>
      </c>
      <c r="CT151">
        <v>0.0</v>
      </c>
      <c r="CU151">
        <v>2.0</v>
      </c>
      <c r="CX151" s="4" t="s">
        <v>2914</v>
      </c>
      <c r="CZ151" s="5">
        <v>44362.71497685185</v>
      </c>
      <c r="DA151" t="s">
        <v>3827</v>
      </c>
    </row>
    <row r="152">
      <c r="A152" t="s">
        <v>98</v>
      </c>
      <c r="D152" t="s">
        <v>3828</v>
      </c>
      <c r="E152" t="s">
        <v>1770</v>
      </c>
      <c r="F152" s="2">
        <v>37763.0</v>
      </c>
      <c r="G152" t="s">
        <v>1466</v>
      </c>
      <c r="I152" s="3" t="str">
        <f>HYPERLINK("https://api.typeform.com/responses/files/dba4670bc6c3f8bd93b6aa7fde81e27581e10bc384b3e42658d16a403ca3afe2/78A136E3_5BD7_4280_B20E_7803E6DA5C38.jpeg")</f>
        <v>https://api.typeform.com/responses/files/dba4670bc6c3f8bd93b6aa7fde81e27581e10bc384b3e42658d16a403ca3afe2/78A136E3_5BD7_4280_B20E_7803E6DA5C38.jpeg</v>
      </c>
      <c r="J152" t="s">
        <v>3829</v>
      </c>
      <c r="K152" t="b">
        <v>0</v>
      </c>
      <c r="M152" t="s">
        <v>3830</v>
      </c>
      <c r="N152" t="s">
        <v>354</v>
      </c>
      <c r="O152" t="s">
        <v>3831</v>
      </c>
      <c r="P152" t="s">
        <v>3832</v>
      </c>
      <c r="Q152" t="s">
        <v>152</v>
      </c>
      <c r="R152" t="s">
        <v>3829</v>
      </c>
      <c r="S152" t="s">
        <v>3833</v>
      </c>
      <c r="T152" s="4" t="s">
        <v>3834</v>
      </c>
      <c r="U152" t="s">
        <v>1543</v>
      </c>
      <c r="V152" t="s">
        <v>3641</v>
      </c>
      <c r="W152" t="s">
        <v>113</v>
      </c>
      <c r="Y152" t="s">
        <v>158</v>
      </c>
      <c r="Z152" t="s">
        <v>262</v>
      </c>
      <c r="AC152" s="3" t="str">
        <f>HYPERLINK("https://api.typeform.com/responses/files/bbb6d17dd1a892df7e39456ba4f9b7a29c0ea4af9d693fcbff75e5c0432334bd/40720DCB_F539_4788_A08B_01F247C24D7A.png")</f>
        <v>https://api.typeform.com/responses/files/bbb6d17dd1a892df7e39456ba4f9b7a29c0ea4af9d693fcbff75e5c0432334bd/40720DCB_F539_4788_A08B_01F247C24D7A.png</v>
      </c>
      <c r="AD152" t="s">
        <v>118</v>
      </c>
      <c r="AE152" t="s">
        <v>729</v>
      </c>
      <c r="AF152" t="s">
        <v>197</v>
      </c>
      <c r="AG152">
        <v>12.0</v>
      </c>
      <c r="AH152" t="s">
        <v>3835</v>
      </c>
      <c r="AI152" t="s">
        <v>162</v>
      </c>
      <c r="AL152" t="s">
        <v>199</v>
      </c>
      <c r="AO152" t="s">
        <v>125</v>
      </c>
      <c r="AP152">
        <v>4.0</v>
      </c>
      <c r="AQ152" t="s">
        <v>2240</v>
      </c>
      <c r="AR152" t="s">
        <v>3836</v>
      </c>
      <c r="AS152" t="b">
        <v>1</v>
      </c>
      <c r="AT152" t="b">
        <v>1</v>
      </c>
      <c r="AV152">
        <v>4.0</v>
      </c>
      <c r="AW152" t="b">
        <v>1</v>
      </c>
      <c r="AX152" t="s">
        <v>1902</v>
      </c>
      <c r="AY152" s="4" t="s">
        <v>518</v>
      </c>
      <c r="AZ152" t="b">
        <v>1</v>
      </c>
      <c r="BA152" t="b">
        <v>1</v>
      </c>
      <c r="BB152" t="b">
        <v>0</v>
      </c>
      <c r="BC152" t="s">
        <v>3837</v>
      </c>
      <c r="BH152" t="s">
        <v>132</v>
      </c>
      <c r="BI152">
        <v>2.0</v>
      </c>
      <c r="BJ152" t="s">
        <v>3838</v>
      </c>
      <c r="BK152">
        <v>4.0</v>
      </c>
      <c r="BL152">
        <v>4.0</v>
      </c>
      <c r="BM152" t="s">
        <v>3839</v>
      </c>
      <c r="BN152">
        <v>4.0</v>
      </c>
      <c r="BO152">
        <v>4.0</v>
      </c>
      <c r="BP152" t="s">
        <v>3840</v>
      </c>
      <c r="BQ152" t="s">
        <v>3728</v>
      </c>
      <c r="BR152" t="s">
        <v>3841</v>
      </c>
      <c r="BS152" t="s">
        <v>3842</v>
      </c>
      <c r="BU152" t="s">
        <v>179</v>
      </c>
      <c r="BV152" s="3" t="str">
        <f>HYPERLINK("https://api.typeform.com/responses/files/a92e5de920b4e687cc7ac08ea1cf142b20d80c961fe3cf5a178df1bacdb5473f/8F6CA443_79D0_48BE_8899_2BE88E4D051A.png")</f>
        <v>https://api.typeform.com/responses/files/a92e5de920b4e687cc7ac08ea1cf142b20d80c961fe3cf5a178df1bacdb5473f/8F6CA443_79D0_48BE_8899_2BE88E4D051A.png</v>
      </c>
      <c r="BW152" t="b">
        <v>1</v>
      </c>
      <c r="BX152" t="s">
        <v>1394</v>
      </c>
      <c r="BY152" t="s">
        <v>140</v>
      </c>
      <c r="CA152" t="s">
        <v>1395</v>
      </c>
      <c r="CD152">
        <v>0.0</v>
      </c>
      <c r="CF152" t="b">
        <v>1</v>
      </c>
      <c r="CG152" t="b">
        <v>1</v>
      </c>
      <c r="CH152" t="s">
        <v>628</v>
      </c>
      <c r="CJ152" t="b">
        <v>1</v>
      </c>
      <c r="CK152" t="b">
        <v>1</v>
      </c>
      <c r="CL152" t="s">
        <v>198</v>
      </c>
      <c r="CM152" t="s">
        <v>541</v>
      </c>
      <c r="CO152" t="s">
        <v>1635</v>
      </c>
      <c r="CR152" t="b">
        <v>1</v>
      </c>
      <c r="CT152">
        <v>2.0</v>
      </c>
      <c r="CU152">
        <v>0.0</v>
      </c>
      <c r="CX152" s="4" t="s">
        <v>3042</v>
      </c>
      <c r="CZ152" s="5">
        <v>44362.7247337963</v>
      </c>
      <c r="DA152" t="s">
        <v>3843</v>
      </c>
    </row>
    <row r="153">
      <c r="A153" t="s">
        <v>98</v>
      </c>
      <c r="D153" t="s">
        <v>3844</v>
      </c>
      <c r="E153" t="s">
        <v>3845</v>
      </c>
      <c r="F153" s="2">
        <v>38101.0</v>
      </c>
      <c r="G153" t="s">
        <v>1466</v>
      </c>
      <c r="I153" s="3" t="str">
        <f>HYPERLINK("https://api.typeform.com/responses/files/b148fe2b5281d5f854cf8bb7f0fcd0126eef9312e67a50cc939e0f529f0686ab/IMG_20200611_140605.jpg")</f>
        <v>https://api.typeform.com/responses/files/b148fe2b5281d5f854cf8bb7f0fcd0126eef9312e67a50cc939e0f529f0686ab/IMG_20200611_140605.jpg</v>
      </c>
      <c r="J153" t="s">
        <v>3846</v>
      </c>
      <c r="K153" t="b">
        <v>0</v>
      </c>
      <c r="M153" t="s">
        <v>3847</v>
      </c>
      <c r="N153" t="s">
        <v>149</v>
      </c>
      <c r="P153" t="s">
        <v>3848</v>
      </c>
      <c r="Q153" t="s">
        <v>189</v>
      </c>
      <c r="R153" t="s">
        <v>3849</v>
      </c>
      <c r="S153" t="s">
        <v>3847</v>
      </c>
      <c r="T153" s="4" t="s">
        <v>3850</v>
      </c>
      <c r="U153" t="s">
        <v>3851</v>
      </c>
      <c r="V153" t="s">
        <v>3852</v>
      </c>
      <c r="W153" t="s">
        <v>113</v>
      </c>
      <c r="Y153" t="s">
        <v>158</v>
      </c>
      <c r="Z153" t="s">
        <v>262</v>
      </c>
      <c r="AC153" s="3" t="str">
        <f>HYPERLINK("https://api.typeform.com/responses/files/f3423ce19a2444b63c9d0e2e6f57f7ed65639722747ab56b1f15701185e18c3c/JKL_transcripts___spring_Samb_Mouhamed.jpg")</f>
        <v>https://api.typeform.com/responses/files/f3423ce19a2444b63c9d0e2e6f57f7ed65639722747ab56b1f15701185e18c3c/JKL_transcripts___spring_Samb_Mouhamed.jpg</v>
      </c>
      <c r="AD153" t="s">
        <v>118</v>
      </c>
      <c r="AE153" t="s">
        <v>729</v>
      </c>
      <c r="AF153" t="s">
        <v>3853</v>
      </c>
      <c r="AG153">
        <v>14.0</v>
      </c>
      <c r="AH153" t="s">
        <v>1951</v>
      </c>
      <c r="AI153" t="s">
        <v>205</v>
      </c>
      <c r="AK153" t="s">
        <v>1951</v>
      </c>
      <c r="AL153" t="s">
        <v>3854</v>
      </c>
      <c r="AO153" t="s">
        <v>125</v>
      </c>
      <c r="AP153">
        <v>6.0</v>
      </c>
      <c r="AQ153" t="s">
        <v>126</v>
      </c>
      <c r="AR153" t="s">
        <v>3460</v>
      </c>
      <c r="AS153" t="b">
        <v>1</v>
      </c>
      <c r="AT153" t="b">
        <v>1</v>
      </c>
      <c r="AV153">
        <v>7.0</v>
      </c>
      <c r="AW153" t="b">
        <v>0</v>
      </c>
      <c r="AZ153" t="b">
        <v>1</v>
      </c>
      <c r="BA153" t="b">
        <v>0</v>
      </c>
      <c r="BD153" t="s">
        <v>3460</v>
      </c>
      <c r="BH153" t="s">
        <v>132</v>
      </c>
      <c r="BI153">
        <v>4.0</v>
      </c>
      <c r="BJ153" t="s">
        <v>3855</v>
      </c>
      <c r="BK153">
        <v>1.0</v>
      </c>
      <c r="BL153">
        <v>5.0</v>
      </c>
      <c r="BM153" t="s">
        <v>3856</v>
      </c>
      <c r="BN153">
        <v>2.0</v>
      </c>
      <c r="BO153">
        <v>2.0</v>
      </c>
      <c r="BP153" t="s">
        <v>3857</v>
      </c>
      <c r="BQ153" t="s">
        <v>3858</v>
      </c>
      <c r="BR153" t="s">
        <v>3859</v>
      </c>
      <c r="BS153" t="s">
        <v>3860</v>
      </c>
      <c r="BU153" t="s">
        <v>3861</v>
      </c>
      <c r="BV153" s="3" t="str">
        <f>HYPERLINK("https://api.typeform.com/responses/files/46e01cbc171d8f0ebdacb170c8604db9fb537392b295cbc411e9cfab7eec0c34/JKL_transcripts___spring_Samb_Mouhamed.jpg")</f>
        <v>https://api.typeform.com/responses/files/46e01cbc171d8f0ebdacb170c8604db9fb537392b295cbc411e9cfab7eec0c34/JKL_transcripts___spring_Samb_Mouhamed.jpg</v>
      </c>
      <c r="BW153" t="b">
        <v>1</v>
      </c>
      <c r="BX153" t="s">
        <v>1394</v>
      </c>
      <c r="BY153" t="s">
        <v>140</v>
      </c>
      <c r="CA153" t="s">
        <v>1395</v>
      </c>
      <c r="CD153">
        <v>0.0</v>
      </c>
      <c r="CF153" t="b">
        <v>1</v>
      </c>
      <c r="CG153" t="b">
        <v>0</v>
      </c>
      <c r="CH153" t="s">
        <v>1935</v>
      </c>
      <c r="CJ153" t="b">
        <v>1</v>
      </c>
      <c r="CK153" t="b">
        <v>1</v>
      </c>
      <c r="CL153" t="s">
        <v>300</v>
      </c>
      <c r="CO153" t="s">
        <v>124</v>
      </c>
      <c r="CR153" t="b">
        <v>1</v>
      </c>
      <c r="CT153">
        <v>0.0</v>
      </c>
      <c r="CU153">
        <v>0.0</v>
      </c>
      <c r="CX153" s="4" t="s">
        <v>3862</v>
      </c>
      <c r="CZ153" s="5">
        <v>44362.742939814816</v>
      </c>
      <c r="DA153" t="s">
        <v>3863</v>
      </c>
    </row>
    <row r="154">
      <c r="A154" t="s">
        <v>98</v>
      </c>
      <c r="D154" t="s">
        <v>2099</v>
      </c>
      <c r="E154" t="s">
        <v>3864</v>
      </c>
      <c r="F154" s="2">
        <v>37839.0</v>
      </c>
      <c r="G154" t="s">
        <v>1466</v>
      </c>
      <c r="I154" s="3" t="str">
        <f>HYPERLINK("https://api.typeform.com/responses/files/2509a5a7fb32f1031151294b695a332d07337838131c8a291814ab67e1b0447d/IMG_2125.jpeg")</f>
        <v>https://api.typeform.com/responses/files/2509a5a7fb32f1031151294b695a332d07337838131c8a291814ab67e1b0447d/IMG_2125.jpeg</v>
      </c>
      <c r="J154" t="s">
        <v>2102</v>
      </c>
      <c r="K154" t="b">
        <v>1</v>
      </c>
      <c r="L154" s="4" t="s">
        <v>2103</v>
      </c>
      <c r="M154" t="s">
        <v>3865</v>
      </c>
      <c r="N154" t="s">
        <v>255</v>
      </c>
      <c r="O154" t="s">
        <v>3866</v>
      </c>
      <c r="P154" t="s">
        <v>3867</v>
      </c>
      <c r="Q154" t="s">
        <v>189</v>
      </c>
      <c r="R154" t="s">
        <v>3868</v>
      </c>
      <c r="S154" t="s">
        <v>3869</v>
      </c>
      <c r="T154" s="4" t="s">
        <v>2108</v>
      </c>
      <c r="U154" t="s">
        <v>3640</v>
      </c>
      <c r="V154" t="s">
        <v>3870</v>
      </c>
      <c r="W154" t="s">
        <v>113</v>
      </c>
      <c r="Y154" t="s">
        <v>158</v>
      </c>
      <c r="Z154" t="s">
        <v>262</v>
      </c>
      <c r="AC154" s="3" t="str">
        <f>HYPERLINK("https://api.typeform.com/responses/files/b5761c3218aa6df45ada0babc89432c7d74e73faeb8d84e251d7627527189841/JKL_transcripts___spring_Billa_Zakaria__1_.jpg")</f>
        <v>https://api.typeform.com/responses/files/b5761c3218aa6df45ada0babc89432c7d74e73faeb8d84e251d7627527189841/JKL_transcripts___spring_Billa_Zakaria__1_.jpg</v>
      </c>
      <c r="AD154" t="s">
        <v>118</v>
      </c>
      <c r="AE154" t="s">
        <v>729</v>
      </c>
      <c r="AF154" t="s">
        <v>936</v>
      </c>
      <c r="AG154">
        <v>14.0</v>
      </c>
      <c r="AH154" s="4" t="s">
        <v>3871</v>
      </c>
      <c r="AI154" t="s">
        <v>121</v>
      </c>
      <c r="AK154" t="s">
        <v>301</v>
      </c>
      <c r="AL154" t="s">
        <v>3872</v>
      </c>
      <c r="AO154" t="s">
        <v>125</v>
      </c>
      <c r="AP154">
        <v>4.0</v>
      </c>
      <c r="AQ154" t="s">
        <v>126</v>
      </c>
      <c r="AR154" t="s">
        <v>3873</v>
      </c>
      <c r="AS154" t="b">
        <v>1</v>
      </c>
      <c r="AT154" t="b">
        <v>1</v>
      </c>
      <c r="AV154">
        <v>4.0</v>
      </c>
      <c r="AW154" t="b">
        <v>0</v>
      </c>
      <c r="AZ154" t="b">
        <v>1</v>
      </c>
      <c r="BA154" t="b">
        <v>1</v>
      </c>
      <c r="BB154" t="b">
        <v>1</v>
      </c>
      <c r="BC154" t="s">
        <v>3874</v>
      </c>
      <c r="BH154" t="s">
        <v>132</v>
      </c>
      <c r="BI154">
        <v>3.0</v>
      </c>
      <c r="BJ154" t="s">
        <v>3875</v>
      </c>
      <c r="BK154">
        <v>3.0</v>
      </c>
      <c r="BL154">
        <v>3.0</v>
      </c>
      <c r="BM154" t="s">
        <v>3876</v>
      </c>
      <c r="BN154">
        <v>2.0</v>
      </c>
      <c r="BO154">
        <v>6.0</v>
      </c>
      <c r="BP154" t="s">
        <v>3877</v>
      </c>
      <c r="BQ154" t="s">
        <v>3878</v>
      </c>
      <c r="BR154" t="s">
        <v>3879</v>
      </c>
      <c r="BS154" t="s">
        <v>3880</v>
      </c>
      <c r="BU154" t="s">
        <v>3881</v>
      </c>
      <c r="BV154" s="3" t="str">
        <f>HYPERLINK("https://api.typeform.com/responses/files/1844c754b35fcc94027986641adc7b4f919a86f011409ca66b2958200a75edd0/IMG_1342.jpg")</f>
        <v>https://api.typeform.com/responses/files/1844c754b35fcc94027986641adc7b4f919a86f011409ca66b2958200a75edd0/IMG_1342.jpg</v>
      </c>
      <c r="BW154" t="b">
        <v>1</v>
      </c>
      <c r="BX154" t="s">
        <v>1394</v>
      </c>
      <c r="BY154" t="s">
        <v>140</v>
      </c>
      <c r="CA154" t="s">
        <v>1395</v>
      </c>
      <c r="CD154">
        <v>0.0</v>
      </c>
      <c r="CF154" t="b">
        <v>1</v>
      </c>
      <c r="CG154" t="b">
        <v>1</v>
      </c>
      <c r="CH154" t="s">
        <v>3212</v>
      </c>
      <c r="CJ154" t="b">
        <v>1</v>
      </c>
      <c r="CK154" t="b">
        <v>1</v>
      </c>
      <c r="CL154" t="s">
        <v>300</v>
      </c>
      <c r="CO154" t="s">
        <v>124</v>
      </c>
      <c r="CR154" t="b">
        <v>1</v>
      </c>
      <c r="CT154">
        <v>3.0</v>
      </c>
      <c r="CU154">
        <v>1.0</v>
      </c>
      <c r="CX154" s="4" t="s">
        <v>3882</v>
      </c>
      <c r="CZ154" s="5">
        <v>44363.688368055555</v>
      </c>
      <c r="DA154" t="s">
        <v>3883</v>
      </c>
    </row>
    <row r="155">
      <c r="A155" t="s">
        <v>98</v>
      </c>
      <c r="D155" t="s">
        <v>3884</v>
      </c>
      <c r="E155" t="s">
        <v>3885</v>
      </c>
      <c r="F155" s="2">
        <v>38619.0</v>
      </c>
      <c r="G155" t="s">
        <v>1360</v>
      </c>
      <c r="I155" s="3" t="str">
        <f>HYPERLINK("https://api.typeform.com/responses/files/bcc5b703225c40ed57621739ca3bc0dabaf71fd54dfcf837cc980cb81d1e782b/work_photo.jpg")</f>
        <v>https://api.typeform.com/responses/files/bcc5b703225c40ed57621739ca3bc0dabaf71fd54dfcf837cc980cb81d1e782b/work_photo.jpg</v>
      </c>
      <c r="J155" t="s">
        <v>3886</v>
      </c>
      <c r="K155" t="b">
        <v>1</v>
      </c>
      <c r="L155" s="4" t="s">
        <v>3887</v>
      </c>
      <c r="M155" t="s">
        <v>3888</v>
      </c>
      <c r="N155" t="s">
        <v>255</v>
      </c>
      <c r="O155" t="s">
        <v>3889</v>
      </c>
      <c r="P155" t="s">
        <v>3890</v>
      </c>
      <c r="Q155" t="s">
        <v>152</v>
      </c>
      <c r="R155" t="s">
        <v>3891</v>
      </c>
      <c r="S155" t="s">
        <v>3892</v>
      </c>
      <c r="T155" s="4" t="s">
        <v>3893</v>
      </c>
      <c r="U155" t="s">
        <v>1543</v>
      </c>
      <c r="V155" t="s">
        <v>3641</v>
      </c>
      <c r="W155" t="s">
        <v>113</v>
      </c>
      <c r="Y155" t="s">
        <v>158</v>
      </c>
      <c r="Z155" t="s">
        <v>195</v>
      </c>
      <c r="AC155" s="3" t="str">
        <f>HYPERLINK("https://api.typeform.com/responses/files/41f2a4101dbb8260d9e78d8f54c92ce3087fb2c4ca60468a7f286f6cae5f420f/Quezada__Akira.pdf")</f>
        <v>https://api.typeform.com/responses/files/41f2a4101dbb8260d9e78d8f54c92ce3087fb2c4ca60468a7f286f6cae5f420f/Quezada__Akira.pdf</v>
      </c>
      <c r="AD155" t="s">
        <v>118</v>
      </c>
      <c r="AE155" t="s">
        <v>729</v>
      </c>
      <c r="AF155" t="s">
        <v>197</v>
      </c>
      <c r="AG155">
        <v>13.0</v>
      </c>
      <c r="AH155" t="s">
        <v>3387</v>
      </c>
      <c r="AI155" t="s">
        <v>162</v>
      </c>
      <c r="AK155" t="s">
        <v>3894</v>
      </c>
      <c r="AL155" t="s">
        <v>1925</v>
      </c>
      <c r="AO155" t="s">
        <v>125</v>
      </c>
      <c r="AP155">
        <v>5.0</v>
      </c>
      <c r="AQ155" t="s">
        <v>2240</v>
      </c>
      <c r="AR155" t="s">
        <v>3895</v>
      </c>
      <c r="AS155" t="b">
        <v>1</v>
      </c>
      <c r="AT155" t="b">
        <v>0</v>
      </c>
      <c r="AV155">
        <v>4.0</v>
      </c>
      <c r="AW155" t="b">
        <v>0</v>
      </c>
      <c r="AZ155" t="b">
        <v>0</v>
      </c>
      <c r="BA155" t="b">
        <v>1</v>
      </c>
      <c r="BB155" t="b">
        <v>1</v>
      </c>
      <c r="BC155" t="s">
        <v>3896</v>
      </c>
      <c r="BH155" t="s">
        <v>132</v>
      </c>
      <c r="BI155">
        <v>2.0</v>
      </c>
      <c r="BJ155" t="s">
        <v>3897</v>
      </c>
      <c r="BK155">
        <v>3.0</v>
      </c>
      <c r="BL155">
        <v>5.0</v>
      </c>
      <c r="BM155" t="s">
        <v>3898</v>
      </c>
      <c r="BN155">
        <v>5.0</v>
      </c>
      <c r="BO155">
        <v>6.0</v>
      </c>
      <c r="BP155" t="s">
        <v>3899</v>
      </c>
      <c r="BQ155" t="s">
        <v>3900</v>
      </c>
      <c r="BR155" t="s">
        <v>3901</v>
      </c>
      <c r="BS155" t="s">
        <v>3902</v>
      </c>
      <c r="BU155" t="s">
        <v>3903</v>
      </c>
      <c r="BV155" s="3" t="str">
        <f>HYPERLINK("https://api.typeform.com/responses/files/cbbb4ec34eab2a28a755818a3f96e6eab46774f5985898fa7b0684a4baf1b14c/SPEAKHIRE_Parent.Guardian_Consent_Form.pdf")</f>
        <v>https://api.typeform.com/responses/files/cbbb4ec34eab2a28a755818a3f96e6eab46774f5985898fa7b0684a4baf1b14c/SPEAKHIRE_Parent.Guardian_Consent_Form.pdf</v>
      </c>
      <c r="BW155" t="b">
        <v>1</v>
      </c>
      <c r="BX155" t="s">
        <v>497</v>
      </c>
      <c r="BY155" t="s">
        <v>140</v>
      </c>
      <c r="CA155" t="s">
        <v>498</v>
      </c>
      <c r="CB155" t="s">
        <v>3904</v>
      </c>
      <c r="CD155">
        <v>0.0</v>
      </c>
      <c r="CF155" t="b">
        <v>0</v>
      </c>
      <c r="CG155" t="b">
        <v>0</v>
      </c>
      <c r="CH155" t="s">
        <v>168</v>
      </c>
      <c r="CJ155" t="b">
        <v>1</v>
      </c>
      <c r="CK155" t="b">
        <v>1</v>
      </c>
      <c r="CL155" t="s">
        <v>198</v>
      </c>
      <c r="CM155" t="s">
        <v>198</v>
      </c>
      <c r="CO155" t="s">
        <v>200</v>
      </c>
      <c r="CR155" t="b">
        <v>1</v>
      </c>
      <c r="CT155">
        <v>2.0</v>
      </c>
      <c r="CU155">
        <v>0.0</v>
      </c>
      <c r="CX155" s="4" t="s">
        <v>941</v>
      </c>
      <c r="CZ155" s="5">
        <v>44364.153703703705</v>
      </c>
      <c r="DA155" t="s">
        <v>3905</v>
      </c>
    </row>
    <row r="156">
      <c r="A156" t="s">
        <v>98</v>
      </c>
      <c r="D156" t="s">
        <v>319</v>
      </c>
      <c r="E156" t="s">
        <v>3906</v>
      </c>
      <c r="F156" s="2">
        <v>37444.0</v>
      </c>
      <c r="G156" t="s">
        <v>1466</v>
      </c>
      <c r="I156" s="3" t="str">
        <f>HYPERLINK("https://api.typeform.com/responses/files/b5bb711102ec2c658439a4e36e3b5da8bd56b20a5c59a694ae1d6a7612dbfc66/5E9CE396_1855_476D_B6D6_91B9FE8B5103.jpeg")</f>
        <v>https://api.typeform.com/responses/files/b5bb711102ec2c658439a4e36e3b5da8bd56b20a5c59a694ae1d6a7612dbfc66/5E9CE396_1855_476D_B6D6_91B9FE8B5103.jpeg</v>
      </c>
      <c r="J156" t="s">
        <v>3907</v>
      </c>
      <c r="K156" t="b">
        <v>1</v>
      </c>
      <c r="L156" s="4" t="s">
        <v>3908</v>
      </c>
      <c r="M156" t="s">
        <v>3909</v>
      </c>
      <c r="N156" t="s">
        <v>354</v>
      </c>
      <c r="P156" t="s">
        <v>3910</v>
      </c>
      <c r="Q156" t="s">
        <v>292</v>
      </c>
      <c r="R156" t="s">
        <v>3907</v>
      </c>
      <c r="S156" t="s">
        <v>3911</v>
      </c>
      <c r="T156" s="4" t="s">
        <v>3912</v>
      </c>
      <c r="U156" t="s">
        <v>592</v>
      </c>
      <c r="V156" t="s">
        <v>3913</v>
      </c>
      <c r="W156" t="s">
        <v>113</v>
      </c>
      <c r="Y156" t="s">
        <v>158</v>
      </c>
      <c r="Z156" t="s">
        <v>262</v>
      </c>
      <c r="AC156" s="3" t="str">
        <f>HYPERLINK("https://api.typeform.com/responses/files/be7b54ddbd1db1164313b6d18df19a3f92089b32cd2aa27381ad87da9b9f7a4a/248E6321_57BC_4C3A_9CA2_4E6833BEC248.png")</f>
        <v>https://api.typeform.com/responses/files/be7b54ddbd1db1164313b6d18df19a3f92089b32cd2aa27381ad87da9b9f7a4a/248E6321_57BC_4C3A_9CA2_4E6833BEC248.png</v>
      </c>
      <c r="AD156" t="s">
        <v>118</v>
      </c>
      <c r="AE156" t="s">
        <v>729</v>
      </c>
      <c r="AF156" t="s">
        <v>264</v>
      </c>
      <c r="AG156">
        <v>17.0</v>
      </c>
      <c r="AH156" t="s">
        <v>3668</v>
      </c>
      <c r="AI156" t="s">
        <v>121</v>
      </c>
      <c r="AK156" t="s">
        <v>3914</v>
      </c>
      <c r="AL156" t="s">
        <v>3915</v>
      </c>
      <c r="AO156" t="s">
        <v>335</v>
      </c>
      <c r="AP156">
        <v>5.0</v>
      </c>
      <c r="AQ156" t="s">
        <v>303</v>
      </c>
      <c r="AR156" t="s">
        <v>3916</v>
      </c>
      <c r="AS156" t="b">
        <v>1</v>
      </c>
      <c r="AT156" t="b">
        <v>1</v>
      </c>
      <c r="AV156">
        <v>5.0</v>
      </c>
      <c r="AW156" t="b">
        <v>0</v>
      </c>
      <c r="AZ156" t="b">
        <v>0</v>
      </c>
      <c r="BA156" t="b">
        <v>0</v>
      </c>
      <c r="BD156" t="s">
        <v>3917</v>
      </c>
      <c r="BH156" t="s">
        <v>132</v>
      </c>
      <c r="BI156">
        <v>1.0</v>
      </c>
      <c r="BJ156" t="s">
        <v>575</v>
      </c>
      <c r="BK156">
        <v>1.0</v>
      </c>
      <c r="BL156">
        <v>4.0</v>
      </c>
      <c r="BM156" t="s">
        <v>179</v>
      </c>
      <c r="BN156">
        <v>1.0</v>
      </c>
      <c r="BO156">
        <v>6.0</v>
      </c>
      <c r="BP156" t="s">
        <v>3918</v>
      </c>
      <c r="BQ156" t="s">
        <v>626</v>
      </c>
      <c r="BR156" t="s">
        <v>3919</v>
      </c>
      <c r="BS156" t="s">
        <v>3920</v>
      </c>
      <c r="BU156" t="s">
        <v>179</v>
      </c>
      <c r="BV156" s="3" t="str">
        <f>HYPERLINK("https://api.typeform.com/responses/files/44aad2d4b0bb1d9fb31a7ff97c5bd22d316d5887a67bddf260a2a5e38501b9fb/6781ED6B_077E_4329_9A38_45E77BFBED9B.png")</f>
        <v>https://api.typeform.com/responses/files/44aad2d4b0bb1d9fb31a7ff97c5bd22d316d5887a67bddf260a2a5e38501b9fb/6781ED6B_077E_4329_9A38_45E77BFBED9B.png</v>
      </c>
      <c r="BW156" t="b">
        <v>1</v>
      </c>
      <c r="BX156" t="s">
        <v>1394</v>
      </c>
      <c r="BY156" t="s">
        <v>140</v>
      </c>
      <c r="CA156" t="s">
        <v>1395</v>
      </c>
      <c r="CD156">
        <v>0.0</v>
      </c>
      <c r="CF156" t="b">
        <v>1</v>
      </c>
      <c r="CG156" t="b">
        <v>0</v>
      </c>
      <c r="CH156" t="s">
        <v>3921</v>
      </c>
      <c r="CJ156" t="b">
        <v>1</v>
      </c>
      <c r="CK156" t="b">
        <v>0</v>
      </c>
      <c r="CL156" t="s">
        <v>300</v>
      </c>
      <c r="CM156" t="s">
        <v>300</v>
      </c>
      <c r="CO156" t="s">
        <v>124</v>
      </c>
      <c r="CQ156" t="s">
        <v>541</v>
      </c>
      <c r="CR156" t="b">
        <v>1</v>
      </c>
      <c r="CT156">
        <v>2.0</v>
      </c>
      <c r="CU156">
        <v>0.0</v>
      </c>
      <c r="CX156" t="s">
        <v>575</v>
      </c>
      <c r="CZ156" s="5">
        <v>44364.684375</v>
      </c>
      <c r="DA156" t="s">
        <v>3922</v>
      </c>
    </row>
    <row r="157">
      <c r="A157" t="s">
        <v>98</v>
      </c>
      <c r="D157" t="s">
        <v>1341</v>
      </c>
      <c r="E157" t="s">
        <v>1314</v>
      </c>
      <c r="F157" s="2">
        <v>37606.0</v>
      </c>
      <c r="G157" t="s">
        <v>1360</v>
      </c>
      <c r="I157" s="3" t="str">
        <f>HYPERLINK("https://api.typeform.com/responses/files/635c41fd03a8884e99e8672eeae6846f69441f271338a5d18aa9e1b7dda46d07/IMG_8041.jpg")</f>
        <v>https://api.typeform.com/responses/files/635c41fd03a8884e99e8672eeae6846f69441f271338a5d18aa9e1b7dda46d07/IMG_8041.jpg</v>
      </c>
      <c r="J157" t="s">
        <v>1342</v>
      </c>
      <c r="K157" t="b">
        <v>1</v>
      </c>
      <c r="L157" s="4" t="s">
        <v>1343</v>
      </c>
      <c r="M157" t="s">
        <v>3923</v>
      </c>
      <c r="N157" t="s">
        <v>354</v>
      </c>
      <c r="P157" t="s">
        <v>1320</v>
      </c>
      <c r="Q157" t="s">
        <v>292</v>
      </c>
      <c r="R157" t="s">
        <v>1321</v>
      </c>
      <c r="S157" t="s">
        <v>3924</v>
      </c>
      <c r="T157" s="4" t="s">
        <v>3384</v>
      </c>
      <c r="U157" t="s">
        <v>1543</v>
      </c>
      <c r="V157" t="s">
        <v>2109</v>
      </c>
      <c r="W157" t="s">
        <v>113</v>
      </c>
      <c r="Y157" t="s">
        <v>158</v>
      </c>
      <c r="Z157" t="s">
        <v>262</v>
      </c>
      <c r="AC157" s="3" t="str">
        <f>HYPERLINK("https://api.typeform.com/responses/files/225d035c95d62c9749e30c212bd6da5fa3d89476a6bccac1f0d5b3ec825c7731/Zabdy_Orellano__trans_21.pdf")</f>
        <v>https://api.typeform.com/responses/files/225d035c95d62c9749e30c212bd6da5fa3d89476a6bccac1f0d5b3ec825c7731/Zabdy_Orellano__trans_21.pdf</v>
      </c>
      <c r="AD157" t="s">
        <v>118</v>
      </c>
      <c r="AE157" t="s">
        <v>729</v>
      </c>
      <c r="AF157" t="s">
        <v>1019</v>
      </c>
      <c r="AG157">
        <v>16.0</v>
      </c>
      <c r="AH157" t="s">
        <v>3623</v>
      </c>
      <c r="AI157" t="s">
        <v>205</v>
      </c>
      <c r="AK157" t="s">
        <v>2912</v>
      </c>
      <c r="AL157" t="s">
        <v>3925</v>
      </c>
      <c r="AO157" t="s">
        <v>125</v>
      </c>
      <c r="AP157">
        <v>1.0</v>
      </c>
      <c r="AQ157" t="s">
        <v>126</v>
      </c>
      <c r="AR157" t="s">
        <v>544</v>
      </c>
      <c r="AS157" t="b">
        <v>1</v>
      </c>
      <c r="AT157" t="b">
        <v>0</v>
      </c>
      <c r="AV157">
        <v>6.0</v>
      </c>
      <c r="AW157" t="b">
        <v>0</v>
      </c>
      <c r="AZ157" t="b">
        <v>0</v>
      </c>
      <c r="BA157" t="b">
        <v>1</v>
      </c>
      <c r="BB157" t="b">
        <v>0</v>
      </c>
      <c r="BC157" t="s">
        <v>3926</v>
      </c>
      <c r="BH157" t="s">
        <v>132</v>
      </c>
      <c r="BI157">
        <v>3.0</v>
      </c>
      <c r="BJ157" t="s">
        <v>3927</v>
      </c>
      <c r="BK157">
        <v>2.0</v>
      </c>
      <c r="BL157">
        <v>4.0</v>
      </c>
      <c r="BM157" t="s">
        <v>3928</v>
      </c>
      <c r="BN157">
        <v>3.0</v>
      </c>
      <c r="BO157">
        <v>7.0</v>
      </c>
      <c r="BP157" t="s">
        <v>3929</v>
      </c>
      <c r="BQ157" t="s">
        <v>3930</v>
      </c>
      <c r="BR157" t="s">
        <v>3931</v>
      </c>
      <c r="BS157" t="s">
        <v>3932</v>
      </c>
      <c r="BU157" t="s">
        <v>528</v>
      </c>
      <c r="BV157" s="3" t="str">
        <f>HYPERLINK("https://api.typeform.com/responses/files/2890b5f552505a210e78f720a8c61f6dab0a170fdfb41db2e4492a4f5772e5f2/Zabdy_Prent_Guardian_Concent__1_.docx")</f>
        <v>https://api.typeform.com/responses/files/2890b5f552505a210e78f720a8c61f6dab0a170fdfb41db2e4492a4f5772e5f2/Zabdy_Prent_Guardian_Concent__1_.docx</v>
      </c>
      <c r="BW157" t="b">
        <v>1</v>
      </c>
      <c r="BX157" t="s">
        <v>1394</v>
      </c>
      <c r="BY157" t="s">
        <v>140</v>
      </c>
      <c r="CA157" t="s">
        <v>1395</v>
      </c>
      <c r="CD157">
        <v>0.0</v>
      </c>
      <c r="CF157" t="b">
        <v>1</v>
      </c>
      <c r="CG157" t="b">
        <v>1</v>
      </c>
      <c r="CH157" t="s">
        <v>128</v>
      </c>
      <c r="CJ157" t="b">
        <v>0</v>
      </c>
      <c r="CK157" t="b">
        <v>0</v>
      </c>
      <c r="CL157" t="s">
        <v>387</v>
      </c>
      <c r="CM157" t="s">
        <v>387</v>
      </c>
      <c r="CO157" t="s">
        <v>1635</v>
      </c>
      <c r="CQ157" t="s">
        <v>387</v>
      </c>
      <c r="CR157" t="b">
        <v>1</v>
      </c>
      <c r="CT157">
        <v>0.0</v>
      </c>
      <c r="CU157">
        <v>2.0</v>
      </c>
      <c r="CX157" s="4" t="s">
        <v>3933</v>
      </c>
      <c r="CZ157" s="5">
        <v>44364.7128125</v>
      </c>
      <c r="DA157" t="s">
        <v>3934</v>
      </c>
    </row>
    <row r="158">
      <c r="A158" t="s">
        <v>98</v>
      </c>
      <c r="D158" t="s">
        <v>1211</v>
      </c>
      <c r="E158" t="s">
        <v>2124</v>
      </c>
      <c r="F158" s="2">
        <v>38101.0</v>
      </c>
      <c r="G158" t="s">
        <v>1360</v>
      </c>
      <c r="I158" s="3" t="str">
        <f>HYPERLINK("https://api.typeform.com/responses/files/e54640815cd4e9b3214d1028cd79eb1f2e7a287fff5375854850279e47a6e4a0/7A7E2809_B19A_4609_B6AA_FAA9A49EF757.jpeg")</f>
        <v>https://api.typeform.com/responses/files/e54640815cd4e9b3214d1028cd79eb1f2e7a287fff5375854850279e47a6e4a0/7A7E2809_B19A_4609_B6AA_FAA9A49EF757.jpeg</v>
      </c>
      <c r="J158" t="s">
        <v>3935</v>
      </c>
      <c r="K158" t="b">
        <v>1</v>
      </c>
      <c r="L158" s="4" t="s">
        <v>3936</v>
      </c>
      <c r="M158" t="s">
        <v>3937</v>
      </c>
      <c r="N158" t="s">
        <v>255</v>
      </c>
      <c r="P158" t="s">
        <v>3938</v>
      </c>
      <c r="Q158" t="s">
        <v>189</v>
      </c>
      <c r="R158" t="s">
        <v>3935</v>
      </c>
      <c r="S158" t="s">
        <v>3939</v>
      </c>
      <c r="T158" s="4" t="s">
        <v>3940</v>
      </c>
      <c r="U158" t="s">
        <v>1543</v>
      </c>
      <c r="V158" t="s">
        <v>3941</v>
      </c>
      <c r="W158" t="s">
        <v>113</v>
      </c>
      <c r="Y158" t="s">
        <v>158</v>
      </c>
      <c r="Z158" t="s">
        <v>262</v>
      </c>
      <c r="AC158" s="3" t="str">
        <f>HYPERLINK("https://api.typeform.com/responses/files/853df7afba48440385720b27dab900e1d79a12af1555ca5083b8dd92ac57f04a/B9589AA2_58C1_4B1B_8D1F_13405A8A7751.png")</f>
        <v>https://api.typeform.com/responses/files/853df7afba48440385720b27dab900e1d79a12af1555ca5083b8dd92ac57f04a/B9589AA2_58C1_4B1B_8D1F_13405A8A7751.png</v>
      </c>
      <c r="AD158" t="s">
        <v>118</v>
      </c>
      <c r="AE158" t="s">
        <v>729</v>
      </c>
      <c r="AF158" t="s">
        <v>3942</v>
      </c>
      <c r="AG158">
        <v>12.0</v>
      </c>
      <c r="AH158" t="s">
        <v>3943</v>
      </c>
      <c r="AI158" t="s">
        <v>162</v>
      </c>
      <c r="AL158" t="s">
        <v>3944</v>
      </c>
      <c r="AO158" t="s">
        <v>335</v>
      </c>
      <c r="AP158">
        <v>4.0</v>
      </c>
      <c r="AQ158" t="s">
        <v>126</v>
      </c>
      <c r="AR158" t="s">
        <v>1348</v>
      </c>
      <c r="AS158" t="b">
        <v>1</v>
      </c>
      <c r="AT158" t="b">
        <v>1</v>
      </c>
      <c r="AV158">
        <v>5.0</v>
      </c>
      <c r="AW158" t="b">
        <v>1</v>
      </c>
      <c r="AX158" t="s">
        <v>1902</v>
      </c>
      <c r="AY158" s="4" t="s">
        <v>518</v>
      </c>
      <c r="AZ158" t="b">
        <v>1</v>
      </c>
      <c r="BA158" t="b">
        <v>0</v>
      </c>
      <c r="BD158" t="s">
        <v>1348</v>
      </c>
      <c r="BH158" t="s">
        <v>132</v>
      </c>
      <c r="BI158">
        <v>4.0</v>
      </c>
      <c r="BJ158" t="s">
        <v>3945</v>
      </c>
      <c r="BK158">
        <v>4.0</v>
      </c>
      <c r="BL158">
        <v>5.0</v>
      </c>
      <c r="BM158" t="s">
        <v>3946</v>
      </c>
      <c r="BN158">
        <v>3.0</v>
      </c>
      <c r="BO158">
        <v>4.0</v>
      </c>
      <c r="BP158" t="s">
        <v>3947</v>
      </c>
      <c r="BQ158" t="s">
        <v>3948</v>
      </c>
      <c r="BR158" t="s">
        <v>3949</v>
      </c>
      <c r="BS158" t="s">
        <v>3950</v>
      </c>
      <c r="BU158" t="s">
        <v>3951</v>
      </c>
      <c r="BV158" s="3" t="str">
        <f>HYPERLINK("https://api.typeform.com/responses/files/b9eb76f1c7d4889d2d8a98bb33915cc7596d5fc156432cd5dda2ef1b1321dfa4/272353C0_7401_4F01_8F64_12911605AC41.png")</f>
        <v>https://api.typeform.com/responses/files/b9eb76f1c7d4889d2d8a98bb33915cc7596d5fc156432cd5dda2ef1b1321dfa4/272353C0_7401_4F01_8F64_12911605AC41.png</v>
      </c>
      <c r="BW158" t="b">
        <v>1</v>
      </c>
      <c r="BX158" t="s">
        <v>1394</v>
      </c>
      <c r="BY158" t="s">
        <v>140</v>
      </c>
      <c r="CA158" t="s">
        <v>1395</v>
      </c>
      <c r="CD158">
        <v>0.0</v>
      </c>
      <c r="CF158" t="b">
        <v>1</v>
      </c>
      <c r="CG158" t="b">
        <v>1</v>
      </c>
      <c r="CH158" t="s">
        <v>366</v>
      </c>
      <c r="CJ158" t="b">
        <v>1</v>
      </c>
      <c r="CK158" t="b">
        <v>1</v>
      </c>
      <c r="CL158" t="s">
        <v>300</v>
      </c>
      <c r="CO158" t="s">
        <v>124</v>
      </c>
      <c r="CR158" t="b">
        <v>1</v>
      </c>
      <c r="CT158">
        <v>3.0</v>
      </c>
      <c r="CU158">
        <v>0.0</v>
      </c>
      <c r="CX158" s="4" t="s">
        <v>3042</v>
      </c>
      <c r="CZ158" s="5">
        <v>44365.630208333336</v>
      </c>
      <c r="DA158" t="s">
        <v>3952</v>
      </c>
    </row>
    <row r="159">
      <c r="A159" t="s">
        <v>98</v>
      </c>
      <c r="D159" t="s">
        <v>3953</v>
      </c>
      <c r="E159" t="s">
        <v>3954</v>
      </c>
      <c r="F159" s="2">
        <v>37711.0</v>
      </c>
      <c r="G159" t="s">
        <v>1360</v>
      </c>
      <c r="I159" s="3" t="str">
        <f>HYPERLINK("https://api.typeform.com/responses/files/2d93e3414b1fca22e79b53e67619d304fe0cb7aa0c3de1788a78c28208ee2e09/202474568_1444664099222125_6328444031768621268_n.jpg")</f>
        <v>https://api.typeform.com/responses/files/2d93e3414b1fca22e79b53e67619d304fe0cb7aa0c3de1788a78c28208ee2e09/202474568_1444664099222125_6328444031768621268_n.jpg</v>
      </c>
      <c r="J159" t="s">
        <v>3955</v>
      </c>
      <c r="K159" t="b">
        <v>1</v>
      </c>
      <c r="L159" s="4" t="s">
        <v>3956</v>
      </c>
      <c r="M159" t="s">
        <v>3957</v>
      </c>
      <c r="N159" t="s">
        <v>354</v>
      </c>
      <c r="P159" t="s">
        <v>3958</v>
      </c>
      <c r="Q159" t="s">
        <v>189</v>
      </c>
      <c r="R159" t="s">
        <v>3959</v>
      </c>
      <c r="S159" t="s">
        <v>3957</v>
      </c>
      <c r="T159" s="4" t="s">
        <v>3960</v>
      </c>
      <c r="U159" t="s">
        <v>1543</v>
      </c>
      <c r="V159" t="s">
        <v>3961</v>
      </c>
      <c r="W159" t="s">
        <v>113</v>
      </c>
      <c r="Y159" t="s">
        <v>158</v>
      </c>
      <c r="Z159" t="s">
        <v>262</v>
      </c>
      <c r="AC159" s="3" t="str">
        <f>HYPERLINK("https://api.typeform.com/responses/files/bd2a8e8876636acf54df9b5f164b962212eefd800bc33152f97078670b515a05/203044809_4789410561086186_6838683472408026403_n.jpg")</f>
        <v>https://api.typeform.com/responses/files/bd2a8e8876636acf54df9b5f164b962212eefd800bc33152f97078670b515a05/203044809_4789410561086186_6838683472408026403_n.jpg</v>
      </c>
      <c r="AD159" t="s">
        <v>118</v>
      </c>
      <c r="AE159" t="s">
        <v>729</v>
      </c>
      <c r="AF159" t="s">
        <v>2651</v>
      </c>
      <c r="AG159">
        <v>16.0</v>
      </c>
      <c r="AH159" t="s">
        <v>3943</v>
      </c>
      <c r="AI159" t="s">
        <v>386</v>
      </c>
      <c r="AK159" t="s">
        <v>3943</v>
      </c>
      <c r="AL159" t="s">
        <v>199</v>
      </c>
      <c r="AO159" t="s">
        <v>335</v>
      </c>
      <c r="AP159">
        <v>1.0</v>
      </c>
      <c r="AQ159" t="s">
        <v>126</v>
      </c>
      <c r="AR159" t="s">
        <v>1832</v>
      </c>
      <c r="AS159" t="b">
        <v>1</v>
      </c>
      <c r="AT159" t="b">
        <v>1</v>
      </c>
      <c r="AV159">
        <v>4.0</v>
      </c>
      <c r="AW159" t="b">
        <v>0</v>
      </c>
      <c r="AZ159" t="b">
        <v>0</v>
      </c>
      <c r="BA159" t="b">
        <v>0</v>
      </c>
      <c r="BD159" t="s">
        <v>127</v>
      </c>
      <c r="BH159" t="s">
        <v>132</v>
      </c>
      <c r="BI159">
        <v>3.0</v>
      </c>
      <c r="BJ159" t="s">
        <v>3962</v>
      </c>
      <c r="BK159">
        <v>3.0</v>
      </c>
      <c r="BL159">
        <v>3.0</v>
      </c>
      <c r="BM159" t="s">
        <v>3963</v>
      </c>
      <c r="BN159">
        <v>2.0</v>
      </c>
      <c r="BO159">
        <v>4.0</v>
      </c>
      <c r="BP159" t="s">
        <v>3964</v>
      </c>
      <c r="BQ159" t="s">
        <v>945</v>
      </c>
      <c r="BR159" t="s">
        <v>3965</v>
      </c>
      <c r="BS159" t="s">
        <v>3966</v>
      </c>
      <c r="BU159" t="s">
        <v>3967</v>
      </c>
      <c r="BV159" s="3" t="str">
        <f>HYPERLINK("https://api.typeform.com/responses/files/325dc13402dba882524d9ff46d97199c953f229633399f60cd970479cf0c8922/SPEAKHIRE_Parent.Guardian_Consent_Form.docx")</f>
        <v>https://api.typeform.com/responses/files/325dc13402dba882524d9ff46d97199c953f229633399f60cd970479cf0c8922/SPEAKHIRE_Parent.Guardian_Consent_Form.docx</v>
      </c>
      <c r="BW159" t="b">
        <v>1</v>
      </c>
      <c r="BX159" t="s">
        <v>1394</v>
      </c>
      <c r="BY159" t="s">
        <v>140</v>
      </c>
      <c r="CA159" t="s">
        <v>1395</v>
      </c>
      <c r="CD159">
        <v>0.0</v>
      </c>
      <c r="CF159" t="b">
        <v>1</v>
      </c>
      <c r="CG159" t="b">
        <v>1</v>
      </c>
      <c r="CH159" t="s">
        <v>3968</v>
      </c>
      <c r="CJ159" t="b">
        <v>0</v>
      </c>
      <c r="CK159" t="b">
        <v>1</v>
      </c>
      <c r="CL159" t="s">
        <v>2301</v>
      </c>
      <c r="CO159" t="s">
        <v>2888</v>
      </c>
      <c r="CR159" t="b">
        <v>1</v>
      </c>
      <c r="CT159">
        <v>3.0</v>
      </c>
      <c r="CU159">
        <v>0.0</v>
      </c>
      <c r="CX159" s="4" t="s">
        <v>2995</v>
      </c>
      <c r="CZ159" s="5">
        <v>44366.70947916667</v>
      </c>
      <c r="DA159" t="s">
        <v>3969</v>
      </c>
    </row>
    <row r="160">
      <c r="A160" t="s">
        <v>98</v>
      </c>
      <c r="D160" t="s">
        <v>3041</v>
      </c>
      <c r="E160" t="s">
        <v>3970</v>
      </c>
      <c r="F160" s="2">
        <v>37886.0</v>
      </c>
      <c r="G160" t="s">
        <v>1466</v>
      </c>
      <c r="I160" s="3" t="str">
        <f>HYPERLINK("https://api.typeform.com/responses/files/3cebb75dbf01df764bf063beb05251634d4d4dad4f7850511bd4c921b597a753/120288686_980487199122045_77796147882351485_n.jpg")</f>
        <v>https://api.typeform.com/responses/files/3cebb75dbf01df764bf063beb05251634d4d4dad4f7850511bd4c921b597a753/120288686_980487199122045_77796147882351485_n.jpg</v>
      </c>
      <c r="J160" t="s">
        <v>3971</v>
      </c>
      <c r="K160" t="b">
        <v>0</v>
      </c>
      <c r="M160" t="s">
        <v>3972</v>
      </c>
      <c r="N160" t="s">
        <v>354</v>
      </c>
      <c r="O160" t="s">
        <v>3973</v>
      </c>
      <c r="P160" t="s">
        <v>3974</v>
      </c>
      <c r="Q160" t="s">
        <v>189</v>
      </c>
      <c r="R160" t="s">
        <v>3975</v>
      </c>
      <c r="S160" t="s">
        <v>3972</v>
      </c>
      <c r="T160" s="4" t="s">
        <v>3976</v>
      </c>
      <c r="U160" t="s">
        <v>3977</v>
      </c>
      <c r="V160" t="s">
        <v>3978</v>
      </c>
      <c r="W160" t="s">
        <v>113</v>
      </c>
      <c r="Y160" t="s">
        <v>158</v>
      </c>
      <c r="Z160" t="s">
        <v>195</v>
      </c>
      <c r="AC160" s="3" t="str">
        <f>HYPERLINK("https://api.typeform.com/responses/files/45ac0c6a20257f0a42bb055973c8198709eb96ed38f48b132044299b44a82b04/Screen_Shot_2021_06_21_at_12.12.11_PM.png")</f>
        <v>https://api.typeform.com/responses/files/45ac0c6a20257f0a42bb055973c8198709eb96ed38f48b132044299b44a82b04/Screen_Shot_2021_06_21_at_12.12.11_PM.png</v>
      </c>
      <c r="AD160" t="s">
        <v>3642</v>
      </c>
      <c r="AE160" t="s">
        <v>729</v>
      </c>
      <c r="AF160" t="s">
        <v>3979</v>
      </c>
      <c r="AG160">
        <v>16.0</v>
      </c>
      <c r="AH160" t="s">
        <v>3980</v>
      </c>
      <c r="AI160" t="s">
        <v>205</v>
      </c>
      <c r="AL160" t="s">
        <v>3981</v>
      </c>
      <c r="AO160" t="s">
        <v>335</v>
      </c>
      <c r="AP160">
        <v>7.0</v>
      </c>
      <c r="AQ160" t="s">
        <v>461</v>
      </c>
      <c r="AR160" t="s">
        <v>3982</v>
      </c>
      <c r="AS160" t="b">
        <v>1</v>
      </c>
      <c r="AT160" t="b">
        <v>1</v>
      </c>
      <c r="AV160">
        <v>7.0</v>
      </c>
      <c r="AW160" t="b">
        <v>0</v>
      </c>
      <c r="AZ160" t="b">
        <v>0</v>
      </c>
      <c r="BA160" t="b">
        <v>0</v>
      </c>
      <c r="BD160" t="s">
        <v>3983</v>
      </c>
      <c r="BH160" t="s">
        <v>132</v>
      </c>
      <c r="BI160">
        <v>4.0</v>
      </c>
      <c r="BJ160" t="s">
        <v>3984</v>
      </c>
      <c r="BK160">
        <v>7.0</v>
      </c>
      <c r="BL160">
        <v>7.0</v>
      </c>
      <c r="BM160" t="s">
        <v>3985</v>
      </c>
      <c r="BN160">
        <v>1.0</v>
      </c>
      <c r="BO160">
        <v>7.0</v>
      </c>
      <c r="BP160" t="s">
        <v>3986</v>
      </c>
      <c r="BQ160" t="s">
        <v>1391</v>
      </c>
      <c r="BR160" t="s">
        <v>3987</v>
      </c>
      <c r="BS160" t="s">
        <v>3988</v>
      </c>
      <c r="BU160" t="s">
        <v>258</v>
      </c>
      <c r="BV160" s="3" t="str">
        <f>HYPERLINK("https://api.typeform.com/responses/files/5f499cd53d7f6183cf36c536e36df43f2a657234457bdc74b3e1335a384e5273/SPEAKHIRE_Parent.Guardian_Consent_Form.pdf")</f>
        <v>https://api.typeform.com/responses/files/5f499cd53d7f6183cf36c536e36df43f2a657234457bdc74b3e1335a384e5273/SPEAKHIRE_Parent.Guardian_Consent_Form.pdf</v>
      </c>
      <c r="BW160" t="b">
        <v>1</v>
      </c>
      <c r="BX160" t="s">
        <v>1394</v>
      </c>
      <c r="BY160" t="s">
        <v>140</v>
      </c>
      <c r="CA160" t="s">
        <v>1395</v>
      </c>
      <c r="CD160">
        <v>0.0</v>
      </c>
      <c r="CF160" t="b">
        <v>0</v>
      </c>
      <c r="CG160" t="b">
        <v>0</v>
      </c>
      <c r="CH160" t="s">
        <v>3989</v>
      </c>
      <c r="CJ160" t="b">
        <v>0</v>
      </c>
      <c r="CK160" t="b">
        <v>0</v>
      </c>
      <c r="CL160" t="s">
        <v>198</v>
      </c>
      <c r="CO160" t="s">
        <v>3990</v>
      </c>
      <c r="CR160" t="b">
        <v>1</v>
      </c>
      <c r="CT160">
        <v>1.0</v>
      </c>
      <c r="CU160">
        <v>1.0</v>
      </c>
      <c r="CX160" s="4" t="s">
        <v>419</v>
      </c>
      <c r="CZ160" s="5">
        <v>44368.7033912037</v>
      </c>
      <c r="DA160" t="s">
        <v>3991</v>
      </c>
    </row>
    <row r="161">
      <c r="A161" t="s">
        <v>98</v>
      </c>
      <c r="D161" t="s">
        <v>3992</v>
      </c>
      <c r="E161" t="s">
        <v>3993</v>
      </c>
      <c r="F161" s="2">
        <v>38640.0</v>
      </c>
      <c r="G161" t="s">
        <v>1360</v>
      </c>
      <c r="I161" s="3" t="str">
        <f>HYPERLINK("https://api.typeform.com/responses/files/91c178a17796c6de0601a2e00f12fe0ab6da284608d375769f85b8c740abb91d/03726191_07AB_48EB_9B02_9FEDF744B8EB.png")</f>
        <v>https://api.typeform.com/responses/files/91c178a17796c6de0601a2e00f12fe0ab6da284608d375769f85b8c740abb91d/03726191_07AB_48EB_9B02_9FEDF744B8EB.png</v>
      </c>
      <c r="J161" t="s">
        <v>3994</v>
      </c>
      <c r="K161" t="b">
        <v>1</v>
      </c>
      <c r="L161" s="4" t="s">
        <v>3995</v>
      </c>
      <c r="M161" t="s">
        <v>3996</v>
      </c>
      <c r="N161" t="s">
        <v>255</v>
      </c>
      <c r="P161" t="s">
        <v>3997</v>
      </c>
      <c r="Q161" t="s">
        <v>189</v>
      </c>
      <c r="R161" t="s">
        <v>3998</v>
      </c>
      <c r="S161" t="s">
        <v>3996</v>
      </c>
      <c r="T161" s="4" t="s">
        <v>3999</v>
      </c>
      <c r="U161" t="s">
        <v>3176</v>
      </c>
      <c r="V161" t="s">
        <v>2381</v>
      </c>
      <c r="W161" t="s">
        <v>2290</v>
      </c>
      <c r="Y161" t="s">
        <v>158</v>
      </c>
      <c r="Z161" t="s">
        <v>384</v>
      </c>
      <c r="AC161" s="3" t="str">
        <f>HYPERLINK("https://api.typeform.com/responses/files/98ed001cbd466b7738e75d8f769eac7f275b1983f0fdfe27d8d4b1fb2bc2b54c/Students_report_card.pdf")</f>
        <v>https://api.typeform.com/responses/files/98ed001cbd466b7738e75d8f769eac7f275b1983f0fdfe27d8d4b1fb2bc2b54c/Students_report_card.pdf</v>
      </c>
      <c r="AD161" t="s">
        <v>118</v>
      </c>
      <c r="AE161" t="s">
        <v>729</v>
      </c>
      <c r="AF161" t="s">
        <v>4000</v>
      </c>
      <c r="AG161">
        <v>13.0</v>
      </c>
      <c r="AH161" t="s">
        <v>4001</v>
      </c>
      <c r="AI161" t="s">
        <v>121</v>
      </c>
      <c r="AL161" t="s">
        <v>4002</v>
      </c>
      <c r="AO161" t="s">
        <v>125</v>
      </c>
      <c r="AP161">
        <v>3.0</v>
      </c>
      <c r="AQ161" t="s">
        <v>2240</v>
      </c>
      <c r="AR161" t="s">
        <v>657</v>
      </c>
      <c r="AS161" t="b">
        <v>1</v>
      </c>
      <c r="AT161" t="b">
        <v>0</v>
      </c>
      <c r="AV161">
        <v>5.0</v>
      </c>
      <c r="AW161" t="b">
        <v>0</v>
      </c>
      <c r="AZ161" t="b">
        <v>0</v>
      </c>
      <c r="BA161" t="b">
        <v>0</v>
      </c>
      <c r="BD161" t="s">
        <v>657</v>
      </c>
      <c r="BH161" t="s">
        <v>132</v>
      </c>
      <c r="BI161">
        <v>4.0</v>
      </c>
      <c r="BJ161" t="s">
        <v>4003</v>
      </c>
      <c r="BK161">
        <v>1.0</v>
      </c>
      <c r="BL161">
        <v>7.0</v>
      </c>
      <c r="BM161" t="s">
        <v>4004</v>
      </c>
      <c r="BN161">
        <v>3.0</v>
      </c>
      <c r="BO161">
        <v>5.0</v>
      </c>
      <c r="BP161" t="s">
        <v>4005</v>
      </c>
      <c r="BQ161" t="s">
        <v>1050</v>
      </c>
      <c r="BR161" t="s">
        <v>4006</v>
      </c>
      <c r="BS161" t="s">
        <v>4007</v>
      </c>
      <c r="BU161" t="s">
        <v>179</v>
      </c>
      <c r="BV161" s="3" t="str">
        <f>HYPERLINK("https://api.typeform.com/responses/files/4c81be269c638fec6120df77dd742ef68f04367c983fad22d5080cdf3455790d/Speakhire_application_parent_consent_.pdf")</f>
        <v>https://api.typeform.com/responses/files/4c81be269c638fec6120df77dd742ef68f04367c983fad22d5080cdf3455790d/Speakhire_application_parent_consent_.pdf</v>
      </c>
      <c r="BW161" t="b">
        <v>1</v>
      </c>
      <c r="BX161" t="s">
        <v>1394</v>
      </c>
      <c r="BY161" t="s">
        <v>140</v>
      </c>
      <c r="CA161" t="s">
        <v>1395</v>
      </c>
      <c r="CD161">
        <v>0.0</v>
      </c>
      <c r="CF161" t="b">
        <v>1</v>
      </c>
      <c r="CG161" t="b">
        <v>1</v>
      </c>
      <c r="CH161" t="s">
        <v>168</v>
      </c>
      <c r="CJ161" t="b">
        <v>0</v>
      </c>
      <c r="CK161" t="b">
        <v>1</v>
      </c>
      <c r="CL161" t="s">
        <v>300</v>
      </c>
      <c r="CO161" t="s">
        <v>124</v>
      </c>
      <c r="CR161" t="b">
        <v>1</v>
      </c>
      <c r="CT161">
        <v>0.0</v>
      </c>
      <c r="CU161">
        <v>0.0</v>
      </c>
      <c r="CX161" s="4" t="s">
        <v>4008</v>
      </c>
      <c r="CZ161" s="5">
        <v>44369.07902777778</v>
      </c>
      <c r="DA161" t="s">
        <v>4009</v>
      </c>
    </row>
    <row r="162">
      <c r="A162" t="s">
        <v>98</v>
      </c>
      <c r="D162" t="s">
        <v>4010</v>
      </c>
      <c r="E162" t="s">
        <v>4011</v>
      </c>
      <c r="F162" s="2">
        <v>37464.0</v>
      </c>
      <c r="G162" t="s">
        <v>1360</v>
      </c>
      <c r="I162" s="3" t="str">
        <f>HYPERLINK("https://api.typeform.com/responses/files/fb5b31c6123e000096b6d276d09e6c5a1e3d04d6f2e04165171e858972e99e64/IMG_0213.JPG")</f>
        <v>https://api.typeform.com/responses/files/fb5b31c6123e000096b6d276d09e6c5a1e3d04d6f2e04165171e858972e99e64/IMG_0213.JPG</v>
      </c>
      <c r="J162" t="s">
        <v>4012</v>
      </c>
      <c r="K162" t="b">
        <v>1</v>
      </c>
      <c r="L162" s="4" t="s">
        <v>4013</v>
      </c>
      <c r="M162" t="s">
        <v>4014</v>
      </c>
      <c r="N162" t="s">
        <v>354</v>
      </c>
      <c r="O162" t="s">
        <v>4015</v>
      </c>
      <c r="P162" t="s">
        <v>4016</v>
      </c>
      <c r="Q162" t="s">
        <v>152</v>
      </c>
      <c r="R162" t="s">
        <v>4017</v>
      </c>
      <c r="S162" t="s">
        <v>4018</v>
      </c>
      <c r="T162" s="4" t="s">
        <v>4019</v>
      </c>
      <c r="U162" t="s">
        <v>3851</v>
      </c>
      <c r="V162" t="s">
        <v>3852</v>
      </c>
      <c r="W162" t="s">
        <v>113</v>
      </c>
      <c r="Y162" t="s">
        <v>158</v>
      </c>
      <c r="Z162" t="s">
        <v>262</v>
      </c>
      <c r="AC162" s="3" t="str">
        <f>HYPERLINK("https://api.typeform.com/responses/files/466444ad599927b55ef2d121d25c1fb091a927506c976420e64e4515d2408806/JKL_transcripts___spring_Mejia_Lino_Yovangely.jpg")</f>
        <v>https://api.typeform.com/responses/files/466444ad599927b55ef2d121d25c1fb091a927506c976420e64e4515d2408806/JKL_transcripts___spring_Mejia_Lino_Yovangely.jpg</v>
      </c>
      <c r="AD162" t="s">
        <v>118</v>
      </c>
      <c r="AE162" t="s">
        <v>729</v>
      </c>
      <c r="AF162" t="s">
        <v>1019</v>
      </c>
      <c r="AG162">
        <v>15.0</v>
      </c>
      <c r="AH162" s="4" t="s">
        <v>4020</v>
      </c>
      <c r="AI162" t="s">
        <v>162</v>
      </c>
      <c r="AK162" t="s">
        <v>3744</v>
      </c>
      <c r="AL162" t="s">
        <v>4021</v>
      </c>
      <c r="AO162" t="s">
        <v>335</v>
      </c>
      <c r="AP162">
        <v>5.0</v>
      </c>
      <c r="AQ162" t="s">
        <v>126</v>
      </c>
      <c r="AR162" t="s">
        <v>4022</v>
      </c>
      <c r="AS162" t="b">
        <v>1</v>
      </c>
      <c r="AT162" t="b">
        <v>1</v>
      </c>
      <c r="AV162">
        <v>5.0</v>
      </c>
      <c r="AW162" t="b">
        <v>0</v>
      </c>
      <c r="AZ162" t="b">
        <v>0</v>
      </c>
      <c r="BA162" t="b">
        <v>0</v>
      </c>
      <c r="BD162" t="s">
        <v>4023</v>
      </c>
      <c r="BH162" t="s">
        <v>132</v>
      </c>
      <c r="BI162">
        <v>1.0</v>
      </c>
      <c r="BJ162" s="4" t="s">
        <v>130</v>
      </c>
      <c r="BK162">
        <v>1.0</v>
      </c>
      <c r="BL162">
        <v>2.0</v>
      </c>
      <c r="BM162" t="s">
        <v>4024</v>
      </c>
      <c r="BN162">
        <v>4.0</v>
      </c>
      <c r="BO162">
        <v>4.0</v>
      </c>
      <c r="BP162" t="s">
        <v>4025</v>
      </c>
      <c r="BQ162" t="s">
        <v>4026</v>
      </c>
      <c r="BR162" t="s">
        <v>4027</v>
      </c>
      <c r="BS162" t="s">
        <v>4028</v>
      </c>
      <c r="BU162" t="s">
        <v>1182</v>
      </c>
      <c r="BV162" s="3" t="str">
        <f>HYPERLINK("https://api.typeform.com/responses/files/6695f69c95a87d14a318d46ccc2884e75405c8cd14a092fb8d2f052f5899cd94/SPEAKHIRE_Parent.Guardian_Consent_Form.pdf")</f>
        <v>https://api.typeform.com/responses/files/6695f69c95a87d14a318d46ccc2884e75405c8cd14a092fb8d2f052f5899cd94/SPEAKHIRE_Parent.Guardian_Consent_Form.pdf</v>
      </c>
      <c r="BW162" t="b">
        <v>1</v>
      </c>
      <c r="BX162" t="s">
        <v>1394</v>
      </c>
      <c r="BY162" t="s">
        <v>140</v>
      </c>
      <c r="CA162" t="s">
        <v>1395</v>
      </c>
      <c r="CD162">
        <v>0.0</v>
      </c>
      <c r="CF162" t="b">
        <v>1</v>
      </c>
      <c r="CG162" t="b">
        <v>1</v>
      </c>
      <c r="CH162" t="s">
        <v>4029</v>
      </c>
      <c r="CJ162" t="b">
        <v>1</v>
      </c>
      <c r="CK162" t="b">
        <v>1</v>
      </c>
      <c r="CL162" t="s">
        <v>387</v>
      </c>
      <c r="CM162" t="s">
        <v>2301</v>
      </c>
      <c r="CO162" t="s">
        <v>4030</v>
      </c>
      <c r="CR162" t="b">
        <v>1</v>
      </c>
      <c r="CT162">
        <v>0.0</v>
      </c>
      <c r="CU162">
        <v>0.0</v>
      </c>
      <c r="CX162" s="4" t="s">
        <v>3492</v>
      </c>
      <c r="CZ162" s="5">
        <v>44369.76284722222</v>
      </c>
      <c r="DA162" t="s">
        <v>4031</v>
      </c>
    </row>
    <row r="163">
      <c r="A163" t="s">
        <v>98</v>
      </c>
      <c r="D163" t="s">
        <v>4032</v>
      </c>
      <c r="E163" t="s">
        <v>2124</v>
      </c>
      <c r="F163" s="2">
        <v>37564.0</v>
      </c>
      <c r="G163" t="s">
        <v>1360</v>
      </c>
      <c r="I163" s="3" t="str">
        <f>HYPERLINK("https://api.typeform.com/responses/files/ce3187011c22073912270c61bd70eb0fa99346593aff821e7f77501cda64ee5f/6E9B5387_FB32_46BA_A7E0_4B28F99D34F2.jpeg")</f>
        <v>https://api.typeform.com/responses/files/ce3187011c22073912270c61bd70eb0fa99346593aff821e7f77501cda64ee5f/6E9B5387_FB32_46BA_A7E0_4B28F99D34F2.jpeg</v>
      </c>
      <c r="J163" t="s">
        <v>4033</v>
      </c>
      <c r="K163" t="b">
        <v>1</v>
      </c>
      <c r="L163" s="4" t="s">
        <v>4034</v>
      </c>
      <c r="M163" t="s">
        <v>4035</v>
      </c>
      <c r="N163" t="s">
        <v>105</v>
      </c>
      <c r="O163" t="s">
        <v>4036</v>
      </c>
      <c r="P163" t="s">
        <v>2129</v>
      </c>
      <c r="Q163" t="s">
        <v>152</v>
      </c>
      <c r="R163" t="s">
        <v>4037</v>
      </c>
      <c r="S163" t="s">
        <v>4038</v>
      </c>
      <c r="T163" s="4" t="s">
        <v>4039</v>
      </c>
      <c r="U163" t="s">
        <v>1543</v>
      </c>
      <c r="V163" t="s">
        <v>4040</v>
      </c>
      <c r="W163" t="s">
        <v>113</v>
      </c>
      <c r="Y163" t="s">
        <v>158</v>
      </c>
      <c r="Z163" t="s">
        <v>262</v>
      </c>
      <c r="AC163" s="3" t="str">
        <f>HYPERLINK("https://api.typeform.com/responses/files/43c80496ec3c0d069256d3d5dff3866319eef7d0f76cd48a784600de7dd6bff2/image.jpg")</f>
        <v>https://api.typeform.com/responses/files/43c80496ec3c0d069256d3d5dff3866319eef7d0f76cd48a784600de7dd6bff2/image.jpg</v>
      </c>
      <c r="AD163" t="s">
        <v>118</v>
      </c>
      <c r="AE163" t="s">
        <v>1220</v>
      </c>
      <c r="AF163" t="s">
        <v>264</v>
      </c>
      <c r="AG163">
        <v>16.0</v>
      </c>
      <c r="AH163" t="s">
        <v>4041</v>
      </c>
      <c r="AI163" t="s">
        <v>121</v>
      </c>
      <c r="AK163" t="s">
        <v>4042</v>
      </c>
      <c r="AL163" t="s">
        <v>4043</v>
      </c>
      <c r="AO163" t="s">
        <v>335</v>
      </c>
      <c r="AP163">
        <v>5.0</v>
      </c>
      <c r="AQ163" t="s">
        <v>126</v>
      </c>
      <c r="AR163" t="s">
        <v>4044</v>
      </c>
      <c r="AS163" t="b">
        <v>0</v>
      </c>
      <c r="AV163">
        <v>5.0</v>
      </c>
      <c r="AW163" t="b">
        <v>1</v>
      </c>
      <c r="AX163" t="s">
        <v>1902</v>
      </c>
      <c r="AY163" s="4" t="s">
        <v>518</v>
      </c>
      <c r="AZ163" t="b">
        <v>0</v>
      </c>
      <c r="BA163" t="b">
        <v>1</v>
      </c>
      <c r="BB163" t="b">
        <v>0</v>
      </c>
      <c r="BC163" t="s">
        <v>4045</v>
      </c>
      <c r="BH163" t="s">
        <v>132</v>
      </c>
      <c r="BI163">
        <v>4.0</v>
      </c>
      <c r="BJ163" t="s">
        <v>4046</v>
      </c>
      <c r="BK163">
        <v>4.0</v>
      </c>
      <c r="BL163">
        <v>4.0</v>
      </c>
      <c r="BM163" t="s">
        <v>4047</v>
      </c>
      <c r="BN163">
        <v>3.0</v>
      </c>
      <c r="BO163">
        <v>4.0</v>
      </c>
      <c r="BP163" t="s">
        <v>4048</v>
      </c>
      <c r="BQ163" t="s">
        <v>1931</v>
      </c>
      <c r="BR163" t="s">
        <v>4049</v>
      </c>
      <c r="BS163" t="s">
        <v>4050</v>
      </c>
      <c r="BU163" t="s">
        <v>4051</v>
      </c>
      <c r="BV163" s="3" t="str">
        <f>HYPERLINK("https://api.typeform.com/responses/files/d3f38bcf9432fe5949d95a1c20929b8764711b8291389dc89474a974cb21a538/image.jpg")</f>
        <v>https://api.typeform.com/responses/files/d3f38bcf9432fe5949d95a1c20929b8764711b8291389dc89474a974cb21a538/image.jpg</v>
      </c>
      <c r="BW163" t="b">
        <v>1</v>
      </c>
      <c r="BX163" t="s">
        <v>1394</v>
      </c>
      <c r="BY163" t="s">
        <v>140</v>
      </c>
      <c r="CA163" t="s">
        <v>1395</v>
      </c>
      <c r="CD163">
        <v>0.0</v>
      </c>
      <c r="CF163" t="b">
        <v>1</v>
      </c>
      <c r="CG163" t="b">
        <v>1</v>
      </c>
      <c r="CH163" t="s">
        <v>168</v>
      </c>
      <c r="CJ163" t="b">
        <v>1</v>
      </c>
      <c r="CK163" t="b">
        <v>1</v>
      </c>
      <c r="CL163" t="s">
        <v>3213</v>
      </c>
      <c r="CO163" t="s">
        <v>124</v>
      </c>
      <c r="CR163" t="b">
        <v>1</v>
      </c>
      <c r="CT163">
        <v>1.0</v>
      </c>
      <c r="CU163">
        <v>3.0</v>
      </c>
      <c r="CX163" s="4" t="s">
        <v>4052</v>
      </c>
      <c r="CZ163" s="5">
        <v>44390.56997685185</v>
      </c>
      <c r="DA163" t="s">
        <v>4053</v>
      </c>
    </row>
    <row r="164">
      <c r="A164" t="s">
        <v>98</v>
      </c>
      <c r="D164" t="s">
        <v>4054</v>
      </c>
      <c r="E164" t="s">
        <v>4055</v>
      </c>
      <c r="F164" s="2">
        <v>37715.0</v>
      </c>
      <c r="G164" t="s">
        <v>1466</v>
      </c>
      <c r="I164" s="3" t="str">
        <f>HYPERLINK("https://api.typeform.com/responses/files/373d8b670302ae3d3ddd22a34330aa59b6f5e222d085e35367f0d91cff55309c/WIN_20210721_11_30_55_Pro.jpg")</f>
        <v>https://api.typeform.com/responses/files/373d8b670302ae3d3ddd22a34330aa59b6f5e222d085e35367f0d91cff55309c/WIN_20210721_11_30_55_Pro.jpg</v>
      </c>
      <c r="J164" t="s">
        <v>4056</v>
      </c>
      <c r="K164" t="b">
        <v>1</v>
      </c>
      <c r="L164" s="4" t="s">
        <v>4057</v>
      </c>
      <c r="M164" t="s">
        <v>4058</v>
      </c>
      <c r="N164" t="s">
        <v>149</v>
      </c>
      <c r="O164" t="s">
        <v>1014</v>
      </c>
      <c r="P164" t="s">
        <v>4059</v>
      </c>
      <c r="Q164" t="s">
        <v>189</v>
      </c>
      <c r="R164" t="s">
        <v>4060</v>
      </c>
      <c r="S164" t="s">
        <v>4058</v>
      </c>
      <c r="T164" s="4" t="s">
        <v>3796</v>
      </c>
      <c r="U164" t="s">
        <v>1543</v>
      </c>
      <c r="V164" t="s">
        <v>4061</v>
      </c>
      <c r="W164" t="s">
        <v>113</v>
      </c>
      <c r="Y164" t="s">
        <v>158</v>
      </c>
      <c r="Z164" t="s">
        <v>195</v>
      </c>
      <c r="AC164" s="3" t="str">
        <f>HYPERLINK("https://api.typeform.com/responses/files/63239660e74949036f0e570d18b080bb30b7767328744a13324934a591c03222/CamScanner_07_21_2021_11.48.pdf")</f>
        <v>https://api.typeform.com/responses/files/63239660e74949036f0e570d18b080bb30b7767328744a13324934a591c03222/CamScanner_07_21_2021_11.48.pdf</v>
      </c>
      <c r="AD164" t="s">
        <v>118</v>
      </c>
      <c r="AE164" t="s">
        <v>729</v>
      </c>
      <c r="AF164" t="s">
        <v>2651</v>
      </c>
      <c r="AG164">
        <v>10.0</v>
      </c>
      <c r="AH164" t="s">
        <v>4062</v>
      </c>
      <c r="AI164" t="s">
        <v>205</v>
      </c>
      <c r="AK164" t="s">
        <v>4063</v>
      </c>
      <c r="AL164" t="s">
        <v>1120</v>
      </c>
      <c r="AO164" t="s">
        <v>335</v>
      </c>
      <c r="AP164">
        <v>7.0</v>
      </c>
      <c r="AQ164" t="s">
        <v>2240</v>
      </c>
      <c r="AR164" t="s">
        <v>4064</v>
      </c>
      <c r="AS164" t="b">
        <v>1</v>
      </c>
      <c r="AT164" t="b">
        <v>0</v>
      </c>
      <c r="AV164">
        <v>7.0</v>
      </c>
      <c r="AW164" t="b">
        <v>1</v>
      </c>
      <c r="AX164" t="s">
        <v>2797</v>
      </c>
      <c r="AY164" s="4" t="s">
        <v>518</v>
      </c>
      <c r="AZ164" t="b">
        <v>0</v>
      </c>
      <c r="BA164" t="b">
        <v>1</v>
      </c>
      <c r="BB164" t="b">
        <v>0</v>
      </c>
      <c r="BC164" t="s">
        <v>4065</v>
      </c>
      <c r="BH164" t="s">
        <v>132</v>
      </c>
      <c r="BI164">
        <v>1.0</v>
      </c>
      <c r="BJ164" s="4" t="s">
        <v>130</v>
      </c>
      <c r="BK164">
        <v>1.0</v>
      </c>
      <c r="BL164">
        <v>7.0</v>
      </c>
      <c r="BM164" t="s">
        <v>4064</v>
      </c>
      <c r="BN164">
        <v>2.0</v>
      </c>
      <c r="BO164">
        <v>4.0</v>
      </c>
      <c r="BP164" t="s">
        <v>4066</v>
      </c>
      <c r="BQ164" t="s">
        <v>4067</v>
      </c>
      <c r="BR164" t="s">
        <v>4068</v>
      </c>
      <c r="BS164" t="s">
        <v>4069</v>
      </c>
      <c r="BU164" t="s">
        <v>4070</v>
      </c>
      <c r="BV164" s="3" t="str">
        <f>HYPERLINK("https://api.typeform.com/responses/files/80a0030eb819d8a6128c81af87c48a9fa8b2fe78dc4f5e20f2f09ca2c65a577a/CamScanner_07_21_2021_12.53.pdf")</f>
        <v>https://api.typeform.com/responses/files/80a0030eb819d8a6128c81af87c48a9fa8b2fe78dc4f5e20f2f09ca2c65a577a/CamScanner_07_21_2021_12.53.pdf</v>
      </c>
      <c r="BW164" t="b">
        <v>1</v>
      </c>
      <c r="BX164" t="s">
        <v>1394</v>
      </c>
      <c r="BY164" t="s">
        <v>140</v>
      </c>
      <c r="CA164" t="s">
        <v>1395</v>
      </c>
      <c r="CD164">
        <v>0.0</v>
      </c>
      <c r="CF164" t="b">
        <v>1</v>
      </c>
      <c r="CG164" t="b">
        <v>1</v>
      </c>
      <c r="CH164" t="s">
        <v>4071</v>
      </c>
      <c r="CJ164" t="b">
        <v>0</v>
      </c>
      <c r="CK164" t="b">
        <v>1</v>
      </c>
      <c r="CL164" t="s">
        <v>2301</v>
      </c>
      <c r="CM164" t="s">
        <v>2301</v>
      </c>
      <c r="CO164" t="s">
        <v>4072</v>
      </c>
      <c r="CQ164" t="s">
        <v>2301</v>
      </c>
      <c r="CR164" t="b">
        <v>1</v>
      </c>
      <c r="CT164">
        <v>0.0</v>
      </c>
      <c r="CU164">
        <v>0.0</v>
      </c>
      <c r="CX164" s="4" t="s">
        <v>4073</v>
      </c>
      <c r="CZ164" s="5">
        <v>44398.70724537037</v>
      </c>
      <c r="DA164" t="s">
        <v>4074</v>
      </c>
    </row>
    <row r="165">
      <c r="A165" t="s">
        <v>98</v>
      </c>
      <c r="B165" t="s">
        <v>4075</v>
      </c>
      <c r="C165" t="s">
        <v>4075</v>
      </c>
      <c r="D165" t="s">
        <v>4076</v>
      </c>
      <c r="E165" t="s">
        <v>4077</v>
      </c>
      <c r="F165" s="2">
        <v>38136.0</v>
      </c>
      <c r="G165" t="s">
        <v>1360</v>
      </c>
      <c r="H165" t="s">
        <v>4075</v>
      </c>
      <c r="I165" s="3" t="str">
        <f>HYPERLINK("https://api.typeform.com/responses/files/1cbdd526494a78f2d0f8afcb0aabc69b6a25cc8bdd7877853df943043685da7d/d152fd45_e0be_43f6_ab7a_1cd864ab5c8c.jpg")</f>
        <v>https://api.typeform.com/responses/files/1cbdd526494a78f2d0f8afcb0aabc69b6a25cc8bdd7877853df943043685da7d/d152fd45_e0be_43f6_ab7a_1cd864ab5c8c.jpg</v>
      </c>
      <c r="J165" t="s">
        <v>4078</v>
      </c>
      <c r="K165" t="b">
        <v>1</v>
      </c>
      <c r="L165" s="4" t="s">
        <v>4079</v>
      </c>
      <c r="M165" t="s">
        <v>4080</v>
      </c>
      <c r="N165" t="s">
        <v>354</v>
      </c>
      <c r="O165" t="s">
        <v>4081</v>
      </c>
      <c r="P165" t="s">
        <v>4082</v>
      </c>
      <c r="Q165" t="s">
        <v>292</v>
      </c>
      <c r="R165" t="s">
        <v>4083</v>
      </c>
      <c r="S165" t="s">
        <v>4084</v>
      </c>
      <c r="T165" s="4" t="s">
        <v>4085</v>
      </c>
      <c r="U165" t="s">
        <v>4086</v>
      </c>
      <c r="V165" t="s">
        <v>4087</v>
      </c>
      <c r="W165" t="s">
        <v>113</v>
      </c>
      <c r="X165" t="s">
        <v>4075</v>
      </c>
      <c r="Y165" t="s">
        <v>158</v>
      </c>
      <c r="Z165" t="s">
        <v>262</v>
      </c>
      <c r="AA165" t="s">
        <v>4075</v>
      </c>
      <c r="AB165" t="s">
        <v>4075</v>
      </c>
      <c r="AC165" s="3" t="str">
        <f>HYPERLINK("https://api.typeform.com/responses/files/88363365a15bed258581ea581354e4697170d5eff620ccbf1baad364357f9b6b/Yard__Garden_Supplies__Outdoor_Living_Accessories_Wholesale.jpeg")</f>
        <v>https://api.typeform.com/responses/files/88363365a15bed258581ea581354e4697170d5eff620ccbf1baad364357f9b6b/Yard__Garden_Supplies__Outdoor_Living_Accessories_Wholesale.jpeg</v>
      </c>
      <c r="AD165" t="s">
        <v>118</v>
      </c>
      <c r="AE165" t="s">
        <v>1780</v>
      </c>
      <c r="AF165" t="s">
        <v>4075</v>
      </c>
      <c r="AG165" t="s">
        <v>4075</v>
      </c>
      <c r="AH165" t="s">
        <v>4075</v>
      </c>
      <c r="AI165" t="s">
        <v>386</v>
      </c>
      <c r="AJ165" t="s">
        <v>4075</v>
      </c>
      <c r="AK165" t="s">
        <v>4088</v>
      </c>
      <c r="AL165" t="s">
        <v>199</v>
      </c>
      <c r="AM165" t="s">
        <v>4075</v>
      </c>
      <c r="AN165" t="s">
        <v>4075</v>
      </c>
      <c r="AO165" t="s">
        <v>335</v>
      </c>
      <c r="AP165">
        <v>4.0</v>
      </c>
      <c r="AQ165" t="s">
        <v>1070</v>
      </c>
      <c r="AR165" t="s">
        <v>4089</v>
      </c>
      <c r="AS165" t="b">
        <v>1</v>
      </c>
      <c r="AT165" t="b">
        <v>1</v>
      </c>
      <c r="AU165" t="s">
        <v>4075</v>
      </c>
      <c r="AV165">
        <v>5.0</v>
      </c>
      <c r="AW165" t="b">
        <v>0</v>
      </c>
      <c r="AX165" t="s">
        <v>4075</v>
      </c>
      <c r="AY165" t="s">
        <v>4075</v>
      </c>
      <c r="AZ165" t="b">
        <v>0</v>
      </c>
      <c r="BA165" t="b">
        <v>0</v>
      </c>
      <c r="BB165" t="s">
        <v>4075</v>
      </c>
      <c r="BC165" t="s">
        <v>4075</v>
      </c>
      <c r="BD165" t="s">
        <v>4090</v>
      </c>
      <c r="BE165" t="s">
        <v>4075</v>
      </c>
      <c r="BF165" t="s">
        <v>4075</v>
      </c>
      <c r="BG165" t="s">
        <v>4075</v>
      </c>
      <c r="BH165" t="s">
        <v>132</v>
      </c>
      <c r="BI165">
        <v>1.0</v>
      </c>
      <c r="BJ165" t="s">
        <v>546</v>
      </c>
      <c r="BK165">
        <v>4.0</v>
      </c>
      <c r="BL165">
        <v>3.0</v>
      </c>
      <c r="BM165" t="s">
        <v>4091</v>
      </c>
      <c r="BN165">
        <v>3.0</v>
      </c>
      <c r="BO165">
        <v>5.0</v>
      </c>
      <c r="BP165" t="s">
        <v>4092</v>
      </c>
      <c r="BQ165" t="s">
        <v>1278</v>
      </c>
      <c r="BR165" t="s">
        <v>4093</v>
      </c>
      <c r="BS165" t="s">
        <v>4094</v>
      </c>
      <c r="BT165" t="s">
        <v>4075</v>
      </c>
      <c r="BU165" t="s">
        <v>546</v>
      </c>
      <c r="BV165" s="3" t="str">
        <f>HYPERLINK("https://api.typeform.com/responses/files/2e558b1ea0610ad710fc4f7d2bf66f36173123418570e06acad010a0898699c7/5512b920_dfeb_4794_82fd_ad799b12525e.jpeg")</f>
        <v>https://api.typeform.com/responses/files/2e558b1ea0610ad710fc4f7d2bf66f36173123418570e06acad010a0898699c7/5512b920_dfeb_4794_82fd_ad799b12525e.jpeg</v>
      </c>
      <c r="BW165" t="b">
        <v>1</v>
      </c>
      <c r="BX165" t="s">
        <v>1394</v>
      </c>
      <c r="BY165" t="s">
        <v>140</v>
      </c>
      <c r="BZ165" t="s">
        <v>4075</v>
      </c>
      <c r="CA165" t="s">
        <v>1395</v>
      </c>
      <c r="CB165" t="s">
        <v>4075</v>
      </c>
      <c r="CC165" t="s">
        <v>4075</v>
      </c>
      <c r="CD165">
        <v>0.0</v>
      </c>
      <c r="CE165" t="s">
        <v>4075</v>
      </c>
      <c r="CF165" t="b">
        <v>0</v>
      </c>
      <c r="CG165" t="b">
        <v>1</v>
      </c>
      <c r="CH165" t="s">
        <v>168</v>
      </c>
      <c r="CI165" t="s">
        <v>4075</v>
      </c>
      <c r="CJ165" t="b">
        <v>1</v>
      </c>
      <c r="CK165" t="b">
        <v>1</v>
      </c>
      <c r="CL165" t="s">
        <v>387</v>
      </c>
      <c r="CM165" t="s">
        <v>541</v>
      </c>
      <c r="CN165" t="s">
        <v>4075</v>
      </c>
      <c r="CO165" t="s">
        <v>388</v>
      </c>
      <c r="CP165" t="s">
        <v>4075</v>
      </c>
      <c r="CQ165" t="s">
        <v>4075</v>
      </c>
      <c r="CR165" t="b">
        <v>1</v>
      </c>
      <c r="CS165" t="s">
        <v>4075</v>
      </c>
      <c r="CT165">
        <v>0.0</v>
      </c>
      <c r="CU165">
        <v>0.0</v>
      </c>
      <c r="CV165" t="s">
        <v>4075</v>
      </c>
      <c r="CW165" t="s">
        <v>4075</v>
      </c>
      <c r="CX165" t="s">
        <v>4095</v>
      </c>
      <c r="CY165" t="s">
        <v>4075</v>
      </c>
      <c r="CZ165" s="5">
        <v>44474.7974537037</v>
      </c>
      <c r="DA165" t="s">
        <v>4096</v>
      </c>
    </row>
    <row r="166">
      <c r="A166" t="s">
        <v>98</v>
      </c>
      <c r="B166" t="s">
        <v>4075</v>
      </c>
      <c r="C166" t="s">
        <v>4075</v>
      </c>
      <c r="D166" t="s">
        <v>4097</v>
      </c>
      <c r="E166" t="s">
        <v>4098</v>
      </c>
      <c r="F166" s="2">
        <v>37870.0</v>
      </c>
      <c r="G166" t="s">
        <v>1360</v>
      </c>
      <c r="H166" t="s">
        <v>4075</v>
      </c>
      <c r="I166" s="3" t="str">
        <f>HYPERLINK("https://api.typeform.com/responses/files/e155348eda658ee527273a21dc468a1048914ba7a285815b471d72f92eadcd32/242101704_452608322603069_4419158945580146600_n.jpg")</f>
        <v>https://api.typeform.com/responses/files/e155348eda658ee527273a21dc468a1048914ba7a285815b471d72f92eadcd32/242101704_452608322603069_4419158945580146600_n.jpg</v>
      </c>
      <c r="J166" t="s">
        <v>4099</v>
      </c>
      <c r="K166" t="b">
        <v>1</v>
      </c>
      <c r="L166" s="4" t="s">
        <v>4100</v>
      </c>
      <c r="M166" t="s">
        <v>4101</v>
      </c>
      <c r="N166" t="s">
        <v>149</v>
      </c>
      <c r="O166" t="s">
        <v>355</v>
      </c>
      <c r="P166" t="s">
        <v>4102</v>
      </c>
      <c r="Q166" t="s">
        <v>1510</v>
      </c>
      <c r="R166" t="s">
        <v>4099</v>
      </c>
      <c r="S166" t="s">
        <v>4103</v>
      </c>
      <c r="T166" s="4" t="s">
        <v>4104</v>
      </c>
      <c r="U166" t="s">
        <v>4105</v>
      </c>
      <c r="V166" t="s">
        <v>4106</v>
      </c>
      <c r="W166" t="s">
        <v>113</v>
      </c>
      <c r="X166" t="s">
        <v>4075</v>
      </c>
      <c r="Y166" t="s">
        <v>158</v>
      </c>
      <c r="Z166" t="s">
        <v>262</v>
      </c>
      <c r="AA166" t="s">
        <v>4075</v>
      </c>
      <c r="AB166" t="s">
        <v>4075</v>
      </c>
      <c r="AC166" s="3" t="str">
        <f>HYPERLINK("https://api.typeform.com/responses/files/bc3d9fc9d4713beea59190f3d5c26089de38c97a918c4fd903036cfbc9cca793/242101704_452608322603069_4419158945580146600_n.jpg")</f>
        <v>https://api.typeform.com/responses/files/bc3d9fc9d4713beea59190f3d5c26089de38c97a918c4fd903036cfbc9cca793/242101704_452608322603069_4419158945580146600_n.jpg</v>
      </c>
      <c r="AD166" t="s">
        <v>118</v>
      </c>
      <c r="AE166" t="s">
        <v>729</v>
      </c>
      <c r="AF166" t="s">
        <v>1019</v>
      </c>
      <c r="AG166">
        <v>15.0</v>
      </c>
      <c r="AH166" s="4" t="s">
        <v>734</v>
      </c>
      <c r="AI166" t="s">
        <v>162</v>
      </c>
      <c r="AJ166" t="s">
        <v>4075</v>
      </c>
      <c r="AK166" t="s">
        <v>4107</v>
      </c>
      <c r="AL166" t="s">
        <v>1043</v>
      </c>
      <c r="AM166" t="s">
        <v>4075</v>
      </c>
      <c r="AN166" t="s">
        <v>4075</v>
      </c>
      <c r="AO166" t="s">
        <v>125</v>
      </c>
      <c r="AP166">
        <v>5.0</v>
      </c>
      <c r="AQ166" t="s">
        <v>126</v>
      </c>
      <c r="AR166" t="s">
        <v>2004</v>
      </c>
      <c r="AS166" t="b">
        <v>0</v>
      </c>
      <c r="AT166" t="s">
        <v>4075</v>
      </c>
      <c r="AU166" t="s">
        <v>4075</v>
      </c>
      <c r="AV166">
        <v>5.0</v>
      </c>
      <c r="AW166" t="b">
        <v>0</v>
      </c>
      <c r="AX166" t="s">
        <v>4075</v>
      </c>
      <c r="AY166" t="s">
        <v>4075</v>
      </c>
      <c r="AZ166" t="b">
        <v>0</v>
      </c>
      <c r="BA166" t="b">
        <v>0</v>
      </c>
      <c r="BB166" t="s">
        <v>4075</v>
      </c>
      <c r="BC166" t="s">
        <v>4075</v>
      </c>
      <c r="BD166" t="s">
        <v>2004</v>
      </c>
      <c r="BE166" t="s">
        <v>4075</v>
      </c>
      <c r="BF166" t="s">
        <v>4075</v>
      </c>
      <c r="BG166" t="s">
        <v>4075</v>
      </c>
      <c r="BH166" t="s">
        <v>132</v>
      </c>
      <c r="BI166">
        <v>5.0</v>
      </c>
      <c r="BJ166" t="s">
        <v>4108</v>
      </c>
      <c r="BK166">
        <v>5.0</v>
      </c>
      <c r="BL166">
        <v>5.0</v>
      </c>
      <c r="BM166" t="s">
        <v>4109</v>
      </c>
      <c r="BN166">
        <v>4.0</v>
      </c>
      <c r="BO166">
        <v>4.0</v>
      </c>
      <c r="BP166" t="s">
        <v>4110</v>
      </c>
      <c r="BQ166" t="s">
        <v>1931</v>
      </c>
      <c r="BR166" t="s">
        <v>4111</v>
      </c>
      <c r="BS166" t="s">
        <v>4112</v>
      </c>
      <c r="BT166" t="s">
        <v>4075</v>
      </c>
      <c r="BU166" t="s">
        <v>139</v>
      </c>
      <c r="BV166" s="3" t="str">
        <f>HYPERLINK("https://api.typeform.com/responses/files/63c3a3b30de7938680630bd89b77d4533254abd1bccb1c005df2106379c77e06/Screen_Shot_2021_10_05_at_3.11.23_PM.png")</f>
        <v>https://api.typeform.com/responses/files/63c3a3b30de7938680630bd89b77d4533254abd1bccb1c005df2106379c77e06/Screen_Shot_2021_10_05_at_3.11.23_PM.png</v>
      </c>
      <c r="BW166" t="b">
        <v>1</v>
      </c>
      <c r="BX166" t="s">
        <v>1394</v>
      </c>
      <c r="BY166" t="s">
        <v>140</v>
      </c>
      <c r="BZ166" t="s">
        <v>4075</v>
      </c>
      <c r="CA166" t="s">
        <v>1395</v>
      </c>
      <c r="CB166" t="s">
        <v>4075</v>
      </c>
      <c r="CC166" t="s">
        <v>4075</v>
      </c>
      <c r="CD166">
        <v>0.0</v>
      </c>
      <c r="CE166" t="s">
        <v>4075</v>
      </c>
      <c r="CF166" t="b">
        <v>1</v>
      </c>
      <c r="CG166" t="b">
        <v>1</v>
      </c>
      <c r="CH166" t="s">
        <v>1935</v>
      </c>
      <c r="CI166" t="s">
        <v>4075</v>
      </c>
      <c r="CJ166" t="b">
        <v>1</v>
      </c>
      <c r="CK166" t="b">
        <v>1</v>
      </c>
      <c r="CL166" t="s">
        <v>387</v>
      </c>
      <c r="CM166" t="s">
        <v>387</v>
      </c>
      <c r="CN166" t="s">
        <v>4075</v>
      </c>
      <c r="CO166" t="s">
        <v>388</v>
      </c>
      <c r="CP166" t="s">
        <v>4075</v>
      </c>
      <c r="CQ166" t="s">
        <v>387</v>
      </c>
      <c r="CR166" t="b">
        <v>1</v>
      </c>
      <c r="CS166" t="s">
        <v>4075</v>
      </c>
      <c r="CT166">
        <v>0.0</v>
      </c>
      <c r="CU166">
        <v>0.0</v>
      </c>
      <c r="CV166" t="s">
        <v>4075</v>
      </c>
      <c r="CW166" t="s">
        <v>4075</v>
      </c>
      <c r="CX166" s="4" t="s">
        <v>2914</v>
      </c>
      <c r="CY166" t="s">
        <v>4075</v>
      </c>
      <c r="CZ166" s="5">
        <v>44474.79996527778</v>
      </c>
      <c r="DA166" t="s">
        <v>4113</v>
      </c>
    </row>
    <row r="167">
      <c r="A167" t="s">
        <v>98</v>
      </c>
      <c r="B167" t="s">
        <v>4075</v>
      </c>
      <c r="C167" t="s">
        <v>4075</v>
      </c>
      <c r="D167" t="s">
        <v>4097</v>
      </c>
      <c r="E167" t="s">
        <v>4114</v>
      </c>
      <c r="F167" s="2">
        <v>37870.0</v>
      </c>
      <c r="G167" t="s">
        <v>1360</v>
      </c>
      <c r="H167" t="s">
        <v>4075</v>
      </c>
      <c r="I167" s="3" t="str">
        <f>HYPERLINK("https://api.typeform.com/responses/files/13e88aaf3471ec7bc598442010ba42a744852ddefd2cbf2251db6036c563db26/242101704_452608322603069_4419158945580146600_n.jpg")</f>
        <v>https://api.typeform.com/responses/files/13e88aaf3471ec7bc598442010ba42a744852ddefd2cbf2251db6036c563db26/242101704_452608322603069_4419158945580146600_n.jpg</v>
      </c>
      <c r="J167" t="s">
        <v>4099</v>
      </c>
      <c r="K167" t="b">
        <v>1</v>
      </c>
      <c r="L167" s="4" t="s">
        <v>4100</v>
      </c>
      <c r="M167" t="s">
        <v>4103</v>
      </c>
      <c r="N167" t="s">
        <v>149</v>
      </c>
      <c r="O167" t="s">
        <v>179</v>
      </c>
      <c r="P167" t="s">
        <v>4115</v>
      </c>
      <c r="Q167" t="s">
        <v>1510</v>
      </c>
      <c r="R167" t="s">
        <v>4116</v>
      </c>
      <c r="S167" t="s">
        <v>4117</v>
      </c>
      <c r="T167" s="4" t="s">
        <v>4104</v>
      </c>
      <c r="U167" t="s">
        <v>1067</v>
      </c>
      <c r="V167" t="s">
        <v>4118</v>
      </c>
      <c r="W167" t="s">
        <v>113</v>
      </c>
      <c r="X167" t="s">
        <v>4075</v>
      </c>
      <c r="Y167" t="s">
        <v>158</v>
      </c>
      <c r="Z167" t="s">
        <v>262</v>
      </c>
      <c r="AA167" t="s">
        <v>4075</v>
      </c>
      <c r="AB167" t="s">
        <v>4075</v>
      </c>
      <c r="AC167" s="3" t="str">
        <f>HYPERLINK("https://api.typeform.com/responses/files/d596b77dfc765dbee6e238aa16c545d9933968b5bd8aad91c6fc30e718d5ae2c/Screen_Shot_2021_10_05_at_3.39.55_PM_1.png")</f>
        <v>https://api.typeform.com/responses/files/d596b77dfc765dbee6e238aa16c545d9933968b5bd8aad91c6fc30e718d5ae2c/Screen_Shot_2021_10_05_at_3.39.55_PM_1.png</v>
      </c>
      <c r="AD167" t="s">
        <v>118</v>
      </c>
      <c r="AE167" t="s">
        <v>729</v>
      </c>
      <c r="AF167" t="s">
        <v>1019</v>
      </c>
      <c r="AG167">
        <v>3.0</v>
      </c>
      <c r="AH167" t="s">
        <v>3275</v>
      </c>
      <c r="AI167" t="s">
        <v>162</v>
      </c>
      <c r="AJ167" t="s">
        <v>4075</v>
      </c>
      <c r="AK167" t="s">
        <v>139</v>
      </c>
      <c r="AL167" t="s">
        <v>1043</v>
      </c>
      <c r="AM167" t="s">
        <v>4075</v>
      </c>
      <c r="AN167" t="s">
        <v>4075</v>
      </c>
      <c r="AO167" t="s">
        <v>335</v>
      </c>
      <c r="AP167">
        <v>7.0</v>
      </c>
      <c r="AQ167" t="s">
        <v>126</v>
      </c>
      <c r="AR167" t="s">
        <v>4119</v>
      </c>
      <c r="AS167" t="b">
        <v>1</v>
      </c>
      <c r="AT167" t="b">
        <v>0</v>
      </c>
      <c r="AU167" t="s">
        <v>4075</v>
      </c>
      <c r="AV167">
        <v>4.0</v>
      </c>
      <c r="AW167" t="b">
        <v>0</v>
      </c>
      <c r="AX167" t="s">
        <v>4075</v>
      </c>
      <c r="AY167" t="s">
        <v>4075</v>
      </c>
      <c r="AZ167" t="b">
        <v>0</v>
      </c>
      <c r="BA167" t="b">
        <v>0</v>
      </c>
      <c r="BB167" t="s">
        <v>4075</v>
      </c>
      <c r="BC167" t="s">
        <v>4075</v>
      </c>
      <c r="BD167" t="s">
        <v>4120</v>
      </c>
      <c r="BE167" t="s">
        <v>4075</v>
      </c>
      <c r="BF167" t="s">
        <v>4075</v>
      </c>
      <c r="BG167" t="s">
        <v>4075</v>
      </c>
      <c r="BH167" t="s">
        <v>132</v>
      </c>
      <c r="BI167">
        <v>4.0</v>
      </c>
      <c r="BJ167" t="s">
        <v>4121</v>
      </c>
      <c r="BK167">
        <v>4.0</v>
      </c>
      <c r="BL167">
        <v>4.0</v>
      </c>
      <c r="BM167" t="s">
        <v>4122</v>
      </c>
      <c r="BN167">
        <v>3.0</v>
      </c>
      <c r="BO167">
        <v>7.0</v>
      </c>
      <c r="BP167" t="s">
        <v>4123</v>
      </c>
      <c r="BQ167" t="s">
        <v>4124</v>
      </c>
      <c r="BR167" t="s">
        <v>4125</v>
      </c>
      <c r="BS167" t="s">
        <v>4126</v>
      </c>
      <c r="BT167" t="s">
        <v>4075</v>
      </c>
      <c r="BU167" t="s">
        <v>606</v>
      </c>
      <c r="BV167" s="3" t="str">
        <f>HYPERLINK("https://api.typeform.com/responses/files/b737840646d23a9e85f634da6d3c7f46ddbf8357915e67b826c940c0d67a84b5/SPEAKHIRE_Parent.Guardian_Consent_Form.docx")</f>
        <v>https://api.typeform.com/responses/files/b737840646d23a9e85f634da6d3c7f46ddbf8357915e67b826c940c0d67a84b5/SPEAKHIRE_Parent.Guardian_Consent_Form.docx</v>
      </c>
      <c r="BW167" t="b">
        <v>1</v>
      </c>
      <c r="BX167" t="s">
        <v>1394</v>
      </c>
      <c r="BY167" t="s">
        <v>140</v>
      </c>
      <c r="BZ167" t="s">
        <v>4075</v>
      </c>
      <c r="CA167" t="s">
        <v>1395</v>
      </c>
      <c r="CB167" t="s">
        <v>4075</v>
      </c>
      <c r="CC167" t="s">
        <v>4075</v>
      </c>
      <c r="CD167">
        <v>0.0</v>
      </c>
      <c r="CE167" t="s">
        <v>4075</v>
      </c>
      <c r="CF167" t="b">
        <v>0</v>
      </c>
      <c r="CG167" t="b">
        <v>0</v>
      </c>
      <c r="CH167" t="s">
        <v>4127</v>
      </c>
      <c r="CI167" t="s">
        <v>4075</v>
      </c>
      <c r="CJ167" t="b">
        <v>1</v>
      </c>
      <c r="CK167" t="b">
        <v>0</v>
      </c>
      <c r="CL167" t="s">
        <v>387</v>
      </c>
      <c r="CM167" t="s">
        <v>387</v>
      </c>
      <c r="CN167" t="s">
        <v>4075</v>
      </c>
      <c r="CO167" t="s">
        <v>4121</v>
      </c>
      <c r="CP167" t="s">
        <v>4075</v>
      </c>
      <c r="CQ167" t="s">
        <v>387</v>
      </c>
      <c r="CR167" t="b">
        <v>1</v>
      </c>
      <c r="CS167" t="s">
        <v>4075</v>
      </c>
      <c r="CT167">
        <v>0.0</v>
      </c>
      <c r="CU167">
        <v>0.0</v>
      </c>
      <c r="CV167" t="s">
        <v>4075</v>
      </c>
      <c r="CW167" t="s">
        <v>4075</v>
      </c>
      <c r="CX167" t="s">
        <v>4128</v>
      </c>
      <c r="CY167" t="s">
        <v>4075</v>
      </c>
      <c r="CZ167" s="5">
        <v>44474.81949074074</v>
      </c>
      <c r="DA167" t="s">
        <v>4129</v>
      </c>
    </row>
    <row r="168">
      <c r="A168" t="s">
        <v>98</v>
      </c>
      <c r="B168" t="s">
        <v>4075</v>
      </c>
      <c r="C168" t="s">
        <v>4075</v>
      </c>
      <c r="D168" t="s">
        <v>4130</v>
      </c>
      <c r="E168" t="s">
        <v>4131</v>
      </c>
      <c r="F168" s="2">
        <v>39214.0</v>
      </c>
      <c r="G168" t="s">
        <v>1360</v>
      </c>
      <c r="H168" t="s">
        <v>4075</v>
      </c>
      <c r="I168" s="3" t="str">
        <f>HYPERLINK("https://api.typeform.com/responses/files/b415b332dd6b1618aad49b58d7b69e45e886d9840de903b327277c30959027de/7D599FD4_956C_43B6_A752_499CEC56CB23.JPG")</f>
        <v>https://api.typeform.com/responses/files/b415b332dd6b1618aad49b58d7b69e45e886d9840de903b327277c30959027de/7D599FD4_956C_43B6_A752_499CEC56CB23.JPG</v>
      </c>
      <c r="J168" t="s">
        <v>4132</v>
      </c>
      <c r="K168" t="b">
        <v>1</v>
      </c>
      <c r="L168" s="4" t="s">
        <v>4133</v>
      </c>
      <c r="M168" t="s">
        <v>4134</v>
      </c>
      <c r="N168" t="s">
        <v>354</v>
      </c>
      <c r="O168" t="s">
        <v>4135</v>
      </c>
      <c r="P168" t="s">
        <v>4136</v>
      </c>
      <c r="Q168" t="s">
        <v>189</v>
      </c>
      <c r="R168" t="s">
        <v>4132</v>
      </c>
      <c r="S168" t="s">
        <v>4137</v>
      </c>
      <c r="T168" s="4" t="s">
        <v>4138</v>
      </c>
      <c r="U168" t="s">
        <v>4139</v>
      </c>
      <c r="V168" t="s">
        <v>4140</v>
      </c>
      <c r="W168" t="s">
        <v>113</v>
      </c>
      <c r="X168" t="s">
        <v>4075</v>
      </c>
      <c r="Y168" t="s">
        <v>158</v>
      </c>
      <c r="Z168" t="s">
        <v>262</v>
      </c>
      <c r="AA168" t="s">
        <v>4075</v>
      </c>
      <c r="AB168" t="s">
        <v>4075</v>
      </c>
      <c r="AC168" s="3" t="str">
        <f>HYPERLINK("https://api.typeform.com/responses/files/88056f77358d475d9e0fca73a7a53cb8727409dd57ada94eaa1985b7b8f930f2/Screen_Shot_2021_10_04_at_2.17.35_PM.png")</f>
        <v>https://api.typeform.com/responses/files/88056f77358d475d9e0fca73a7a53cb8727409dd57ada94eaa1985b7b8f930f2/Screen_Shot_2021_10_04_at_2.17.35_PM.png</v>
      </c>
      <c r="AD168" t="s">
        <v>118</v>
      </c>
      <c r="AE168" t="s">
        <v>729</v>
      </c>
      <c r="AF168" t="s">
        <v>3979</v>
      </c>
      <c r="AG168">
        <v>14.0</v>
      </c>
      <c r="AH168" t="s">
        <v>4141</v>
      </c>
      <c r="AI168" t="s">
        <v>162</v>
      </c>
      <c r="AJ168" t="s">
        <v>4075</v>
      </c>
      <c r="AK168" t="s">
        <v>1182</v>
      </c>
      <c r="AL168" t="s">
        <v>199</v>
      </c>
      <c r="AM168" t="s">
        <v>4075</v>
      </c>
      <c r="AN168" t="s">
        <v>4075</v>
      </c>
      <c r="AO168" t="s">
        <v>335</v>
      </c>
      <c r="AP168">
        <v>6.0</v>
      </c>
      <c r="AQ168" t="s">
        <v>126</v>
      </c>
      <c r="AR168" t="s">
        <v>4142</v>
      </c>
      <c r="AS168" t="b">
        <v>1</v>
      </c>
      <c r="AT168" t="b">
        <v>0</v>
      </c>
      <c r="AU168" t="s">
        <v>4075</v>
      </c>
      <c r="AV168">
        <v>6.0</v>
      </c>
      <c r="AW168" t="b">
        <v>0</v>
      </c>
      <c r="AX168" t="s">
        <v>4075</v>
      </c>
      <c r="AY168" t="s">
        <v>4075</v>
      </c>
      <c r="AZ168" t="b">
        <v>0</v>
      </c>
      <c r="BA168" t="b">
        <v>0</v>
      </c>
      <c r="BB168" t="s">
        <v>4075</v>
      </c>
      <c r="BC168" t="s">
        <v>4075</v>
      </c>
      <c r="BD168" t="s">
        <v>4143</v>
      </c>
      <c r="BE168" t="s">
        <v>4075</v>
      </c>
      <c r="BF168" t="s">
        <v>4075</v>
      </c>
      <c r="BG168" t="s">
        <v>4075</v>
      </c>
      <c r="BH168" t="s">
        <v>132</v>
      </c>
      <c r="BI168">
        <v>5.0</v>
      </c>
      <c r="BJ168" t="s">
        <v>4144</v>
      </c>
      <c r="BK168">
        <v>6.0</v>
      </c>
      <c r="BL168">
        <v>6.0</v>
      </c>
      <c r="BM168" t="s">
        <v>4145</v>
      </c>
      <c r="BN168">
        <v>6.0</v>
      </c>
      <c r="BO168">
        <v>5.0</v>
      </c>
      <c r="BP168" t="s">
        <v>4146</v>
      </c>
      <c r="BQ168" t="s">
        <v>469</v>
      </c>
      <c r="BR168" t="s">
        <v>4147</v>
      </c>
      <c r="BS168" t="s">
        <v>4148</v>
      </c>
      <c r="BT168" t="s">
        <v>4075</v>
      </c>
      <c r="BU168" t="s">
        <v>139</v>
      </c>
      <c r="BV168" s="3" t="str">
        <f>HYPERLINK("https://api.typeform.com/responses/files/faf1f97d371ade493f7448b7eb86c29d5794159a8b51e7b394a6908d0cf70d22/Screen_Shot_2021_10_04_at_2.17.35_PM.png")</f>
        <v>https://api.typeform.com/responses/files/faf1f97d371ade493f7448b7eb86c29d5794159a8b51e7b394a6908d0cf70d22/Screen_Shot_2021_10_04_at_2.17.35_PM.png</v>
      </c>
      <c r="BW168" t="b">
        <v>1</v>
      </c>
      <c r="BX168" t="s">
        <v>1394</v>
      </c>
      <c r="BY168" t="s">
        <v>140</v>
      </c>
      <c r="BZ168" t="s">
        <v>4075</v>
      </c>
      <c r="CA168" t="s">
        <v>1395</v>
      </c>
      <c r="CB168" t="s">
        <v>4075</v>
      </c>
      <c r="CC168" t="s">
        <v>4075</v>
      </c>
      <c r="CD168">
        <v>0.0</v>
      </c>
      <c r="CE168" t="s">
        <v>4075</v>
      </c>
      <c r="CF168" t="b">
        <v>1</v>
      </c>
      <c r="CG168" t="b">
        <v>0</v>
      </c>
      <c r="CH168" t="s">
        <v>4149</v>
      </c>
      <c r="CI168" t="s">
        <v>4075</v>
      </c>
      <c r="CJ168" t="b">
        <v>1</v>
      </c>
      <c r="CK168" t="b">
        <v>0</v>
      </c>
      <c r="CL168" t="s">
        <v>198</v>
      </c>
      <c r="CM168" t="s">
        <v>198</v>
      </c>
      <c r="CN168" t="s">
        <v>4075</v>
      </c>
      <c r="CO168" t="s">
        <v>4150</v>
      </c>
      <c r="CP168" t="s">
        <v>4075</v>
      </c>
      <c r="CQ168" t="s">
        <v>198</v>
      </c>
      <c r="CR168" t="b">
        <v>1</v>
      </c>
      <c r="CS168" t="s">
        <v>4075</v>
      </c>
      <c r="CT168">
        <v>0.0</v>
      </c>
      <c r="CU168">
        <v>2.0</v>
      </c>
      <c r="CV168" t="s">
        <v>4075</v>
      </c>
      <c r="CW168" t="s">
        <v>4075</v>
      </c>
      <c r="CX168" s="4" t="s">
        <v>520</v>
      </c>
      <c r="CY168" t="s">
        <v>4075</v>
      </c>
      <c r="CZ168" s="5">
        <v>44474.8296412037</v>
      </c>
      <c r="DA168" t="s">
        <v>4151</v>
      </c>
    </row>
    <row r="169">
      <c r="A169" t="s">
        <v>98</v>
      </c>
      <c r="B169" t="s">
        <v>4075</v>
      </c>
      <c r="C169" t="s">
        <v>4075</v>
      </c>
      <c r="D169" t="s">
        <v>4152</v>
      </c>
      <c r="E169" t="s">
        <v>667</v>
      </c>
      <c r="F169" s="2">
        <v>37882.0</v>
      </c>
      <c r="G169" t="s">
        <v>1466</v>
      </c>
      <c r="H169" t="s">
        <v>4075</v>
      </c>
      <c r="I169" s="3" t="str">
        <f>HYPERLINK("https://api.typeform.com/responses/files/ac5614aa5f947a2de0cd08f7c958b53e7cacff068bec6d04a5c4e3b60afb052b/AEEAEDA6_B18D_436C_B709_C9F4C6312D96.jpeg")</f>
        <v>https://api.typeform.com/responses/files/ac5614aa5f947a2de0cd08f7c958b53e7cacff068bec6d04a5c4e3b60afb052b/AEEAEDA6_B18D_436C_B709_C9F4C6312D96.jpeg</v>
      </c>
      <c r="J169" t="s">
        <v>4153</v>
      </c>
      <c r="K169" t="b">
        <v>1</v>
      </c>
      <c r="L169" s="4" t="s">
        <v>4154</v>
      </c>
      <c r="M169" t="s">
        <v>4155</v>
      </c>
      <c r="N169" t="s">
        <v>149</v>
      </c>
      <c r="O169" t="s">
        <v>179</v>
      </c>
      <c r="P169" t="s">
        <v>4156</v>
      </c>
      <c r="Q169" t="s">
        <v>152</v>
      </c>
      <c r="R169" t="s">
        <v>4153</v>
      </c>
      <c r="S169" t="s">
        <v>4155</v>
      </c>
      <c r="T169" s="4" t="s">
        <v>4157</v>
      </c>
      <c r="U169" t="s">
        <v>4152</v>
      </c>
      <c r="V169" t="s">
        <v>4106</v>
      </c>
      <c r="W169" t="s">
        <v>113</v>
      </c>
      <c r="X169" t="s">
        <v>4075</v>
      </c>
      <c r="Y169" t="s">
        <v>158</v>
      </c>
      <c r="Z169" t="s">
        <v>262</v>
      </c>
      <c r="AA169" t="s">
        <v>4075</v>
      </c>
      <c r="AB169" t="s">
        <v>4075</v>
      </c>
      <c r="AC169" s="3" t="str">
        <f>HYPERLINK("https://api.typeform.com/responses/files/e666b42ba2e5d8711119c5f76f4b48cb527e7a03dd09247f16c862903313863d/A30C8FB9_6B97_4536_ADA0_1C11F373A5E3.jpeg")</f>
        <v>https://api.typeform.com/responses/files/e666b42ba2e5d8711119c5f76f4b48cb527e7a03dd09247f16c862903313863d/A30C8FB9_6B97_4536_ADA0_1C11F373A5E3.jpeg</v>
      </c>
      <c r="AD169" t="s">
        <v>118</v>
      </c>
      <c r="AE169" t="s">
        <v>729</v>
      </c>
      <c r="AF169" t="s">
        <v>4158</v>
      </c>
      <c r="AG169">
        <v>1.0</v>
      </c>
      <c r="AH169" s="4" t="s">
        <v>4159</v>
      </c>
      <c r="AI169" t="s">
        <v>386</v>
      </c>
      <c r="AJ169" t="s">
        <v>4075</v>
      </c>
      <c r="AK169" t="s">
        <v>179</v>
      </c>
      <c r="AL169" t="s">
        <v>199</v>
      </c>
      <c r="AM169" t="s">
        <v>4075</v>
      </c>
      <c r="AN169" t="s">
        <v>4075</v>
      </c>
      <c r="AO169" t="s">
        <v>335</v>
      </c>
      <c r="AP169">
        <v>4.0</v>
      </c>
      <c r="AQ169" t="s">
        <v>1520</v>
      </c>
      <c r="AR169" t="s">
        <v>4160</v>
      </c>
      <c r="AS169" t="b">
        <v>0</v>
      </c>
      <c r="AT169" t="s">
        <v>4075</v>
      </c>
      <c r="AU169" t="s">
        <v>4075</v>
      </c>
      <c r="AV169">
        <v>3.0</v>
      </c>
      <c r="AW169" t="b">
        <v>0</v>
      </c>
      <c r="AX169" t="s">
        <v>4075</v>
      </c>
      <c r="AY169" t="s">
        <v>4075</v>
      </c>
      <c r="AZ169" t="b">
        <v>0</v>
      </c>
      <c r="BA169" t="b">
        <v>0</v>
      </c>
      <c r="BB169" t="s">
        <v>4075</v>
      </c>
      <c r="BC169" t="s">
        <v>4075</v>
      </c>
      <c r="BD169" t="s">
        <v>4161</v>
      </c>
      <c r="BE169" t="s">
        <v>4075</v>
      </c>
      <c r="BF169" t="s">
        <v>4075</v>
      </c>
      <c r="BG169" t="s">
        <v>4075</v>
      </c>
      <c r="BH169" t="s">
        <v>132</v>
      </c>
      <c r="BI169">
        <v>2.0</v>
      </c>
      <c r="BJ169" t="s">
        <v>4162</v>
      </c>
      <c r="BK169">
        <v>1.0</v>
      </c>
      <c r="BL169">
        <v>3.0</v>
      </c>
      <c r="BM169" t="s">
        <v>4163</v>
      </c>
      <c r="BN169">
        <v>1.0</v>
      </c>
      <c r="BO169">
        <v>1.0</v>
      </c>
      <c r="BP169" t="s">
        <v>4164</v>
      </c>
      <c r="BQ169" t="s">
        <v>1050</v>
      </c>
      <c r="BR169" t="s">
        <v>4165</v>
      </c>
      <c r="BS169" t="s">
        <v>4166</v>
      </c>
      <c r="BT169" t="s">
        <v>4075</v>
      </c>
      <c r="BU169" t="s">
        <v>179</v>
      </c>
      <c r="BV169" s="3" t="str">
        <f>HYPERLINK("https://api.typeform.com/responses/files/663aa2f6528e87da42cc623239aa6c0582cbbaf4be208ad0d9051884697e6269/SPEAKHIRE_Parent.Guardian_Consent_Form.odt")</f>
        <v>https://api.typeform.com/responses/files/663aa2f6528e87da42cc623239aa6c0582cbbaf4be208ad0d9051884697e6269/SPEAKHIRE_Parent.Guardian_Consent_Form.odt</v>
      </c>
      <c r="BW169" t="b">
        <v>1</v>
      </c>
      <c r="BX169" t="s">
        <v>1394</v>
      </c>
      <c r="BY169" t="s">
        <v>140</v>
      </c>
      <c r="BZ169" t="s">
        <v>4075</v>
      </c>
      <c r="CA169" t="s">
        <v>1395</v>
      </c>
      <c r="CB169" t="s">
        <v>4075</v>
      </c>
      <c r="CC169" t="s">
        <v>4075</v>
      </c>
      <c r="CD169">
        <v>0.0</v>
      </c>
      <c r="CE169" t="s">
        <v>4075</v>
      </c>
      <c r="CF169" t="b">
        <v>0</v>
      </c>
      <c r="CG169" t="b">
        <v>0</v>
      </c>
      <c r="CH169" t="s">
        <v>4167</v>
      </c>
      <c r="CI169" t="s">
        <v>4075</v>
      </c>
      <c r="CJ169" t="b">
        <v>0</v>
      </c>
      <c r="CK169" t="b">
        <v>1</v>
      </c>
      <c r="CL169" t="s">
        <v>387</v>
      </c>
      <c r="CM169" t="s">
        <v>387</v>
      </c>
      <c r="CN169" t="s">
        <v>4075</v>
      </c>
      <c r="CO169" t="s">
        <v>1688</v>
      </c>
      <c r="CP169" t="s">
        <v>4075</v>
      </c>
      <c r="CQ169" t="s">
        <v>387</v>
      </c>
      <c r="CR169" t="b">
        <v>1</v>
      </c>
      <c r="CS169" t="s">
        <v>4075</v>
      </c>
      <c r="CT169">
        <v>0.0</v>
      </c>
      <c r="CU169">
        <v>0.0</v>
      </c>
      <c r="CV169" t="s">
        <v>4075</v>
      </c>
      <c r="CW169" t="s">
        <v>4075</v>
      </c>
      <c r="CX169" s="4" t="s">
        <v>734</v>
      </c>
      <c r="CY169" t="s">
        <v>4075</v>
      </c>
      <c r="CZ169" s="5">
        <v>44474.90891203703</v>
      </c>
      <c r="DA169" t="s">
        <v>4168</v>
      </c>
    </row>
    <row r="170">
      <c r="A170" t="s">
        <v>98</v>
      </c>
      <c r="B170" t="s">
        <v>4075</v>
      </c>
      <c r="C170" t="s">
        <v>4075</v>
      </c>
      <c r="D170" t="s">
        <v>4169</v>
      </c>
      <c r="E170" t="s">
        <v>4170</v>
      </c>
      <c r="F170" s="2">
        <v>38197.0</v>
      </c>
      <c r="G170" t="s">
        <v>1360</v>
      </c>
      <c r="H170" t="s">
        <v>4075</v>
      </c>
      <c r="I170" s="3" t="str">
        <f>HYPERLINK("https://api.typeform.com/responses/files/94765f2c5d3b53546ea41e16f37f8c2b1434a4e9f9d67f68e1c71f920e7533d7/_foto_almacenada_csp29302220.jpeg")</f>
        <v>https://api.typeform.com/responses/files/94765f2c5d3b53546ea41e16f37f8c2b1434a4e9f9d67f68e1c71f920e7533d7/_foto_almacenada_csp29302220.jpeg</v>
      </c>
      <c r="J170" t="s">
        <v>4171</v>
      </c>
      <c r="K170" t="b">
        <v>1</v>
      </c>
      <c r="L170" s="4" t="s">
        <v>4172</v>
      </c>
      <c r="M170" t="s">
        <v>4173</v>
      </c>
      <c r="N170" t="s">
        <v>255</v>
      </c>
      <c r="O170" t="s">
        <v>4174</v>
      </c>
      <c r="P170" t="s">
        <v>4175</v>
      </c>
      <c r="Q170" t="s">
        <v>189</v>
      </c>
      <c r="R170" t="s">
        <v>4176</v>
      </c>
      <c r="S170" t="s">
        <v>4177</v>
      </c>
      <c r="T170" s="4" t="s">
        <v>4172</v>
      </c>
      <c r="U170" t="s">
        <v>4178</v>
      </c>
      <c r="V170" t="s">
        <v>4106</v>
      </c>
      <c r="W170" t="s">
        <v>113</v>
      </c>
      <c r="X170" t="s">
        <v>4075</v>
      </c>
      <c r="Y170" t="s">
        <v>158</v>
      </c>
      <c r="Z170" t="s">
        <v>262</v>
      </c>
      <c r="AA170" t="s">
        <v>4075</v>
      </c>
      <c r="AB170" t="s">
        <v>4075</v>
      </c>
      <c r="AC170" s="3" t="str">
        <f>HYPERLINK("https://api.typeform.com/responses/files/2119926042979cce589d270341364795ce6ee327473eaaffb0b63e2061aa102f/_foto_almacenada_csp29302220.jpeg")</f>
        <v>https://api.typeform.com/responses/files/2119926042979cce589d270341364795ce6ee327473eaaffb0b63e2061aa102f/_foto_almacenada_csp29302220.jpeg</v>
      </c>
      <c r="AD170" t="s">
        <v>118</v>
      </c>
      <c r="AE170" t="s">
        <v>729</v>
      </c>
      <c r="AF170" t="s">
        <v>1019</v>
      </c>
      <c r="AG170">
        <v>14.0</v>
      </c>
      <c r="AH170" s="4" t="s">
        <v>547</v>
      </c>
      <c r="AI170" t="s">
        <v>162</v>
      </c>
      <c r="AJ170" t="s">
        <v>4075</v>
      </c>
      <c r="AK170" t="s">
        <v>4179</v>
      </c>
      <c r="AL170" t="s">
        <v>1043</v>
      </c>
      <c r="AM170" t="s">
        <v>4075</v>
      </c>
      <c r="AN170" t="s">
        <v>4075</v>
      </c>
      <c r="AO170" t="s">
        <v>335</v>
      </c>
      <c r="AP170">
        <v>5.0</v>
      </c>
      <c r="AQ170" t="s">
        <v>1070</v>
      </c>
      <c r="AR170" t="s">
        <v>4180</v>
      </c>
      <c r="AS170" t="b">
        <v>1</v>
      </c>
      <c r="AT170" t="b">
        <v>0</v>
      </c>
      <c r="AU170" t="s">
        <v>4075</v>
      </c>
      <c r="AV170">
        <v>5.0</v>
      </c>
      <c r="AW170" t="b">
        <v>0</v>
      </c>
      <c r="AX170" t="s">
        <v>4075</v>
      </c>
      <c r="AY170" t="s">
        <v>4075</v>
      </c>
      <c r="AZ170" t="b">
        <v>0</v>
      </c>
      <c r="BA170" t="b">
        <v>0</v>
      </c>
      <c r="BB170" t="s">
        <v>4075</v>
      </c>
      <c r="BC170" t="s">
        <v>4075</v>
      </c>
      <c r="BD170" t="s">
        <v>4181</v>
      </c>
      <c r="BE170" t="s">
        <v>4075</v>
      </c>
      <c r="BF170" t="s">
        <v>4075</v>
      </c>
      <c r="BG170" t="s">
        <v>4075</v>
      </c>
      <c r="BH170" t="s">
        <v>132</v>
      </c>
      <c r="BI170">
        <v>4.0</v>
      </c>
      <c r="BJ170" t="s">
        <v>4182</v>
      </c>
      <c r="BK170">
        <v>4.0</v>
      </c>
      <c r="BL170">
        <v>4.0</v>
      </c>
      <c r="BM170" t="s">
        <v>4183</v>
      </c>
      <c r="BN170">
        <v>4.0</v>
      </c>
      <c r="BO170">
        <v>4.0</v>
      </c>
      <c r="BP170" t="s">
        <v>4184</v>
      </c>
      <c r="BQ170" t="s">
        <v>4185</v>
      </c>
      <c r="BR170" t="s">
        <v>4186</v>
      </c>
      <c r="BS170" t="s">
        <v>4187</v>
      </c>
      <c r="BT170" t="s">
        <v>4075</v>
      </c>
      <c r="BU170" t="s">
        <v>606</v>
      </c>
      <c r="BV170" s="3" t="str">
        <f>HYPERLINK("https://api.typeform.com/responses/files/b6ff4e8152bdb2baaa9d5a74ed9369bdfe361ab188a1b784eacfb6a00189f69c/_foto_almacenada_csp29302220.jpeg")</f>
        <v>https://api.typeform.com/responses/files/b6ff4e8152bdb2baaa9d5a74ed9369bdfe361ab188a1b784eacfb6a00189f69c/_foto_almacenada_csp29302220.jpeg</v>
      </c>
      <c r="BW170" t="b">
        <v>1</v>
      </c>
      <c r="BX170" t="s">
        <v>1394</v>
      </c>
      <c r="BY170" t="s">
        <v>140</v>
      </c>
      <c r="BZ170" t="s">
        <v>4075</v>
      </c>
      <c r="CA170" t="s">
        <v>1395</v>
      </c>
      <c r="CB170" t="s">
        <v>4075</v>
      </c>
      <c r="CC170" t="s">
        <v>4075</v>
      </c>
      <c r="CD170">
        <v>0.0</v>
      </c>
      <c r="CE170" t="s">
        <v>4075</v>
      </c>
      <c r="CF170" t="b">
        <v>0</v>
      </c>
      <c r="CG170" t="b">
        <v>0</v>
      </c>
      <c r="CH170" t="s">
        <v>4188</v>
      </c>
      <c r="CI170" t="s">
        <v>4075</v>
      </c>
      <c r="CJ170" t="b">
        <v>1</v>
      </c>
      <c r="CK170" t="b">
        <v>0</v>
      </c>
      <c r="CL170" t="s">
        <v>387</v>
      </c>
      <c r="CM170" t="s">
        <v>387</v>
      </c>
      <c r="CN170" t="s">
        <v>4075</v>
      </c>
      <c r="CO170" t="s">
        <v>1635</v>
      </c>
      <c r="CP170" t="s">
        <v>4075</v>
      </c>
      <c r="CQ170" t="s">
        <v>387</v>
      </c>
      <c r="CR170" t="b">
        <v>1</v>
      </c>
      <c r="CS170" t="s">
        <v>4075</v>
      </c>
      <c r="CT170">
        <v>0.0</v>
      </c>
      <c r="CU170">
        <v>0.0</v>
      </c>
      <c r="CV170" t="s">
        <v>4075</v>
      </c>
      <c r="CW170" t="s">
        <v>4075</v>
      </c>
      <c r="CX170" s="4" t="s">
        <v>2914</v>
      </c>
      <c r="CY170" t="s">
        <v>4075</v>
      </c>
      <c r="CZ170" s="5">
        <v>44475.793645833335</v>
      </c>
      <c r="DA170" t="s">
        <v>4189</v>
      </c>
    </row>
    <row r="171">
      <c r="A171" t="s">
        <v>98</v>
      </c>
      <c r="B171" t="s">
        <v>4075</v>
      </c>
      <c r="C171" t="s">
        <v>4075</v>
      </c>
      <c r="D171" t="s">
        <v>4190</v>
      </c>
      <c r="E171" t="s">
        <v>4191</v>
      </c>
      <c r="F171" s="2">
        <v>38970.0</v>
      </c>
      <c r="G171" t="s">
        <v>1466</v>
      </c>
      <c r="H171" t="s">
        <v>4075</v>
      </c>
      <c r="I171" s="3" t="str">
        <f>HYPERLINK("https://api.typeform.com/responses/files/6aa8064f6f55d4de0ff8ea8e8768e37485cd354482a86e5187503fb660cccdf8/Photo_on_10_6_21_at_2.59_PM.jpg")</f>
        <v>https://api.typeform.com/responses/files/6aa8064f6f55d4de0ff8ea8e8768e37485cd354482a86e5187503fb660cccdf8/Photo_on_10_6_21_at_2.59_PM.jpg</v>
      </c>
      <c r="J171" t="s">
        <v>4192</v>
      </c>
      <c r="K171" t="b">
        <v>1</v>
      </c>
      <c r="L171" s="4" t="s">
        <v>4193</v>
      </c>
      <c r="M171" t="s">
        <v>4194</v>
      </c>
      <c r="N171" t="s">
        <v>255</v>
      </c>
      <c r="O171" t="s">
        <v>4195</v>
      </c>
      <c r="P171" t="s">
        <v>4196</v>
      </c>
      <c r="Q171" t="s">
        <v>189</v>
      </c>
      <c r="R171" t="s">
        <v>4192</v>
      </c>
      <c r="S171" t="s">
        <v>4197</v>
      </c>
      <c r="T171" s="4" t="s">
        <v>4198</v>
      </c>
      <c r="U171" t="s">
        <v>4199</v>
      </c>
      <c r="V171" t="s">
        <v>4106</v>
      </c>
      <c r="W171" t="s">
        <v>261</v>
      </c>
      <c r="X171" t="s">
        <v>4075</v>
      </c>
      <c r="Y171" t="s">
        <v>158</v>
      </c>
      <c r="Z171" t="s">
        <v>195</v>
      </c>
      <c r="AA171" t="s">
        <v>4075</v>
      </c>
      <c r="AB171" t="s">
        <v>4075</v>
      </c>
      <c r="AC171" s="3" t="str">
        <f>HYPERLINK("https://api.typeform.com/responses/files/614fa7522ae293c3c908a12f89b73682386736462d8dec2a6ab1a85c0a8460ba/Photo_on_10_6_21_at_2.59_PM.jpg")</f>
        <v>https://api.typeform.com/responses/files/614fa7522ae293c3c908a12f89b73682386736462d8dec2a6ab1a85c0a8460ba/Photo_on_10_6_21_at_2.59_PM.jpg</v>
      </c>
      <c r="AD171" t="s">
        <v>118</v>
      </c>
      <c r="AE171" t="s">
        <v>729</v>
      </c>
      <c r="AF171" t="s">
        <v>1019</v>
      </c>
      <c r="AG171">
        <v>10.0</v>
      </c>
      <c r="AH171" t="s">
        <v>4200</v>
      </c>
      <c r="AI171" t="s">
        <v>386</v>
      </c>
      <c r="AJ171" t="s">
        <v>4075</v>
      </c>
      <c r="AK171" t="s">
        <v>139</v>
      </c>
      <c r="AL171" t="s">
        <v>4201</v>
      </c>
      <c r="AM171" t="s">
        <v>4075</v>
      </c>
      <c r="AN171" t="s">
        <v>4075</v>
      </c>
      <c r="AO171" t="s">
        <v>335</v>
      </c>
      <c r="AP171">
        <v>2.0</v>
      </c>
      <c r="AQ171" t="s">
        <v>1480</v>
      </c>
      <c r="AR171" t="s">
        <v>4202</v>
      </c>
      <c r="AS171" t="b">
        <v>0</v>
      </c>
      <c r="AT171" t="s">
        <v>4075</v>
      </c>
      <c r="AU171" t="s">
        <v>4075</v>
      </c>
      <c r="AV171">
        <v>7.0</v>
      </c>
      <c r="AW171" t="b">
        <v>0</v>
      </c>
      <c r="AX171" t="s">
        <v>4075</v>
      </c>
      <c r="AY171" t="s">
        <v>4075</v>
      </c>
      <c r="AZ171" t="b">
        <v>0</v>
      </c>
      <c r="BA171" t="b">
        <v>0</v>
      </c>
      <c r="BB171" t="s">
        <v>4075</v>
      </c>
      <c r="BC171" t="s">
        <v>4075</v>
      </c>
      <c r="BD171" t="s">
        <v>4202</v>
      </c>
      <c r="BE171" t="s">
        <v>4075</v>
      </c>
      <c r="BF171" t="s">
        <v>4075</v>
      </c>
      <c r="BG171" t="s">
        <v>4075</v>
      </c>
      <c r="BH171" t="s">
        <v>132</v>
      </c>
      <c r="BI171">
        <v>5.0</v>
      </c>
      <c r="BJ171" s="4" t="s">
        <v>130</v>
      </c>
      <c r="BK171">
        <v>1.0</v>
      </c>
      <c r="BL171">
        <v>1.0</v>
      </c>
      <c r="BM171" s="4" t="s">
        <v>130</v>
      </c>
      <c r="BN171">
        <v>4.0</v>
      </c>
      <c r="BO171">
        <v>3.0</v>
      </c>
      <c r="BP171" t="s">
        <v>4203</v>
      </c>
      <c r="BQ171" t="s">
        <v>3728</v>
      </c>
      <c r="BR171" t="s">
        <v>4204</v>
      </c>
      <c r="BS171" t="s">
        <v>4205</v>
      </c>
      <c r="BT171" t="s">
        <v>4075</v>
      </c>
      <c r="BU171" t="s">
        <v>4206</v>
      </c>
      <c r="BV171" s="3" t="str">
        <f>HYPERLINK("https://api.typeform.com/responses/files/00308ebc2b6653e773465457d3a2fadc019f0f2281cbcd6486adde9fcb271788/Photo_on_10_6_21_at_2.59_PM.jpg")</f>
        <v>https://api.typeform.com/responses/files/00308ebc2b6653e773465457d3a2fadc019f0f2281cbcd6486adde9fcb271788/Photo_on_10_6_21_at_2.59_PM.jpg</v>
      </c>
      <c r="BW171" t="b">
        <v>1</v>
      </c>
      <c r="BX171" t="s">
        <v>1394</v>
      </c>
      <c r="BY171" t="s">
        <v>140</v>
      </c>
      <c r="BZ171" t="s">
        <v>4075</v>
      </c>
      <c r="CA171" t="s">
        <v>1395</v>
      </c>
      <c r="CB171" t="s">
        <v>4075</v>
      </c>
      <c r="CC171" t="s">
        <v>4075</v>
      </c>
      <c r="CD171">
        <v>0.0</v>
      </c>
      <c r="CE171" t="s">
        <v>4075</v>
      </c>
      <c r="CF171" t="b">
        <v>1</v>
      </c>
      <c r="CG171" t="b">
        <v>1</v>
      </c>
      <c r="CH171" t="s">
        <v>4188</v>
      </c>
      <c r="CI171" t="s">
        <v>4075</v>
      </c>
      <c r="CJ171" t="b">
        <v>1</v>
      </c>
      <c r="CK171" t="b">
        <v>0</v>
      </c>
      <c r="CL171" t="s">
        <v>387</v>
      </c>
      <c r="CM171" t="s">
        <v>4075</v>
      </c>
      <c r="CN171" t="s">
        <v>4075</v>
      </c>
      <c r="CO171" t="s">
        <v>200</v>
      </c>
      <c r="CP171" t="s">
        <v>4075</v>
      </c>
      <c r="CQ171" t="s">
        <v>4075</v>
      </c>
      <c r="CR171" t="b">
        <v>1</v>
      </c>
      <c r="CS171" t="s">
        <v>4075</v>
      </c>
      <c r="CT171">
        <v>0.0</v>
      </c>
      <c r="CU171">
        <v>0.0</v>
      </c>
      <c r="CV171" t="s">
        <v>4075</v>
      </c>
      <c r="CW171" t="s">
        <v>4075</v>
      </c>
      <c r="CX171" s="4" t="s">
        <v>1610</v>
      </c>
      <c r="CY171" t="s">
        <v>4075</v>
      </c>
      <c r="CZ171" s="5">
        <v>44475.80842592593</v>
      </c>
      <c r="DA171" t="s">
        <v>4207</v>
      </c>
    </row>
    <row r="172">
      <c r="A172" t="s">
        <v>1399</v>
      </c>
      <c r="B172" t="s">
        <v>4075</v>
      </c>
      <c r="C172" t="s">
        <v>4075</v>
      </c>
      <c r="D172" t="s">
        <v>4208</v>
      </c>
      <c r="E172" t="s">
        <v>4209</v>
      </c>
      <c r="F172" s="2">
        <v>37759.0</v>
      </c>
      <c r="G172" t="s">
        <v>1466</v>
      </c>
      <c r="H172" t="s">
        <v>4075</v>
      </c>
      <c r="I172" s="3" t="str">
        <f>HYPERLINK("https://api.typeform.com/responses/files/fbd32dfab23eb68429a1717b15eff92912759e6b7a4990917cd9ec219363d9f3/djrojas1831_20211006_2.png")</f>
        <v>https://api.typeform.com/responses/files/fbd32dfab23eb68429a1717b15eff92912759e6b7a4990917cd9ec219363d9f3/djrojas1831_20211006_2.png</v>
      </c>
      <c r="J172" t="s">
        <v>4210</v>
      </c>
      <c r="K172" t="b">
        <v>1</v>
      </c>
      <c r="L172" s="4" t="s">
        <v>4211</v>
      </c>
      <c r="M172" t="s">
        <v>4212</v>
      </c>
      <c r="N172" t="s">
        <v>354</v>
      </c>
      <c r="O172" t="s">
        <v>990</v>
      </c>
      <c r="P172" t="s">
        <v>4213</v>
      </c>
      <c r="Q172" t="s">
        <v>152</v>
      </c>
      <c r="R172" t="s">
        <v>4214</v>
      </c>
      <c r="S172" t="s">
        <v>4215</v>
      </c>
      <c r="T172" s="4" t="s">
        <v>4216</v>
      </c>
      <c r="U172" t="s">
        <v>4217</v>
      </c>
      <c r="V172" t="s">
        <v>4218</v>
      </c>
      <c r="W172" t="s">
        <v>113</v>
      </c>
      <c r="X172" t="s">
        <v>4075</v>
      </c>
      <c r="Y172" t="s">
        <v>158</v>
      </c>
      <c r="Z172" t="s">
        <v>159</v>
      </c>
      <c r="AA172" t="s">
        <v>4075</v>
      </c>
      <c r="AB172" t="s">
        <v>4075</v>
      </c>
      <c r="AC172" s="3" t="str">
        <f>HYPERLINK("https://api.typeform.com/responses/files/40defc4886c23514b36599ee5eda2c23084338e254402ddd17f92ba6c729c808/Diego_Rojas_platinium_B.mp4")</f>
        <v>https://api.typeform.com/responses/files/40defc4886c23514b36599ee5eda2c23084338e254402ddd17f92ba6c729c808/Diego_Rojas_platinium_B.mp4</v>
      </c>
      <c r="AD172" t="s">
        <v>118</v>
      </c>
      <c r="AE172" t="s">
        <v>4219</v>
      </c>
      <c r="AF172" t="s">
        <v>2874</v>
      </c>
      <c r="AG172">
        <v>17.0</v>
      </c>
      <c r="AH172" s="4" t="s">
        <v>4220</v>
      </c>
      <c r="AI172" t="s">
        <v>162</v>
      </c>
      <c r="AJ172" t="s">
        <v>4075</v>
      </c>
      <c r="AK172" t="s">
        <v>4221</v>
      </c>
      <c r="AL172" t="s">
        <v>1043</v>
      </c>
      <c r="AM172" t="s">
        <v>4075</v>
      </c>
      <c r="AN172" t="s">
        <v>4075</v>
      </c>
      <c r="AO172" t="s">
        <v>335</v>
      </c>
      <c r="AP172">
        <v>4.0</v>
      </c>
      <c r="AQ172" t="s">
        <v>4222</v>
      </c>
      <c r="AR172" t="s">
        <v>4223</v>
      </c>
      <c r="AS172" t="b">
        <v>1</v>
      </c>
      <c r="AT172" t="b">
        <v>1</v>
      </c>
      <c r="AU172" t="s">
        <v>4075</v>
      </c>
      <c r="AV172">
        <v>5.0</v>
      </c>
      <c r="AW172" t="b">
        <v>0</v>
      </c>
      <c r="AX172" t="s">
        <v>4075</v>
      </c>
      <c r="AY172" t="s">
        <v>4075</v>
      </c>
      <c r="AZ172" t="b">
        <v>0</v>
      </c>
      <c r="BA172" t="b">
        <v>0</v>
      </c>
      <c r="BB172" t="s">
        <v>4075</v>
      </c>
      <c r="BC172" t="s">
        <v>4075</v>
      </c>
      <c r="BD172" t="s">
        <v>4224</v>
      </c>
      <c r="BE172" t="s">
        <v>4075</v>
      </c>
      <c r="BF172" t="s">
        <v>4075</v>
      </c>
      <c r="BG172" t="s">
        <v>4075</v>
      </c>
      <c r="BH172" t="s">
        <v>132</v>
      </c>
      <c r="BI172">
        <v>4.0</v>
      </c>
      <c r="BJ172" s="4" t="s">
        <v>130</v>
      </c>
      <c r="BK172">
        <v>4.0</v>
      </c>
      <c r="BL172">
        <v>6.0</v>
      </c>
      <c r="BM172" t="s">
        <v>4225</v>
      </c>
      <c r="BN172">
        <v>6.0</v>
      </c>
      <c r="BO172">
        <v>7.0</v>
      </c>
      <c r="BP172" t="s">
        <v>4226</v>
      </c>
      <c r="BQ172" t="s">
        <v>1050</v>
      </c>
      <c r="BR172" t="s">
        <v>4227</v>
      </c>
      <c r="BS172" t="s">
        <v>4228</v>
      </c>
      <c r="BT172" t="s">
        <v>4075</v>
      </c>
      <c r="BU172" t="s">
        <v>4206</v>
      </c>
      <c r="BV172" s="3" t="str">
        <f>HYPERLINK("https://api.typeform.com/responses/files/b6a14c274ead41cf4ea0b0c497baf6bd9bbf550a6099f96db3e40a07a4eab968/Diego_Rojas_platinium_B.mp4")</f>
        <v>https://api.typeform.com/responses/files/b6a14c274ead41cf4ea0b0c497baf6bd9bbf550a6099f96db3e40a07a4eab968/Diego_Rojas_platinium_B.mp4</v>
      </c>
      <c r="BW172" t="b">
        <v>1</v>
      </c>
      <c r="BX172" t="s">
        <v>1394</v>
      </c>
      <c r="BY172" t="s">
        <v>140</v>
      </c>
      <c r="BZ172" t="s">
        <v>4075</v>
      </c>
      <c r="CA172" t="s">
        <v>1395</v>
      </c>
      <c r="CB172" t="s">
        <v>4075</v>
      </c>
      <c r="CC172" t="s">
        <v>4075</v>
      </c>
      <c r="CD172">
        <v>0.0</v>
      </c>
      <c r="CE172" t="s">
        <v>4075</v>
      </c>
      <c r="CF172" t="b">
        <v>1</v>
      </c>
      <c r="CG172" t="b">
        <v>1</v>
      </c>
      <c r="CH172" t="s">
        <v>1935</v>
      </c>
      <c r="CI172" t="s">
        <v>4075</v>
      </c>
      <c r="CJ172" t="b">
        <v>1</v>
      </c>
      <c r="CK172" t="b">
        <v>1</v>
      </c>
      <c r="CL172" t="s">
        <v>198</v>
      </c>
      <c r="CM172" t="s">
        <v>198</v>
      </c>
      <c r="CN172" t="s">
        <v>4075</v>
      </c>
      <c r="CO172" t="s">
        <v>4229</v>
      </c>
      <c r="CP172" t="s">
        <v>4075</v>
      </c>
      <c r="CQ172" t="s">
        <v>198</v>
      </c>
      <c r="CR172" t="s">
        <v>4075</v>
      </c>
      <c r="CS172" t="b">
        <v>1</v>
      </c>
      <c r="CT172">
        <v>0.0</v>
      </c>
      <c r="CU172">
        <v>1.0</v>
      </c>
      <c r="CV172" t="s">
        <v>4075</v>
      </c>
      <c r="CW172" t="s">
        <v>4075</v>
      </c>
      <c r="CX172" s="4" t="s">
        <v>4230</v>
      </c>
      <c r="CY172" t="s">
        <v>4075</v>
      </c>
      <c r="CZ172" s="5">
        <v>44475.81172453704</v>
      </c>
      <c r="DA172" t="s">
        <v>4231</v>
      </c>
    </row>
    <row r="173">
      <c r="A173" t="s">
        <v>98</v>
      </c>
      <c r="B173" t="s">
        <v>4075</v>
      </c>
      <c r="C173" t="s">
        <v>4075</v>
      </c>
      <c r="D173" t="s">
        <v>4232</v>
      </c>
      <c r="E173" t="s">
        <v>4233</v>
      </c>
      <c r="F173" s="2">
        <v>44475.0</v>
      </c>
      <c r="G173" t="s">
        <v>1360</v>
      </c>
      <c r="H173" t="s">
        <v>4075</v>
      </c>
      <c r="I173" s="3" t="str">
        <f>HYPERLINK("https://api.typeform.com/responses/files/42d6615a8ea97d59ef971ac7fc8dbdde435d7e126fa97896c4d3c2dd4827f4f4/8005E6AF_CC80_4380_841D_D6873A93EEFD.jpeg")</f>
        <v>https://api.typeform.com/responses/files/42d6615a8ea97d59ef971ac7fc8dbdde435d7e126fa97896c4d3c2dd4827f4f4/8005E6AF_CC80_4380_841D_D6873A93EEFD.jpeg</v>
      </c>
      <c r="J173" t="s">
        <v>4234</v>
      </c>
      <c r="K173" t="b">
        <v>1</v>
      </c>
      <c r="L173" s="4" t="s">
        <v>4235</v>
      </c>
      <c r="M173" t="s">
        <v>4236</v>
      </c>
      <c r="N173" t="s">
        <v>149</v>
      </c>
      <c r="O173" t="s">
        <v>3668</v>
      </c>
      <c r="P173" t="s">
        <v>4237</v>
      </c>
      <c r="Q173" t="s">
        <v>189</v>
      </c>
      <c r="R173" t="s">
        <v>4238</v>
      </c>
      <c r="S173" t="s">
        <v>4239</v>
      </c>
      <c r="T173" s="4" t="s">
        <v>4240</v>
      </c>
      <c r="U173" t="s">
        <v>4232</v>
      </c>
      <c r="V173" t="s">
        <v>4106</v>
      </c>
      <c r="W173" t="s">
        <v>261</v>
      </c>
      <c r="X173" t="s">
        <v>4075</v>
      </c>
      <c r="Y173" t="s">
        <v>158</v>
      </c>
      <c r="Z173" t="s">
        <v>384</v>
      </c>
      <c r="AA173" t="s">
        <v>4075</v>
      </c>
      <c r="AB173" t="s">
        <v>4075</v>
      </c>
      <c r="AC173" s="3" t="str">
        <f>HYPERLINK("https://api.typeform.com/responses/files/25e970ee606f61b6ffadafc651043a3757425cd502e25374a1cee2574d8cef0b/image.jpg")</f>
        <v>https://api.typeform.com/responses/files/25e970ee606f61b6ffadafc651043a3757425cd502e25374a1cee2574d8cef0b/image.jpg</v>
      </c>
      <c r="AD173" t="s">
        <v>118</v>
      </c>
      <c r="AE173" t="s">
        <v>729</v>
      </c>
      <c r="AF173" t="s">
        <v>197</v>
      </c>
      <c r="AG173">
        <v>10.0</v>
      </c>
      <c r="AH173" s="4" t="s">
        <v>520</v>
      </c>
      <c r="AI173" t="s">
        <v>162</v>
      </c>
      <c r="AJ173" t="s">
        <v>4075</v>
      </c>
      <c r="AK173" t="s">
        <v>4241</v>
      </c>
      <c r="AL173" t="s">
        <v>967</v>
      </c>
      <c r="AM173" t="s">
        <v>4075</v>
      </c>
      <c r="AN173" t="s">
        <v>4075</v>
      </c>
      <c r="AO173" t="s">
        <v>335</v>
      </c>
      <c r="AP173">
        <v>4.0</v>
      </c>
      <c r="AQ173" t="s">
        <v>1520</v>
      </c>
      <c r="AR173" t="s">
        <v>4242</v>
      </c>
      <c r="AS173" t="b">
        <v>1</v>
      </c>
      <c r="AT173" t="b">
        <v>0</v>
      </c>
      <c r="AU173" t="s">
        <v>4075</v>
      </c>
      <c r="AV173">
        <v>6.0</v>
      </c>
      <c r="AW173" t="b">
        <v>0</v>
      </c>
      <c r="AX173" t="s">
        <v>4075</v>
      </c>
      <c r="AY173" t="s">
        <v>4075</v>
      </c>
      <c r="AZ173" t="b">
        <v>0</v>
      </c>
      <c r="BA173" t="b">
        <v>0</v>
      </c>
      <c r="BB173" t="s">
        <v>4075</v>
      </c>
      <c r="BC173" t="s">
        <v>4075</v>
      </c>
      <c r="BD173" t="s">
        <v>4243</v>
      </c>
      <c r="BE173" t="s">
        <v>4075</v>
      </c>
      <c r="BF173" t="s">
        <v>4075</v>
      </c>
      <c r="BG173" t="s">
        <v>4075</v>
      </c>
      <c r="BH173" t="s">
        <v>132</v>
      </c>
      <c r="BI173">
        <v>5.0</v>
      </c>
      <c r="BJ173" t="s">
        <v>4244</v>
      </c>
      <c r="BK173">
        <v>4.0</v>
      </c>
      <c r="BL173">
        <v>5.0</v>
      </c>
      <c r="BM173" t="s">
        <v>4245</v>
      </c>
      <c r="BN173">
        <v>4.0</v>
      </c>
      <c r="BO173">
        <v>5.0</v>
      </c>
      <c r="BP173" t="s">
        <v>4246</v>
      </c>
      <c r="BQ173" t="s">
        <v>4247</v>
      </c>
      <c r="BR173" t="s">
        <v>4248</v>
      </c>
      <c r="BS173" t="s">
        <v>4249</v>
      </c>
      <c r="BT173" t="s">
        <v>4075</v>
      </c>
      <c r="BU173" t="s">
        <v>3668</v>
      </c>
      <c r="BV173" s="3" t="str">
        <f>HYPERLINK("https://api.typeform.com/responses/files/7afec828feaf4a3565230fd8ee23e075c8190453b0cc16ae20cc739f612601a0/image.jpg")</f>
        <v>https://api.typeform.com/responses/files/7afec828feaf4a3565230fd8ee23e075c8190453b0cc16ae20cc739f612601a0/image.jpg</v>
      </c>
      <c r="BW173" t="b">
        <v>1</v>
      </c>
      <c r="BX173" t="s">
        <v>1394</v>
      </c>
      <c r="BY173" t="s">
        <v>140</v>
      </c>
      <c r="BZ173" t="s">
        <v>4075</v>
      </c>
      <c r="CA173" t="s">
        <v>1395</v>
      </c>
      <c r="CB173" t="s">
        <v>4075</v>
      </c>
      <c r="CC173" t="s">
        <v>4075</v>
      </c>
      <c r="CD173">
        <v>0.0</v>
      </c>
      <c r="CE173" t="s">
        <v>4075</v>
      </c>
      <c r="CF173" t="b">
        <v>1</v>
      </c>
      <c r="CG173" t="b">
        <v>1</v>
      </c>
      <c r="CH173" t="s">
        <v>1420</v>
      </c>
      <c r="CI173" t="s">
        <v>4075</v>
      </c>
      <c r="CJ173" t="b">
        <v>1</v>
      </c>
      <c r="CK173" t="b">
        <v>1</v>
      </c>
      <c r="CL173" t="s">
        <v>198</v>
      </c>
      <c r="CM173" t="s">
        <v>4075</v>
      </c>
      <c r="CN173" t="s">
        <v>4075</v>
      </c>
      <c r="CO173" t="s">
        <v>164</v>
      </c>
      <c r="CP173" t="s">
        <v>4075</v>
      </c>
      <c r="CQ173" t="s">
        <v>198</v>
      </c>
      <c r="CR173" t="b">
        <v>1</v>
      </c>
      <c r="CS173" t="s">
        <v>4075</v>
      </c>
      <c r="CT173">
        <v>1.0</v>
      </c>
      <c r="CU173">
        <v>0.0</v>
      </c>
      <c r="CV173" t="s">
        <v>4075</v>
      </c>
      <c r="CW173" t="s">
        <v>4075</v>
      </c>
      <c r="CX173" s="4" t="s">
        <v>1610</v>
      </c>
      <c r="CY173" t="s">
        <v>4075</v>
      </c>
      <c r="CZ173" s="5">
        <v>44475.813680555555</v>
      </c>
      <c r="DA173" t="s">
        <v>4250</v>
      </c>
    </row>
    <row r="174">
      <c r="A174" t="s">
        <v>98</v>
      </c>
      <c r="B174" t="s">
        <v>4075</v>
      </c>
      <c r="C174" t="s">
        <v>4075</v>
      </c>
      <c r="D174" t="s">
        <v>4251</v>
      </c>
      <c r="E174" t="s">
        <v>1866</v>
      </c>
      <c r="F174" s="2">
        <v>38053.0</v>
      </c>
      <c r="G174" t="s">
        <v>1360</v>
      </c>
      <c r="H174" t="s">
        <v>4075</v>
      </c>
      <c r="I174" s="3" t="str">
        <f>HYPERLINK("https://api.typeform.com/responses/files/bf1ff59dbcc2862297f2b5a90fb9d26984bd17f129ffe5f1a7e1a566cdcb4cc9/image.jpg")</f>
        <v>https://api.typeform.com/responses/files/bf1ff59dbcc2862297f2b5a90fb9d26984bd17f129ffe5f1a7e1a566cdcb4cc9/image.jpg</v>
      </c>
      <c r="J174" t="s">
        <v>4252</v>
      </c>
      <c r="K174" t="b">
        <v>1</v>
      </c>
      <c r="L174" s="4" t="s">
        <v>4253</v>
      </c>
      <c r="M174" t="s">
        <v>4254</v>
      </c>
      <c r="N174" t="s">
        <v>105</v>
      </c>
      <c r="O174" t="s">
        <v>4255</v>
      </c>
      <c r="P174" t="s">
        <v>4256</v>
      </c>
      <c r="Q174" t="s">
        <v>189</v>
      </c>
      <c r="R174" t="s">
        <v>4257</v>
      </c>
      <c r="S174" t="s">
        <v>4258</v>
      </c>
      <c r="T174" s="4" t="s">
        <v>4259</v>
      </c>
      <c r="U174" t="s">
        <v>1039</v>
      </c>
      <c r="V174" t="s">
        <v>4260</v>
      </c>
      <c r="W174" t="s">
        <v>261</v>
      </c>
      <c r="X174" t="s">
        <v>4075</v>
      </c>
      <c r="Y174" t="s">
        <v>158</v>
      </c>
      <c r="Z174" t="s">
        <v>159</v>
      </c>
      <c r="AA174" t="s">
        <v>4075</v>
      </c>
      <c r="AB174" t="s">
        <v>4075</v>
      </c>
      <c r="AC174" s="3" t="str">
        <f>HYPERLINK("https://api.typeform.com/responses/files/1f3ef4edb8c3fc773da6ce424da8985a6904db3bc04a5c0db467e30475141533/DB7CE7DF_782B_4D80_8C52_894C6FC6FAAD.jpeg")</f>
        <v>https://api.typeform.com/responses/files/1f3ef4edb8c3fc773da6ce424da8985a6904db3bc04a5c0db467e30475141533/DB7CE7DF_782B_4D80_8C52_894C6FC6FAAD.jpeg</v>
      </c>
      <c r="AD174" t="s">
        <v>118</v>
      </c>
      <c r="AE174" t="s">
        <v>1220</v>
      </c>
      <c r="AF174" t="s">
        <v>4261</v>
      </c>
      <c r="AG174">
        <v>12.0</v>
      </c>
      <c r="AH174" s="4" t="s">
        <v>4262</v>
      </c>
      <c r="AI174" t="s">
        <v>121</v>
      </c>
      <c r="AJ174" t="s">
        <v>4075</v>
      </c>
      <c r="AK174" t="s">
        <v>4263</v>
      </c>
      <c r="AL174" t="s">
        <v>1925</v>
      </c>
      <c r="AM174" t="s">
        <v>4075</v>
      </c>
      <c r="AN174" t="s">
        <v>4075</v>
      </c>
      <c r="AO174" t="s">
        <v>125</v>
      </c>
      <c r="AP174">
        <v>6.0</v>
      </c>
      <c r="AQ174" t="s">
        <v>201</v>
      </c>
      <c r="AR174" t="s">
        <v>4264</v>
      </c>
      <c r="AS174" t="b">
        <v>1</v>
      </c>
      <c r="AT174" t="b">
        <v>0</v>
      </c>
      <c r="AU174" t="s">
        <v>4075</v>
      </c>
      <c r="AV174">
        <v>7.0</v>
      </c>
      <c r="AW174" t="b">
        <v>0</v>
      </c>
      <c r="AX174" t="s">
        <v>4075</v>
      </c>
      <c r="AY174" t="s">
        <v>4075</v>
      </c>
      <c r="AZ174" t="b">
        <v>0</v>
      </c>
      <c r="BA174" t="b">
        <v>0</v>
      </c>
      <c r="BB174" t="s">
        <v>4075</v>
      </c>
      <c r="BC174" t="s">
        <v>4075</v>
      </c>
      <c r="BD174" t="s">
        <v>4265</v>
      </c>
      <c r="BE174" t="s">
        <v>4075</v>
      </c>
      <c r="BF174" t="s">
        <v>4075</v>
      </c>
      <c r="BG174" t="s">
        <v>4075</v>
      </c>
      <c r="BH174" t="s">
        <v>132</v>
      </c>
      <c r="BI174">
        <v>6.0</v>
      </c>
      <c r="BJ174" t="s">
        <v>4266</v>
      </c>
      <c r="BK174">
        <v>7.0</v>
      </c>
      <c r="BL174">
        <v>7.0</v>
      </c>
      <c r="BM174" t="s">
        <v>4267</v>
      </c>
      <c r="BN174">
        <v>7.0</v>
      </c>
      <c r="BO174">
        <v>7.0</v>
      </c>
      <c r="BP174" t="s">
        <v>4268</v>
      </c>
      <c r="BQ174" t="s">
        <v>4269</v>
      </c>
      <c r="BR174" t="s">
        <v>4270</v>
      </c>
      <c r="BS174" t="s">
        <v>4271</v>
      </c>
      <c r="BT174" t="s">
        <v>4075</v>
      </c>
      <c r="BU174" t="s">
        <v>179</v>
      </c>
      <c r="BV174" s="3" t="str">
        <f>HYPERLINK("https://api.typeform.com/responses/files/a7cd657b5d433fc54c5475dc1dad0c93e147bd770b592480874ac245903a170d/3B6E79F8_C626_4251_8CB0_4BB89271AB78.jpeg")</f>
        <v>https://api.typeform.com/responses/files/a7cd657b5d433fc54c5475dc1dad0c93e147bd770b592480874ac245903a170d/3B6E79F8_C626_4251_8CB0_4BB89271AB78.jpeg</v>
      </c>
      <c r="BW174" t="b">
        <v>1</v>
      </c>
      <c r="BX174" t="s">
        <v>1394</v>
      </c>
      <c r="BY174" t="s">
        <v>140</v>
      </c>
      <c r="BZ174" t="s">
        <v>4075</v>
      </c>
      <c r="CA174" t="s">
        <v>1395</v>
      </c>
      <c r="CB174" t="s">
        <v>4075</v>
      </c>
      <c r="CC174" t="s">
        <v>4075</v>
      </c>
      <c r="CD174">
        <v>0.0</v>
      </c>
      <c r="CE174" t="s">
        <v>4075</v>
      </c>
      <c r="CF174" t="b">
        <v>1</v>
      </c>
      <c r="CG174" t="b">
        <v>1</v>
      </c>
      <c r="CH174" t="s">
        <v>168</v>
      </c>
      <c r="CI174" t="s">
        <v>4075</v>
      </c>
      <c r="CJ174" t="b">
        <v>1</v>
      </c>
      <c r="CK174" t="b">
        <v>1</v>
      </c>
      <c r="CL174" t="s">
        <v>198</v>
      </c>
      <c r="CM174" t="s">
        <v>198</v>
      </c>
      <c r="CN174" t="s">
        <v>4075</v>
      </c>
      <c r="CO174" t="s">
        <v>1688</v>
      </c>
      <c r="CP174" t="s">
        <v>4075</v>
      </c>
      <c r="CQ174" t="s">
        <v>198</v>
      </c>
      <c r="CR174" t="b">
        <v>1</v>
      </c>
      <c r="CS174" t="s">
        <v>4075</v>
      </c>
      <c r="CT174">
        <v>1.0</v>
      </c>
      <c r="CU174">
        <v>2.0</v>
      </c>
      <c r="CV174" t="s">
        <v>4075</v>
      </c>
      <c r="CW174" t="s">
        <v>4075</v>
      </c>
      <c r="CX174" s="4" t="s">
        <v>2914</v>
      </c>
      <c r="CY174" t="s">
        <v>4075</v>
      </c>
      <c r="CZ174" s="5">
        <v>44475.81392361111</v>
      </c>
      <c r="DA174" t="s">
        <v>4272</v>
      </c>
    </row>
    <row r="175">
      <c r="A175" t="s">
        <v>98</v>
      </c>
      <c r="B175" t="s">
        <v>4075</v>
      </c>
      <c r="C175" t="s">
        <v>4075</v>
      </c>
      <c r="D175" t="s">
        <v>4273</v>
      </c>
      <c r="E175" t="s">
        <v>4274</v>
      </c>
      <c r="F175" s="2">
        <v>39497.0</v>
      </c>
      <c r="G175" t="s">
        <v>1360</v>
      </c>
      <c r="H175" t="s">
        <v>4075</v>
      </c>
      <c r="I175" s="3" t="str">
        <f>HYPERLINK("https://api.typeform.com/responses/files/bf2cebd215cda385fb3b2a5ac63688858077b842780e9d27e1ad9cebdd1ab0d2/image.jpg")</f>
        <v>https://api.typeform.com/responses/files/bf2cebd215cda385fb3b2a5ac63688858077b842780e9d27e1ad9cebdd1ab0d2/image.jpg</v>
      </c>
      <c r="J175" t="s">
        <v>4275</v>
      </c>
      <c r="K175" t="b">
        <v>1</v>
      </c>
      <c r="L175" s="4" t="s">
        <v>4276</v>
      </c>
      <c r="M175" s="4" t="s">
        <v>4277</v>
      </c>
      <c r="N175" t="s">
        <v>255</v>
      </c>
      <c r="O175" t="s">
        <v>4278</v>
      </c>
      <c r="P175" t="s">
        <v>4279</v>
      </c>
      <c r="Q175" t="s">
        <v>189</v>
      </c>
      <c r="R175" t="s">
        <v>4280</v>
      </c>
      <c r="S175" t="s">
        <v>4281</v>
      </c>
      <c r="T175" s="4" t="s">
        <v>4282</v>
      </c>
      <c r="U175" t="s">
        <v>1039</v>
      </c>
      <c r="V175" t="s">
        <v>4283</v>
      </c>
      <c r="W175" t="s">
        <v>113</v>
      </c>
      <c r="X175" t="s">
        <v>4075</v>
      </c>
      <c r="Y175" t="s">
        <v>158</v>
      </c>
      <c r="Z175" t="s">
        <v>384</v>
      </c>
      <c r="AA175" t="s">
        <v>4075</v>
      </c>
      <c r="AB175" t="s">
        <v>4075</v>
      </c>
      <c r="AC175" s="3" t="str">
        <f>HYPERLINK("https://api.typeform.com/responses/files/2144f47385720f8930b5d69882b4258ad646217b1262514ae991127a648989e4/8912EDA1_F05E_43BF_94A1_FF8AC0E8A39B.jpeg")</f>
        <v>https://api.typeform.com/responses/files/2144f47385720f8930b5d69882b4258ad646217b1262514ae991127a648989e4/8912EDA1_F05E_43BF_94A1_FF8AC0E8A39B.jpeg</v>
      </c>
      <c r="AD175" t="s">
        <v>118</v>
      </c>
      <c r="AE175" t="s">
        <v>729</v>
      </c>
      <c r="AF175" t="s">
        <v>197</v>
      </c>
      <c r="AG175">
        <v>11.0</v>
      </c>
      <c r="AH175" t="s">
        <v>3275</v>
      </c>
      <c r="AI175" t="s">
        <v>162</v>
      </c>
      <c r="AJ175" t="s">
        <v>4075</v>
      </c>
      <c r="AK175" t="s">
        <v>179</v>
      </c>
      <c r="AL175" t="s">
        <v>4284</v>
      </c>
      <c r="AM175" t="s">
        <v>4075</v>
      </c>
      <c r="AN175" t="s">
        <v>4075</v>
      </c>
      <c r="AO175" t="s">
        <v>335</v>
      </c>
      <c r="AP175">
        <v>7.0</v>
      </c>
      <c r="AQ175" t="s">
        <v>461</v>
      </c>
      <c r="AR175" t="s">
        <v>4285</v>
      </c>
      <c r="AS175" t="b">
        <v>1</v>
      </c>
      <c r="AT175" t="b">
        <v>0</v>
      </c>
      <c r="AU175" t="s">
        <v>4075</v>
      </c>
      <c r="AV175">
        <v>5.0</v>
      </c>
      <c r="AW175" t="b">
        <v>0</v>
      </c>
      <c r="AX175" t="s">
        <v>4075</v>
      </c>
      <c r="AY175" t="s">
        <v>4075</v>
      </c>
      <c r="AZ175" t="b">
        <v>0</v>
      </c>
      <c r="BA175" t="b">
        <v>0</v>
      </c>
      <c r="BB175" t="s">
        <v>4075</v>
      </c>
      <c r="BC175" t="s">
        <v>4075</v>
      </c>
      <c r="BD175" t="s">
        <v>4286</v>
      </c>
      <c r="BE175" t="s">
        <v>4075</v>
      </c>
      <c r="BF175" t="s">
        <v>4075</v>
      </c>
      <c r="BG175" t="s">
        <v>4075</v>
      </c>
      <c r="BH175" t="s">
        <v>132</v>
      </c>
      <c r="BI175">
        <v>3.0</v>
      </c>
      <c r="BJ175" t="s">
        <v>4287</v>
      </c>
      <c r="BK175">
        <v>2.0</v>
      </c>
      <c r="BL175">
        <v>3.0</v>
      </c>
      <c r="BM175" t="s">
        <v>4288</v>
      </c>
      <c r="BN175">
        <v>3.0</v>
      </c>
      <c r="BO175">
        <v>2.0</v>
      </c>
      <c r="BP175" t="s">
        <v>4289</v>
      </c>
      <c r="BQ175" t="s">
        <v>4247</v>
      </c>
      <c r="BR175" t="s">
        <v>4290</v>
      </c>
      <c r="BS175" t="s">
        <v>575</v>
      </c>
      <c r="BT175" t="s">
        <v>4075</v>
      </c>
      <c r="BU175" t="s">
        <v>4291</v>
      </c>
      <c r="BV175" s="3" t="str">
        <f>HYPERLINK("https://api.typeform.com/responses/files/53373879904c53391a046e945b056ad1e19ddfec3a3d9612903089550bd6fbe0/F7D50C5A_5BAA_49BB_986C_E0F9CC59E2E8.jpeg")</f>
        <v>https://api.typeform.com/responses/files/53373879904c53391a046e945b056ad1e19ddfec3a3d9612903089550bd6fbe0/F7D50C5A_5BAA_49BB_986C_E0F9CC59E2E8.jpeg</v>
      </c>
      <c r="BW175" t="b">
        <v>1</v>
      </c>
      <c r="BX175" t="s">
        <v>1394</v>
      </c>
      <c r="BY175" t="s">
        <v>140</v>
      </c>
      <c r="BZ175" t="s">
        <v>4075</v>
      </c>
      <c r="CA175" t="s">
        <v>1395</v>
      </c>
      <c r="CB175" t="s">
        <v>4075</v>
      </c>
      <c r="CC175" t="s">
        <v>4075</v>
      </c>
      <c r="CD175">
        <v>0.0</v>
      </c>
      <c r="CE175" t="s">
        <v>4075</v>
      </c>
      <c r="CF175" t="b">
        <v>1</v>
      </c>
      <c r="CG175" t="b">
        <v>1</v>
      </c>
      <c r="CH175" t="s">
        <v>4292</v>
      </c>
      <c r="CI175" t="s">
        <v>4075</v>
      </c>
      <c r="CJ175" t="b">
        <v>1</v>
      </c>
      <c r="CK175" t="b">
        <v>1</v>
      </c>
      <c r="CL175" t="s">
        <v>198</v>
      </c>
      <c r="CM175" t="s">
        <v>198</v>
      </c>
      <c r="CN175" t="s">
        <v>4075</v>
      </c>
      <c r="CO175" t="s">
        <v>200</v>
      </c>
      <c r="CP175" t="s">
        <v>4075</v>
      </c>
      <c r="CQ175" t="s">
        <v>198</v>
      </c>
      <c r="CR175" t="b">
        <v>1</v>
      </c>
      <c r="CS175" t="s">
        <v>4075</v>
      </c>
      <c r="CT175">
        <v>0.0</v>
      </c>
      <c r="CU175">
        <v>2.0</v>
      </c>
      <c r="CV175" t="s">
        <v>4075</v>
      </c>
      <c r="CW175" t="s">
        <v>4075</v>
      </c>
      <c r="CX175" s="4" t="s">
        <v>2914</v>
      </c>
      <c r="CY175" t="s">
        <v>4075</v>
      </c>
      <c r="CZ175" s="5">
        <v>44475.82103009259</v>
      </c>
      <c r="DA175" t="s">
        <v>4293</v>
      </c>
    </row>
    <row r="176">
      <c r="A176" t="s">
        <v>98</v>
      </c>
      <c r="B176" t="s">
        <v>4075</v>
      </c>
      <c r="C176" t="s">
        <v>4075</v>
      </c>
      <c r="D176" t="s">
        <v>4294</v>
      </c>
      <c r="E176" t="s">
        <v>4295</v>
      </c>
      <c r="F176" s="2">
        <v>39341.0</v>
      </c>
      <c r="G176" t="s">
        <v>1466</v>
      </c>
      <c r="H176" t="s">
        <v>4075</v>
      </c>
      <c r="I176" s="3" t="str">
        <f>HYPERLINK("https://api.typeform.com/responses/files/cbfd60eff77c220c1ea3c8339cf7a2869c8bffcc2225ceffdffb599577e00a55/sebastian_.jpeg")</f>
        <v>https://api.typeform.com/responses/files/cbfd60eff77c220c1ea3c8339cf7a2869c8bffcc2225ceffdffb599577e00a55/sebastian_.jpeg</v>
      </c>
      <c r="J176" t="s">
        <v>4296</v>
      </c>
      <c r="K176" t="b">
        <v>1</v>
      </c>
      <c r="L176" s="4" t="s">
        <v>4297</v>
      </c>
      <c r="M176" t="s">
        <v>4298</v>
      </c>
      <c r="N176" t="s">
        <v>354</v>
      </c>
      <c r="O176" t="s">
        <v>4299</v>
      </c>
      <c r="P176" t="s">
        <v>4300</v>
      </c>
      <c r="Q176" t="s">
        <v>189</v>
      </c>
      <c r="R176" t="s">
        <v>4301</v>
      </c>
      <c r="S176" t="s">
        <v>4298</v>
      </c>
      <c r="T176" s="4" t="s">
        <v>4302</v>
      </c>
      <c r="U176" t="s">
        <v>933</v>
      </c>
      <c r="V176" t="s">
        <v>4303</v>
      </c>
      <c r="W176" t="s">
        <v>113</v>
      </c>
      <c r="X176" t="s">
        <v>4075</v>
      </c>
      <c r="Y176" t="s">
        <v>158</v>
      </c>
      <c r="Z176" t="s">
        <v>384</v>
      </c>
      <c r="AA176" t="s">
        <v>4075</v>
      </c>
      <c r="AB176" t="s">
        <v>4075</v>
      </c>
      <c r="AC176" s="3" t="str">
        <f>HYPERLINK("https://api.typeform.com/responses/files/0b710cd0991103aac338b6085f725a97daaab35cec379b540e076c05e8b07ac4/IMG_2992.JPG")</f>
        <v>https://api.typeform.com/responses/files/0b710cd0991103aac338b6085f725a97daaab35cec379b540e076c05e8b07ac4/IMG_2992.JPG</v>
      </c>
      <c r="AD176" t="s">
        <v>118</v>
      </c>
      <c r="AE176" t="s">
        <v>729</v>
      </c>
      <c r="AF176" t="s">
        <v>197</v>
      </c>
      <c r="AG176">
        <v>13.0</v>
      </c>
      <c r="AH176" t="s">
        <v>4304</v>
      </c>
      <c r="AI176" t="s">
        <v>162</v>
      </c>
      <c r="AJ176" t="s">
        <v>4075</v>
      </c>
      <c r="AK176" t="s">
        <v>4241</v>
      </c>
      <c r="AL176" t="s">
        <v>199</v>
      </c>
      <c r="AM176" t="s">
        <v>4075</v>
      </c>
      <c r="AN176" t="s">
        <v>4075</v>
      </c>
      <c r="AO176" t="s">
        <v>335</v>
      </c>
      <c r="AP176">
        <v>4.0</v>
      </c>
      <c r="AQ176" t="s">
        <v>1070</v>
      </c>
      <c r="AR176" t="s">
        <v>4305</v>
      </c>
      <c r="AS176" t="b">
        <v>0</v>
      </c>
      <c r="AT176" t="s">
        <v>4075</v>
      </c>
      <c r="AU176" t="s">
        <v>4075</v>
      </c>
      <c r="AV176">
        <v>7.0</v>
      </c>
      <c r="AW176" t="b">
        <v>0</v>
      </c>
      <c r="AX176" t="s">
        <v>4075</v>
      </c>
      <c r="AY176" t="s">
        <v>4075</v>
      </c>
      <c r="AZ176" t="b">
        <v>0</v>
      </c>
      <c r="BA176" t="b">
        <v>0</v>
      </c>
      <c r="BB176" t="s">
        <v>4075</v>
      </c>
      <c r="BC176" t="s">
        <v>4075</v>
      </c>
      <c r="BD176" t="s">
        <v>4306</v>
      </c>
      <c r="BE176" t="s">
        <v>4075</v>
      </c>
      <c r="BF176" t="s">
        <v>4075</v>
      </c>
      <c r="BG176" t="s">
        <v>4075</v>
      </c>
      <c r="BH176" t="s">
        <v>132</v>
      </c>
      <c r="BI176">
        <v>4.0</v>
      </c>
      <c r="BJ176" t="s">
        <v>4307</v>
      </c>
      <c r="BK176">
        <v>6.0</v>
      </c>
      <c r="BL176">
        <v>5.0</v>
      </c>
      <c r="BM176" t="s">
        <v>1829</v>
      </c>
      <c r="BN176">
        <v>6.0</v>
      </c>
      <c r="BO176">
        <v>6.0</v>
      </c>
      <c r="BP176" t="s">
        <v>4308</v>
      </c>
      <c r="BQ176" t="s">
        <v>1258</v>
      </c>
      <c r="BR176" t="s">
        <v>4309</v>
      </c>
      <c r="BS176" t="s">
        <v>4310</v>
      </c>
      <c r="BT176" t="s">
        <v>4075</v>
      </c>
      <c r="BU176" t="s">
        <v>139</v>
      </c>
      <c r="BV176" s="3" t="str">
        <f>HYPERLINK("https://api.typeform.com/responses/files/46e0a4caa7013e0c2ac54cd70b32abe1f03f0a280eb47294403ceb5a4099cb9f/SPEAKHIRE_Parent.Guardian_Consent_Form.pdf")</f>
        <v>https://api.typeform.com/responses/files/46e0a4caa7013e0c2ac54cd70b32abe1f03f0a280eb47294403ceb5a4099cb9f/SPEAKHIRE_Parent.Guardian_Consent_Form.pdf</v>
      </c>
      <c r="BW176" t="b">
        <v>1</v>
      </c>
      <c r="BX176" t="s">
        <v>1394</v>
      </c>
      <c r="BY176" t="s">
        <v>140</v>
      </c>
      <c r="BZ176" t="s">
        <v>4075</v>
      </c>
      <c r="CA176" t="s">
        <v>1395</v>
      </c>
      <c r="CB176" t="s">
        <v>4075</v>
      </c>
      <c r="CC176" t="s">
        <v>4075</v>
      </c>
      <c r="CD176">
        <v>0.0</v>
      </c>
      <c r="CE176" t="s">
        <v>4075</v>
      </c>
      <c r="CF176" t="b">
        <v>1</v>
      </c>
      <c r="CG176" t="b">
        <v>0</v>
      </c>
      <c r="CH176" t="s">
        <v>4188</v>
      </c>
      <c r="CI176" t="s">
        <v>4075</v>
      </c>
      <c r="CJ176" t="b">
        <v>1</v>
      </c>
      <c r="CK176" t="b">
        <v>0</v>
      </c>
      <c r="CL176" t="s">
        <v>198</v>
      </c>
      <c r="CM176" t="s">
        <v>198</v>
      </c>
      <c r="CN176" t="s">
        <v>4075</v>
      </c>
      <c r="CO176" t="s">
        <v>309</v>
      </c>
      <c r="CP176" t="s">
        <v>4075</v>
      </c>
      <c r="CQ176" t="s">
        <v>198</v>
      </c>
      <c r="CR176" t="b">
        <v>1</v>
      </c>
      <c r="CS176" t="s">
        <v>4075</v>
      </c>
      <c r="CT176">
        <v>1.0</v>
      </c>
      <c r="CU176">
        <v>8.0</v>
      </c>
      <c r="CV176" t="s">
        <v>4075</v>
      </c>
      <c r="CW176" t="s">
        <v>4075</v>
      </c>
      <c r="CX176" s="4" t="s">
        <v>2914</v>
      </c>
      <c r="CY176" t="s">
        <v>4075</v>
      </c>
      <c r="CZ176" s="5">
        <v>44475.822534722225</v>
      </c>
      <c r="DA176" t="s">
        <v>4311</v>
      </c>
    </row>
    <row r="177">
      <c r="A177" t="s">
        <v>98</v>
      </c>
      <c r="B177" t="s">
        <v>4075</v>
      </c>
      <c r="C177" t="s">
        <v>4075</v>
      </c>
      <c r="D177" t="s">
        <v>4312</v>
      </c>
      <c r="E177" t="s">
        <v>4274</v>
      </c>
      <c r="F177" s="2">
        <v>38959.0</v>
      </c>
      <c r="G177" t="s">
        <v>1466</v>
      </c>
      <c r="H177" t="s">
        <v>4075</v>
      </c>
      <c r="I177" s="3" t="str">
        <f>HYPERLINK("https://api.typeform.com/responses/files/3a040ae877d402e46f2f804f2406f6395dfb4d10969147674d08ed0f05d5c8c6/Photo_Booth_Library.zip")</f>
        <v>https://api.typeform.com/responses/files/3a040ae877d402e46f2f804f2406f6395dfb4d10969147674d08ed0f05d5c8c6/Photo_Booth_Library.zip</v>
      </c>
      <c r="J177" t="s">
        <v>4313</v>
      </c>
      <c r="K177" t="b">
        <v>1</v>
      </c>
      <c r="L177" s="4" t="s">
        <v>4282</v>
      </c>
      <c r="M177" t="s">
        <v>4314</v>
      </c>
      <c r="N177" t="s">
        <v>354</v>
      </c>
      <c r="O177" t="s">
        <v>4315</v>
      </c>
      <c r="P177" t="s">
        <v>4316</v>
      </c>
      <c r="Q177" t="s">
        <v>189</v>
      </c>
      <c r="R177" t="s">
        <v>4313</v>
      </c>
      <c r="S177" s="4" t="s">
        <v>4277</v>
      </c>
      <c r="T177" s="4" t="s">
        <v>4282</v>
      </c>
      <c r="U177" t="s">
        <v>4317</v>
      </c>
      <c r="V177" t="s">
        <v>4283</v>
      </c>
      <c r="W177" t="s">
        <v>113</v>
      </c>
      <c r="X177" t="s">
        <v>4075</v>
      </c>
      <c r="Y177" t="s">
        <v>158</v>
      </c>
      <c r="Z177" t="s">
        <v>195</v>
      </c>
      <c r="AA177" t="s">
        <v>4075</v>
      </c>
      <c r="AB177" t="s">
        <v>4075</v>
      </c>
      <c r="AC177" s="3" t="str">
        <f>HYPERLINK("https://api.typeform.com/responses/files/69985ba17eee8475e9419073ee4e1f6ee3979ee1b8da344ad5180f1920ea9dcd/llegar.jpeg")</f>
        <v>https://api.typeform.com/responses/files/69985ba17eee8475e9419073ee4e1f6ee3979ee1b8da344ad5180f1920ea9dcd/llegar.jpeg</v>
      </c>
      <c r="AD177" t="s">
        <v>118</v>
      </c>
      <c r="AE177" t="s">
        <v>1780</v>
      </c>
      <c r="AF177" t="s">
        <v>4075</v>
      </c>
      <c r="AG177" t="s">
        <v>4075</v>
      </c>
      <c r="AH177" t="s">
        <v>4075</v>
      </c>
      <c r="AI177" t="s">
        <v>162</v>
      </c>
      <c r="AJ177" t="s">
        <v>4075</v>
      </c>
      <c r="AK177" t="s">
        <v>139</v>
      </c>
      <c r="AL177" t="s">
        <v>4318</v>
      </c>
      <c r="AM177" t="s">
        <v>4075</v>
      </c>
      <c r="AN177" t="s">
        <v>4075</v>
      </c>
      <c r="AO177" t="s">
        <v>486</v>
      </c>
      <c r="AP177">
        <v>7.0</v>
      </c>
      <c r="AQ177" t="s">
        <v>1520</v>
      </c>
      <c r="AR177" t="s">
        <v>4319</v>
      </c>
      <c r="AS177" t="b">
        <v>1</v>
      </c>
      <c r="AT177" t="b">
        <v>0</v>
      </c>
      <c r="AU177" t="s">
        <v>4075</v>
      </c>
      <c r="AV177">
        <v>7.0</v>
      </c>
      <c r="AW177" t="b">
        <v>0</v>
      </c>
      <c r="AX177" t="s">
        <v>4075</v>
      </c>
      <c r="AY177" t="s">
        <v>4075</v>
      </c>
      <c r="AZ177" t="b">
        <v>0</v>
      </c>
      <c r="BA177" t="b">
        <v>0</v>
      </c>
      <c r="BB177" t="s">
        <v>4075</v>
      </c>
      <c r="BC177" t="s">
        <v>4075</v>
      </c>
      <c r="BD177" t="s">
        <v>4319</v>
      </c>
      <c r="BE177" t="s">
        <v>4075</v>
      </c>
      <c r="BF177" t="s">
        <v>4075</v>
      </c>
      <c r="BG177" t="s">
        <v>4075</v>
      </c>
      <c r="BH177" t="s">
        <v>132</v>
      </c>
      <c r="BI177">
        <v>4.0</v>
      </c>
      <c r="BJ177" t="s">
        <v>3630</v>
      </c>
      <c r="BK177">
        <v>5.0</v>
      </c>
      <c r="BL177">
        <v>4.0</v>
      </c>
      <c r="BM177" t="s">
        <v>4320</v>
      </c>
      <c r="BN177">
        <v>4.0</v>
      </c>
      <c r="BO177">
        <v>7.0</v>
      </c>
      <c r="BP177" t="s">
        <v>4321</v>
      </c>
      <c r="BQ177" t="s">
        <v>916</v>
      </c>
      <c r="BR177" t="s">
        <v>4322</v>
      </c>
      <c r="BS177" t="s">
        <v>4323</v>
      </c>
      <c r="BT177" t="s">
        <v>4075</v>
      </c>
      <c r="BU177" t="s">
        <v>139</v>
      </c>
      <c r="BV177" s="3" t="str">
        <f>HYPERLINK("https://api.typeform.com/responses/files/73184863401fdb514a2c44aea4a3ee4528f324aabf4654328b8168c717b7d400/SPEAKHIRE_Parent.Guardian_Consent_Form.pdf")</f>
        <v>https://api.typeform.com/responses/files/73184863401fdb514a2c44aea4a3ee4528f324aabf4654328b8168c717b7d400/SPEAKHIRE_Parent.Guardian_Consent_Form.pdf</v>
      </c>
      <c r="BW177" t="b">
        <v>1</v>
      </c>
      <c r="BX177" t="s">
        <v>1394</v>
      </c>
      <c r="BY177" t="s">
        <v>140</v>
      </c>
      <c r="BZ177" t="s">
        <v>4075</v>
      </c>
      <c r="CA177" t="s">
        <v>1395</v>
      </c>
      <c r="CB177" t="s">
        <v>4075</v>
      </c>
      <c r="CC177" t="s">
        <v>4075</v>
      </c>
      <c r="CD177">
        <v>0.0</v>
      </c>
      <c r="CE177" t="s">
        <v>4075</v>
      </c>
      <c r="CF177" t="b">
        <v>1</v>
      </c>
      <c r="CG177" t="b">
        <v>1</v>
      </c>
      <c r="CH177" t="s">
        <v>4188</v>
      </c>
      <c r="CI177" t="s">
        <v>4075</v>
      </c>
      <c r="CJ177" t="b">
        <v>1</v>
      </c>
      <c r="CK177" t="b">
        <v>1</v>
      </c>
      <c r="CL177" t="s">
        <v>2301</v>
      </c>
      <c r="CM177" t="s">
        <v>387</v>
      </c>
      <c r="CN177" t="s">
        <v>4075</v>
      </c>
      <c r="CO177" t="s">
        <v>4324</v>
      </c>
      <c r="CP177" t="s">
        <v>4075</v>
      </c>
      <c r="CQ177" t="s">
        <v>387</v>
      </c>
      <c r="CR177" t="b">
        <v>1</v>
      </c>
      <c r="CS177" t="s">
        <v>4075</v>
      </c>
      <c r="CT177">
        <v>0.0</v>
      </c>
      <c r="CU177">
        <v>2.0</v>
      </c>
      <c r="CV177" t="s">
        <v>4075</v>
      </c>
      <c r="CW177" t="s">
        <v>4075</v>
      </c>
      <c r="CX177" s="4" t="s">
        <v>2914</v>
      </c>
      <c r="CY177" t="s">
        <v>4075</v>
      </c>
      <c r="CZ177" s="5">
        <v>44475.826203703706</v>
      </c>
      <c r="DA177" t="s">
        <v>4325</v>
      </c>
    </row>
    <row r="178">
      <c r="A178" t="s">
        <v>98</v>
      </c>
      <c r="B178" t="s">
        <v>4075</v>
      </c>
      <c r="C178" t="s">
        <v>4075</v>
      </c>
      <c r="D178" t="s">
        <v>4326</v>
      </c>
      <c r="E178" t="s">
        <v>4327</v>
      </c>
      <c r="F178" s="2">
        <v>38203.0</v>
      </c>
      <c r="G178" t="s">
        <v>1360</v>
      </c>
      <c r="H178" t="s">
        <v>4075</v>
      </c>
      <c r="I178" s="3" t="str">
        <f>HYPERLINK("https://api.typeform.com/responses/files/89f834d28463f6e1ec19a2a11f5d25bb19240a55db5fc1a26da019b4301fcc73/25D23B0B_FC5D_4880_845B_CD5536219B32.jpeg")</f>
        <v>https://api.typeform.com/responses/files/89f834d28463f6e1ec19a2a11f5d25bb19240a55db5fc1a26da019b4301fcc73/25D23B0B_FC5D_4880_845B_CD5536219B32.jpeg</v>
      </c>
      <c r="J178" t="s">
        <v>4328</v>
      </c>
      <c r="K178" t="b">
        <v>1</v>
      </c>
      <c r="L178" s="4" t="s">
        <v>4329</v>
      </c>
      <c r="M178" t="s">
        <v>4330</v>
      </c>
      <c r="N178" t="s">
        <v>354</v>
      </c>
      <c r="O178" t="s">
        <v>4331</v>
      </c>
      <c r="P178" t="s">
        <v>4332</v>
      </c>
      <c r="Q178" t="s">
        <v>152</v>
      </c>
      <c r="R178" t="s">
        <v>4333</v>
      </c>
      <c r="S178" t="s">
        <v>4334</v>
      </c>
      <c r="T178" s="4" t="s">
        <v>4335</v>
      </c>
      <c r="U178" t="s">
        <v>4336</v>
      </c>
      <c r="V178" t="s">
        <v>4337</v>
      </c>
      <c r="W178" t="s">
        <v>113</v>
      </c>
      <c r="X178" t="s">
        <v>4075</v>
      </c>
      <c r="Y178" t="s">
        <v>158</v>
      </c>
      <c r="Z178" t="s">
        <v>195</v>
      </c>
      <c r="AA178" t="s">
        <v>4075</v>
      </c>
      <c r="AB178" t="s">
        <v>4075</v>
      </c>
      <c r="AC178" s="3" t="str">
        <f>HYPERLINK("https://api.typeform.com/responses/files/ffb606fe89e433ce167d89c8985754e262b6dedcbd8e491d8762c1c720e35fb5/60399C8C_FE5B_4AC4_A4EC_A7C4E387DE8D.jpeg")</f>
        <v>https://api.typeform.com/responses/files/ffb606fe89e433ce167d89c8985754e262b6dedcbd8e491d8762c1c720e35fb5/60399C8C_FE5B_4AC4_A4EC_A7C4E387DE8D.jpeg</v>
      </c>
      <c r="AD178" t="s">
        <v>118</v>
      </c>
      <c r="AE178" t="s">
        <v>729</v>
      </c>
      <c r="AF178" t="s">
        <v>197</v>
      </c>
      <c r="AG178">
        <v>16.0</v>
      </c>
      <c r="AH178" t="s">
        <v>4338</v>
      </c>
      <c r="AI178" t="s">
        <v>205</v>
      </c>
      <c r="AJ178" t="s">
        <v>4075</v>
      </c>
      <c r="AK178" t="s">
        <v>179</v>
      </c>
      <c r="AL178" t="s">
        <v>199</v>
      </c>
      <c r="AM178" t="s">
        <v>4075</v>
      </c>
      <c r="AN178" t="s">
        <v>4075</v>
      </c>
      <c r="AO178" t="s">
        <v>335</v>
      </c>
      <c r="AP178">
        <v>5.0</v>
      </c>
      <c r="AQ178" t="s">
        <v>1520</v>
      </c>
      <c r="AR178" t="s">
        <v>4339</v>
      </c>
      <c r="AS178" t="b">
        <v>1</v>
      </c>
      <c r="AT178" t="b">
        <v>0</v>
      </c>
      <c r="AU178" t="s">
        <v>4075</v>
      </c>
      <c r="AV178">
        <v>7.0</v>
      </c>
      <c r="AW178" t="b">
        <v>0</v>
      </c>
      <c r="AX178" t="s">
        <v>4075</v>
      </c>
      <c r="AY178" t="s">
        <v>4075</v>
      </c>
      <c r="AZ178" t="b">
        <v>0</v>
      </c>
      <c r="BA178" t="b">
        <v>1</v>
      </c>
      <c r="BB178" t="b">
        <v>1</v>
      </c>
      <c r="BC178" t="s">
        <v>4340</v>
      </c>
      <c r="BD178" t="s">
        <v>4075</v>
      </c>
      <c r="BE178" t="s">
        <v>4075</v>
      </c>
      <c r="BF178" t="s">
        <v>4075</v>
      </c>
      <c r="BG178" t="s">
        <v>4075</v>
      </c>
      <c r="BH178" t="s">
        <v>132</v>
      </c>
      <c r="BI178">
        <v>2.0</v>
      </c>
      <c r="BJ178" s="4" t="s">
        <v>734</v>
      </c>
      <c r="BK178">
        <v>4.0</v>
      </c>
      <c r="BL178">
        <v>5.0</v>
      </c>
      <c r="BM178" t="s">
        <v>4341</v>
      </c>
      <c r="BN178">
        <v>3.0</v>
      </c>
      <c r="BO178">
        <v>7.0</v>
      </c>
      <c r="BP178" t="s">
        <v>4342</v>
      </c>
      <c r="BQ178" t="s">
        <v>4343</v>
      </c>
      <c r="BR178" t="s">
        <v>4344</v>
      </c>
      <c r="BS178" t="s">
        <v>4345</v>
      </c>
      <c r="BT178" t="s">
        <v>4075</v>
      </c>
      <c r="BU178" t="s">
        <v>179</v>
      </c>
      <c r="BV178" s="3" t="str">
        <f>HYPERLINK("https://api.typeform.com/responses/files/8716a76ab288640e5fdebee02e8cf8fbb93c715e9ba078f418e8d6e35b819ac0/E6A9CFC7_FB8E_4EF1_B31B_BEA8F82DF707.png")</f>
        <v>https://api.typeform.com/responses/files/8716a76ab288640e5fdebee02e8cf8fbb93c715e9ba078f418e8d6e35b819ac0/E6A9CFC7_FB8E_4EF1_B31B_BEA8F82DF707.png</v>
      </c>
      <c r="BW178" t="b">
        <v>1</v>
      </c>
      <c r="BX178" t="s">
        <v>1394</v>
      </c>
      <c r="BY178" t="s">
        <v>140</v>
      </c>
      <c r="BZ178" t="s">
        <v>4075</v>
      </c>
      <c r="CA178" t="s">
        <v>1395</v>
      </c>
      <c r="CB178" t="s">
        <v>4075</v>
      </c>
      <c r="CC178" t="s">
        <v>4075</v>
      </c>
      <c r="CD178">
        <v>0.0</v>
      </c>
      <c r="CE178" t="s">
        <v>4075</v>
      </c>
      <c r="CF178" t="b">
        <v>1</v>
      </c>
      <c r="CG178" t="b">
        <v>1</v>
      </c>
      <c r="CH178" t="s">
        <v>168</v>
      </c>
      <c r="CI178" t="s">
        <v>4075</v>
      </c>
      <c r="CJ178" t="b">
        <v>1</v>
      </c>
      <c r="CK178" t="b">
        <v>1</v>
      </c>
      <c r="CL178" t="s">
        <v>198</v>
      </c>
      <c r="CM178" t="s">
        <v>198</v>
      </c>
      <c r="CN178" t="s">
        <v>4075</v>
      </c>
      <c r="CO178" t="s">
        <v>1635</v>
      </c>
      <c r="CP178" t="s">
        <v>4075</v>
      </c>
      <c r="CQ178" t="s">
        <v>198</v>
      </c>
      <c r="CR178" t="b">
        <v>1</v>
      </c>
      <c r="CS178" t="s">
        <v>4075</v>
      </c>
      <c r="CT178">
        <v>0.0</v>
      </c>
      <c r="CU178">
        <v>1.0</v>
      </c>
      <c r="CV178" t="s">
        <v>4075</v>
      </c>
      <c r="CW178" t="s">
        <v>4075</v>
      </c>
      <c r="CX178" s="4" t="s">
        <v>2914</v>
      </c>
      <c r="CY178" t="s">
        <v>4075</v>
      </c>
      <c r="CZ178" s="5">
        <v>44475.82726851852</v>
      </c>
      <c r="DA178" t="s">
        <v>4346</v>
      </c>
    </row>
    <row r="179">
      <c r="A179" t="s">
        <v>98</v>
      </c>
      <c r="B179" t="s">
        <v>4075</v>
      </c>
      <c r="C179" t="s">
        <v>4075</v>
      </c>
      <c r="D179" t="s">
        <v>3190</v>
      </c>
      <c r="E179" t="s">
        <v>4347</v>
      </c>
      <c r="F179" s="2">
        <v>38365.0</v>
      </c>
      <c r="G179" t="s">
        <v>1466</v>
      </c>
      <c r="H179" t="s">
        <v>4075</v>
      </c>
      <c r="I179" s="3" t="str">
        <f>HYPERLINK("https://api.typeform.com/responses/files/a38341834c58045cf9ab427b7a689d5b9ca802a60e5abd0a5340d85f15195ddf/image_67154177.JPG")</f>
        <v>https://api.typeform.com/responses/files/a38341834c58045cf9ab427b7a689d5b9ca802a60e5abd0a5340d85f15195ddf/image_67154177.JPG</v>
      </c>
      <c r="J179" t="s">
        <v>4348</v>
      </c>
      <c r="K179" t="b">
        <v>1</v>
      </c>
      <c r="L179" s="4" t="s">
        <v>4349</v>
      </c>
      <c r="M179" t="s">
        <v>4350</v>
      </c>
      <c r="N179" t="s">
        <v>354</v>
      </c>
      <c r="O179" t="s">
        <v>4315</v>
      </c>
      <c r="P179" t="s">
        <v>4351</v>
      </c>
      <c r="Q179" t="s">
        <v>189</v>
      </c>
      <c r="R179" t="s">
        <v>4352</v>
      </c>
      <c r="S179" t="s">
        <v>4353</v>
      </c>
      <c r="T179" s="4" t="s">
        <v>4354</v>
      </c>
      <c r="U179" t="s">
        <v>995</v>
      </c>
      <c r="V179" t="s">
        <v>4355</v>
      </c>
      <c r="W179" t="s">
        <v>113</v>
      </c>
      <c r="X179" t="s">
        <v>4075</v>
      </c>
      <c r="Y179" t="s">
        <v>158</v>
      </c>
      <c r="Z179" t="s">
        <v>262</v>
      </c>
      <c r="AA179" t="s">
        <v>4075</v>
      </c>
      <c r="AB179" t="s">
        <v>4075</v>
      </c>
      <c r="AC179" s="3" t="str">
        <f>HYPERLINK("https://api.typeform.com/responses/files/69ec88a394e7e6bb9e9f83c2073c5f524c14fe251ac8cd16f46b926d65650b64/WhatsApp_Image_2021_10_04_at_4.15.29_PM.jpeg")</f>
        <v>https://api.typeform.com/responses/files/69ec88a394e7e6bb9e9f83c2073c5f524c14fe251ac8cd16f46b926d65650b64/WhatsApp_Image_2021_10_04_at_4.15.29_PM.jpeg</v>
      </c>
      <c r="AD179" t="s">
        <v>118</v>
      </c>
      <c r="AE179" t="s">
        <v>729</v>
      </c>
      <c r="AF179" t="s">
        <v>1170</v>
      </c>
      <c r="AG179">
        <v>14.0</v>
      </c>
      <c r="AH179" s="4" t="s">
        <v>4356</v>
      </c>
      <c r="AI179" t="s">
        <v>162</v>
      </c>
      <c r="AJ179" t="s">
        <v>4075</v>
      </c>
      <c r="AK179" t="s">
        <v>139</v>
      </c>
      <c r="AL179" t="s">
        <v>199</v>
      </c>
      <c r="AM179" t="s">
        <v>4075</v>
      </c>
      <c r="AN179" t="s">
        <v>4075</v>
      </c>
      <c r="AO179" t="s">
        <v>335</v>
      </c>
      <c r="AP179">
        <v>7.0</v>
      </c>
      <c r="AQ179" t="s">
        <v>4222</v>
      </c>
      <c r="AR179" t="s">
        <v>1832</v>
      </c>
      <c r="AS179" t="b">
        <v>1</v>
      </c>
      <c r="AT179" t="b">
        <v>0</v>
      </c>
      <c r="AU179" t="s">
        <v>4075</v>
      </c>
      <c r="AV179">
        <v>5.0</v>
      </c>
      <c r="AW179" t="b">
        <v>0</v>
      </c>
      <c r="AX179" t="s">
        <v>4075</v>
      </c>
      <c r="AY179" t="s">
        <v>4075</v>
      </c>
      <c r="AZ179" t="b">
        <v>1</v>
      </c>
      <c r="BA179" t="b">
        <v>0</v>
      </c>
      <c r="BB179" t="s">
        <v>4075</v>
      </c>
      <c r="BC179" t="s">
        <v>4075</v>
      </c>
      <c r="BD179" t="s">
        <v>4357</v>
      </c>
      <c r="BE179" t="s">
        <v>4075</v>
      </c>
      <c r="BF179" t="s">
        <v>4075</v>
      </c>
      <c r="BG179" t="s">
        <v>4075</v>
      </c>
      <c r="BH179" t="s">
        <v>132</v>
      </c>
      <c r="BI179">
        <v>1.0</v>
      </c>
      <c r="BJ179" t="s">
        <v>4358</v>
      </c>
      <c r="BK179">
        <v>4.0</v>
      </c>
      <c r="BL179">
        <v>5.0</v>
      </c>
      <c r="BM179" t="s">
        <v>4359</v>
      </c>
      <c r="BN179">
        <v>4.0</v>
      </c>
      <c r="BO179">
        <v>5.0</v>
      </c>
      <c r="BP179" t="s">
        <v>4360</v>
      </c>
      <c r="BQ179" t="s">
        <v>4361</v>
      </c>
      <c r="BR179" t="s">
        <v>4362</v>
      </c>
      <c r="BS179" t="s">
        <v>4363</v>
      </c>
      <c r="BT179" t="s">
        <v>4075</v>
      </c>
      <c r="BU179" t="s">
        <v>139</v>
      </c>
      <c r="BV179" s="3" t="str">
        <f>HYPERLINK("https://api.typeform.com/responses/files/8e9528ab77fd2bef4a76a1b4b799f7a55b8fe24b24ef7ecc632a50355f1cac8f/Screenshot_2021_10_04_185207.png")</f>
        <v>https://api.typeform.com/responses/files/8e9528ab77fd2bef4a76a1b4b799f7a55b8fe24b24ef7ecc632a50355f1cac8f/Screenshot_2021_10_04_185207.png</v>
      </c>
      <c r="BW179" t="b">
        <v>1</v>
      </c>
      <c r="BX179" t="s">
        <v>1394</v>
      </c>
      <c r="BY179" t="s">
        <v>140</v>
      </c>
      <c r="BZ179" t="s">
        <v>4075</v>
      </c>
      <c r="CA179" t="s">
        <v>1395</v>
      </c>
      <c r="CB179" t="s">
        <v>4075</v>
      </c>
      <c r="CC179" t="s">
        <v>4075</v>
      </c>
      <c r="CD179">
        <v>0.0</v>
      </c>
      <c r="CE179" t="s">
        <v>4075</v>
      </c>
      <c r="CF179" t="b">
        <v>0</v>
      </c>
      <c r="CG179" t="b">
        <v>1</v>
      </c>
      <c r="CH179" t="s">
        <v>1420</v>
      </c>
      <c r="CI179" t="s">
        <v>4075</v>
      </c>
      <c r="CJ179" t="b">
        <v>1</v>
      </c>
      <c r="CK179" t="b">
        <v>1</v>
      </c>
      <c r="CL179" t="s">
        <v>2301</v>
      </c>
      <c r="CM179" t="s">
        <v>4075</v>
      </c>
      <c r="CN179" t="s">
        <v>4075</v>
      </c>
      <c r="CO179" t="s">
        <v>200</v>
      </c>
      <c r="CP179" t="s">
        <v>4075</v>
      </c>
      <c r="CQ179" t="s">
        <v>4075</v>
      </c>
      <c r="CR179" t="b">
        <v>1</v>
      </c>
      <c r="CS179" t="s">
        <v>4075</v>
      </c>
      <c r="CT179">
        <v>1.0</v>
      </c>
      <c r="CU179">
        <v>1.0</v>
      </c>
      <c r="CV179" t="s">
        <v>4075</v>
      </c>
      <c r="CW179" t="s">
        <v>4075</v>
      </c>
      <c r="CX179" s="4" t="s">
        <v>520</v>
      </c>
      <c r="CY179" t="s">
        <v>4075</v>
      </c>
      <c r="CZ179" s="5">
        <v>44475.82947916666</v>
      </c>
      <c r="DA179" t="s">
        <v>4364</v>
      </c>
    </row>
    <row r="180">
      <c r="A180" t="s">
        <v>98</v>
      </c>
      <c r="B180" t="s">
        <v>4075</v>
      </c>
      <c r="C180" t="s">
        <v>4075</v>
      </c>
      <c r="D180" t="s">
        <v>4365</v>
      </c>
      <c r="E180" t="s">
        <v>4366</v>
      </c>
      <c r="F180" s="2">
        <v>38086.0</v>
      </c>
      <c r="G180" t="s">
        <v>1466</v>
      </c>
      <c r="H180" t="s">
        <v>4075</v>
      </c>
      <c r="I180" s="3" t="str">
        <f>HYPERLINK("https://api.typeform.com/responses/files/a0aa4034e205ba11668e11f96a04570aa6c860add9b582bf2492fa984cc13c2a/IMG_6848__1_.jpg")</f>
        <v>https://api.typeform.com/responses/files/a0aa4034e205ba11668e11f96a04570aa6c860add9b582bf2492fa984cc13c2a/IMG_6848__1_.jpg</v>
      </c>
      <c r="J180" t="s">
        <v>4367</v>
      </c>
      <c r="K180" t="b">
        <v>1</v>
      </c>
      <c r="L180" s="4" t="s">
        <v>4368</v>
      </c>
      <c r="M180" t="s">
        <v>4369</v>
      </c>
      <c r="N180" t="s">
        <v>255</v>
      </c>
      <c r="O180" t="s">
        <v>1014</v>
      </c>
      <c r="P180" t="s">
        <v>4370</v>
      </c>
      <c r="Q180" t="s">
        <v>108</v>
      </c>
      <c r="R180" t="s">
        <v>4371</v>
      </c>
      <c r="S180" s="4" t="s">
        <v>4372</v>
      </c>
      <c r="T180" s="4" t="s">
        <v>4373</v>
      </c>
      <c r="U180" t="s">
        <v>933</v>
      </c>
      <c r="V180" t="s">
        <v>4303</v>
      </c>
      <c r="W180" t="s">
        <v>113</v>
      </c>
      <c r="X180" t="s">
        <v>4075</v>
      </c>
      <c r="Y180" t="s">
        <v>114</v>
      </c>
      <c r="Z180" t="s">
        <v>262</v>
      </c>
      <c r="AA180" t="s">
        <v>4075</v>
      </c>
      <c r="AB180" t="s">
        <v>4075</v>
      </c>
      <c r="AC180" s="3" t="str">
        <f>HYPERLINK("https://api.typeform.com/responses/files/6673dc41ae3860351f904c8b3d69130bd214a0af245fcb87b7f6c959f2048ba4/2021_02_05_1326_Avila_Sergio_237426416__1_.pdf")</f>
        <v>https://api.typeform.com/responses/files/6673dc41ae3860351f904c8b3d69130bd214a0af245fcb87b7f6c959f2048ba4/2021_02_05_1326_Avila_Sergio_237426416__1_.pdf</v>
      </c>
      <c r="AD180" t="s">
        <v>118</v>
      </c>
      <c r="AE180" t="s">
        <v>1220</v>
      </c>
      <c r="AF180" t="s">
        <v>4374</v>
      </c>
      <c r="AG180">
        <v>15.0</v>
      </c>
      <c r="AH180" s="4" t="s">
        <v>1428</v>
      </c>
      <c r="AI180" t="s">
        <v>121</v>
      </c>
      <c r="AJ180" t="s">
        <v>4075</v>
      </c>
      <c r="AK180" t="s">
        <v>4075</v>
      </c>
      <c r="AL180" t="s">
        <v>199</v>
      </c>
      <c r="AM180" t="s">
        <v>4075</v>
      </c>
      <c r="AN180" t="s">
        <v>4075</v>
      </c>
      <c r="AO180" t="s">
        <v>335</v>
      </c>
      <c r="AP180">
        <v>7.0</v>
      </c>
      <c r="AQ180" t="s">
        <v>1070</v>
      </c>
      <c r="AR180" t="s">
        <v>4375</v>
      </c>
      <c r="AS180" t="b">
        <v>1</v>
      </c>
      <c r="AT180" t="b">
        <v>1</v>
      </c>
      <c r="AU180" t="s">
        <v>4075</v>
      </c>
      <c r="AV180">
        <v>7.0</v>
      </c>
      <c r="AW180" t="b">
        <v>1</v>
      </c>
      <c r="AX180" s="4" t="s">
        <v>1521</v>
      </c>
      <c r="AY180" s="4" t="s">
        <v>518</v>
      </c>
      <c r="AZ180" t="b">
        <v>0</v>
      </c>
      <c r="BA180" t="b">
        <v>0</v>
      </c>
      <c r="BB180" t="s">
        <v>4075</v>
      </c>
      <c r="BC180" t="s">
        <v>4075</v>
      </c>
      <c r="BD180" t="s">
        <v>4376</v>
      </c>
      <c r="BE180" t="s">
        <v>4075</v>
      </c>
      <c r="BF180" t="s">
        <v>4075</v>
      </c>
      <c r="BG180" t="s">
        <v>4075</v>
      </c>
      <c r="BH180" t="s">
        <v>132</v>
      </c>
      <c r="BI180">
        <v>3.0</v>
      </c>
      <c r="BJ180" t="s">
        <v>4377</v>
      </c>
      <c r="BK180">
        <v>3.0</v>
      </c>
      <c r="BL180">
        <v>3.0</v>
      </c>
      <c r="BM180" t="s">
        <v>4378</v>
      </c>
      <c r="BN180">
        <v>4.0</v>
      </c>
      <c r="BO180">
        <v>4.0</v>
      </c>
      <c r="BP180" t="s">
        <v>4379</v>
      </c>
      <c r="BQ180" t="s">
        <v>4361</v>
      </c>
      <c r="BR180" t="s">
        <v>4380</v>
      </c>
      <c r="BS180" t="s">
        <v>4381</v>
      </c>
      <c r="BT180" t="s">
        <v>4075</v>
      </c>
      <c r="BU180" t="s">
        <v>4382</v>
      </c>
      <c r="BV180" s="3" t="str">
        <f>HYPERLINK("https://api.typeform.com/responses/files/a337512470f55d0a1d639068271c8ccb1ce6f21f328b1c3dea8b7f68cd053438/Screen_Shot_2021_10_06_at_3.56.01_PM.png")</f>
        <v>https://api.typeform.com/responses/files/a337512470f55d0a1d639068271c8ccb1ce6f21f328b1c3dea8b7f68cd053438/Screen_Shot_2021_10_06_at_3.56.01_PM.png</v>
      </c>
      <c r="BW180" t="b">
        <v>1</v>
      </c>
      <c r="BX180" t="s">
        <v>1394</v>
      </c>
      <c r="BY180" t="s">
        <v>140</v>
      </c>
      <c r="BZ180" t="s">
        <v>4075</v>
      </c>
      <c r="CA180" t="s">
        <v>1395</v>
      </c>
      <c r="CB180" t="s">
        <v>4075</v>
      </c>
      <c r="CC180" t="s">
        <v>4075</v>
      </c>
      <c r="CD180">
        <v>0.0</v>
      </c>
      <c r="CE180" t="s">
        <v>4075</v>
      </c>
      <c r="CF180" t="b">
        <v>1</v>
      </c>
      <c r="CG180" t="b">
        <v>1</v>
      </c>
      <c r="CH180" t="s">
        <v>168</v>
      </c>
      <c r="CI180" t="s">
        <v>4075</v>
      </c>
      <c r="CJ180" t="b">
        <v>1</v>
      </c>
      <c r="CK180" t="b">
        <v>1</v>
      </c>
      <c r="CL180" t="s">
        <v>387</v>
      </c>
      <c r="CM180" t="s">
        <v>541</v>
      </c>
      <c r="CN180" t="s">
        <v>4075</v>
      </c>
      <c r="CO180" t="s">
        <v>1635</v>
      </c>
      <c r="CP180" t="s">
        <v>4075</v>
      </c>
      <c r="CQ180" t="s">
        <v>4075</v>
      </c>
      <c r="CR180" t="b">
        <v>1</v>
      </c>
      <c r="CS180" t="s">
        <v>4075</v>
      </c>
      <c r="CT180">
        <v>0.0</v>
      </c>
      <c r="CU180">
        <v>0.0</v>
      </c>
      <c r="CV180" t="s">
        <v>4075</v>
      </c>
      <c r="CW180" t="s">
        <v>4075</v>
      </c>
      <c r="CX180" s="4" t="s">
        <v>520</v>
      </c>
      <c r="CY180" t="s">
        <v>4075</v>
      </c>
      <c r="CZ180" s="5">
        <v>44475.832291666666</v>
      </c>
      <c r="DA180" t="s">
        <v>4383</v>
      </c>
    </row>
    <row r="181">
      <c r="A181" t="s">
        <v>98</v>
      </c>
      <c r="B181" t="s">
        <v>4075</v>
      </c>
      <c r="C181" t="s">
        <v>4075</v>
      </c>
      <c r="D181" t="s">
        <v>4384</v>
      </c>
      <c r="E181" t="s">
        <v>4385</v>
      </c>
      <c r="F181" s="2">
        <v>38174.0</v>
      </c>
      <c r="G181" t="s">
        <v>1466</v>
      </c>
      <c r="H181" t="s">
        <v>4075</v>
      </c>
      <c r="I181" s="3" t="str">
        <f>HYPERLINK("https://api.typeform.com/responses/files/363e1cb213ad3cd2e3701776240424c55f74ecc6d3519b205cb955d33c50e5f1/image0.jpeg")</f>
        <v>https://api.typeform.com/responses/files/363e1cb213ad3cd2e3701776240424c55f74ecc6d3519b205cb955d33c50e5f1/image0.jpeg</v>
      </c>
      <c r="J181" t="s">
        <v>4386</v>
      </c>
      <c r="K181" t="b">
        <v>0</v>
      </c>
      <c r="L181" t="s">
        <v>4075</v>
      </c>
      <c r="M181" t="s">
        <v>4387</v>
      </c>
      <c r="N181" t="s">
        <v>354</v>
      </c>
      <c r="O181" t="s">
        <v>139</v>
      </c>
      <c r="P181" t="s">
        <v>4388</v>
      </c>
      <c r="Q181" t="s">
        <v>152</v>
      </c>
      <c r="R181" t="s">
        <v>4386</v>
      </c>
      <c r="S181" t="s">
        <v>4389</v>
      </c>
      <c r="T181" s="4" t="s">
        <v>4390</v>
      </c>
      <c r="U181" t="s">
        <v>995</v>
      </c>
      <c r="V181" t="s">
        <v>4391</v>
      </c>
      <c r="W181" t="s">
        <v>113</v>
      </c>
      <c r="X181" t="s">
        <v>4075</v>
      </c>
      <c r="Y181" t="s">
        <v>158</v>
      </c>
      <c r="Z181" t="s">
        <v>384</v>
      </c>
      <c r="AA181" t="s">
        <v>4075</v>
      </c>
      <c r="AB181" t="s">
        <v>4075</v>
      </c>
      <c r="AC181" s="3" t="str">
        <f>HYPERLINK("https://api.typeform.com/responses/files/ef21a99e0f6bc3a1a5c1320e202205f987a5398a8ca49a8ab917fc03a3160c93/image0.jpeg")</f>
        <v>https://api.typeform.com/responses/files/ef21a99e0f6bc3a1a5c1320e202205f987a5398a8ca49a8ab917fc03a3160c93/image0.jpeg</v>
      </c>
      <c r="AD181" t="s">
        <v>118</v>
      </c>
      <c r="AE181" t="s">
        <v>729</v>
      </c>
      <c r="AF181" t="s">
        <v>1196</v>
      </c>
      <c r="AG181">
        <v>17.0</v>
      </c>
      <c r="AH181" s="4" t="s">
        <v>339</v>
      </c>
      <c r="AI181" t="s">
        <v>386</v>
      </c>
      <c r="AJ181" t="s">
        <v>4075</v>
      </c>
      <c r="AK181" t="s">
        <v>139</v>
      </c>
      <c r="AL181" t="s">
        <v>1043</v>
      </c>
      <c r="AM181" t="s">
        <v>4075</v>
      </c>
      <c r="AN181" t="s">
        <v>4075</v>
      </c>
      <c r="AO181" t="s">
        <v>335</v>
      </c>
      <c r="AP181">
        <v>5.0</v>
      </c>
      <c r="AQ181" t="s">
        <v>4222</v>
      </c>
      <c r="AR181" t="s">
        <v>4392</v>
      </c>
      <c r="AS181" t="b">
        <v>0</v>
      </c>
      <c r="AT181" t="s">
        <v>4075</v>
      </c>
      <c r="AU181" t="s">
        <v>4075</v>
      </c>
      <c r="AV181">
        <v>5.0</v>
      </c>
      <c r="AW181" t="b">
        <v>0</v>
      </c>
      <c r="AX181" t="s">
        <v>4075</v>
      </c>
      <c r="AY181" t="s">
        <v>4075</v>
      </c>
      <c r="AZ181" t="b">
        <v>0</v>
      </c>
      <c r="BA181" t="b">
        <v>0</v>
      </c>
      <c r="BB181" t="s">
        <v>4075</v>
      </c>
      <c r="BC181" t="s">
        <v>4075</v>
      </c>
      <c r="BD181" t="s">
        <v>3460</v>
      </c>
      <c r="BE181" t="s">
        <v>4075</v>
      </c>
      <c r="BF181" t="s">
        <v>4075</v>
      </c>
      <c r="BG181" t="s">
        <v>4075</v>
      </c>
      <c r="BH181" t="s">
        <v>132</v>
      </c>
      <c r="BI181">
        <v>2.0</v>
      </c>
      <c r="BJ181" t="s">
        <v>4393</v>
      </c>
      <c r="BK181">
        <v>2.0</v>
      </c>
      <c r="BL181">
        <v>2.0</v>
      </c>
      <c r="BM181" t="s">
        <v>4394</v>
      </c>
      <c r="BN181">
        <v>2.0</v>
      </c>
      <c r="BO181">
        <v>2.0</v>
      </c>
      <c r="BP181" t="s">
        <v>4395</v>
      </c>
      <c r="BQ181" t="s">
        <v>916</v>
      </c>
      <c r="BR181" t="s">
        <v>4396</v>
      </c>
      <c r="BS181" t="s">
        <v>4397</v>
      </c>
      <c r="BT181" t="s">
        <v>4075</v>
      </c>
      <c r="BU181" t="s">
        <v>4398</v>
      </c>
      <c r="BV181" s="3" t="str">
        <f>HYPERLINK("https://api.typeform.com/responses/files/8ffd68344180a9bbf90f011c1b239821f14f5cad554120423e9cfcc3db955ae5/image0.jpeg")</f>
        <v>https://api.typeform.com/responses/files/8ffd68344180a9bbf90f011c1b239821f14f5cad554120423e9cfcc3db955ae5/image0.jpeg</v>
      </c>
      <c r="BW181" t="b">
        <v>1</v>
      </c>
      <c r="BX181" t="s">
        <v>1394</v>
      </c>
      <c r="BY181" t="s">
        <v>140</v>
      </c>
      <c r="BZ181" t="s">
        <v>4075</v>
      </c>
      <c r="CA181" t="s">
        <v>1395</v>
      </c>
      <c r="CB181" t="s">
        <v>4075</v>
      </c>
      <c r="CC181" t="s">
        <v>4075</v>
      </c>
      <c r="CD181">
        <v>0.0</v>
      </c>
      <c r="CE181" t="s">
        <v>4075</v>
      </c>
      <c r="CF181" t="b">
        <v>1</v>
      </c>
      <c r="CG181" t="b">
        <v>1</v>
      </c>
      <c r="CH181" t="s">
        <v>4299</v>
      </c>
      <c r="CI181" t="s">
        <v>4075</v>
      </c>
      <c r="CJ181" t="b">
        <v>1</v>
      </c>
      <c r="CK181" t="b">
        <v>1</v>
      </c>
      <c r="CL181" t="s">
        <v>387</v>
      </c>
      <c r="CM181" t="s">
        <v>4075</v>
      </c>
      <c r="CN181" t="s">
        <v>4075</v>
      </c>
      <c r="CO181" t="s">
        <v>200</v>
      </c>
      <c r="CP181" t="s">
        <v>4075</v>
      </c>
      <c r="CQ181" t="s">
        <v>4075</v>
      </c>
      <c r="CR181" t="b">
        <v>1</v>
      </c>
      <c r="CS181" t="s">
        <v>4075</v>
      </c>
      <c r="CT181">
        <v>0.0</v>
      </c>
      <c r="CU181">
        <v>0.0</v>
      </c>
      <c r="CV181" t="s">
        <v>4075</v>
      </c>
      <c r="CW181" t="s">
        <v>4075</v>
      </c>
      <c r="CX181" s="4" t="s">
        <v>2914</v>
      </c>
      <c r="CY181" t="s">
        <v>4075</v>
      </c>
      <c r="CZ181" s="5">
        <v>44475.84653935185</v>
      </c>
      <c r="DA181" t="s">
        <v>4399</v>
      </c>
    </row>
    <row r="182">
      <c r="A182" t="s">
        <v>98</v>
      </c>
      <c r="B182" t="s">
        <v>4075</v>
      </c>
      <c r="C182" t="s">
        <v>4075</v>
      </c>
      <c r="D182" t="s">
        <v>4400</v>
      </c>
      <c r="E182" t="s">
        <v>4401</v>
      </c>
      <c r="F182" s="2">
        <v>39048.0</v>
      </c>
      <c r="G182" t="s">
        <v>1360</v>
      </c>
      <c r="H182" t="s">
        <v>4075</v>
      </c>
      <c r="I182" s="3" t="str">
        <f>HYPERLINK("https://api.typeform.com/responses/files/34f46a43a51b8d09a2cf39b58b4d680ca351175b90ce92f67aff8e743578ff20/Screen_Shot_2021_10_05_at_2.29.57_AM.png")</f>
        <v>https://api.typeform.com/responses/files/34f46a43a51b8d09a2cf39b58b4d680ca351175b90ce92f67aff8e743578ff20/Screen_Shot_2021_10_05_at_2.29.57_AM.png</v>
      </c>
      <c r="J182" t="s">
        <v>4402</v>
      </c>
      <c r="K182" t="b">
        <v>1</v>
      </c>
      <c r="L182" s="4" t="s">
        <v>4403</v>
      </c>
      <c r="M182" t="s">
        <v>4404</v>
      </c>
      <c r="N182" t="s">
        <v>354</v>
      </c>
      <c r="O182" t="s">
        <v>4405</v>
      </c>
      <c r="P182" t="s">
        <v>4406</v>
      </c>
      <c r="Q182" t="s">
        <v>189</v>
      </c>
      <c r="R182" t="s">
        <v>4407</v>
      </c>
      <c r="S182" t="s">
        <v>4404</v>
      </c>
      <c r="T182" s="4" t="s">
        <v>4408</v>
      </c>
      <c r="U182" t="s">
        <v>933</v>
      </c>
      <c r="V182" t="s">
        <v>4409</v>
      </c>
      <c r="W182" t="s">
        <v>113</v>
      </c>
      <c r="X182" t="s">
        <v>4075</v>
      </c>
      <c r="Y182" t="s">
        <v>158</v>
      </c>
      <c r="Z182" t="s">
        <v>262</v>
      </c>
      <c r="AA182" t="s">
        <v>4075</v>
      </c>
      <c r="AB182" t="s">
        <v>4075</v>
      </c>
      <c r="AC182" s="3" t="str">
        <f>HYPERLINK("09f857ffd213-cooltext384389155468538__1_.png")</f>
        <v>09f857ffd213-cooltext384389155468538__1_.png</v>
      </c>
      <c r="AD182" t="s">
        <v>118</v>
      </c>
      <c r="AE182" t="s">
        <v>729</v>
      </c>
      <c r="AF182" t="s">
        <v>197</v>
      </c>
      <c r="AG182">
        <v>13.0</v>
      </c>
      <c r="AH182" s="4" t="s">
        <v>339</v>
      </c>
      <c r="AI182" t="s">
        <v>386</v>
      </c>
      <c r="AJ182" t="s">
        <v>4075</v>
      </c>
      <c r="AK182" t="s">
        <v>4075</v>
      </c>
      <c r="AL182" t="s">
        <v>199</v>
      </c>
      <c r="AM182" t="s">
        <v>4075</v>
      </c>
      <c r="AN182" t="s">
        <v>4075</v>
      </c>
      <c r="AO182" t="s">
        <v>335</v>
      </c>
      <c r="AP182">
        <v>6.0</v>
      </c>
      <c r="AQ182" t="s">
        <v>303</v>
      </c>
      <c r="AR182" t="s">
        <v>4410</v>
      </c>
      <c r="AS182" t="b">
        <v>1</v>
      </c>
      <c r="AT182" t="b">
        <v>1</v>
      </c>
      <c r="AU182" t="s">
        <v>4075</v>
      </c>
      <c r="AV182">
        <v>4.0</v>
      </c>
      <c r="AW182" t="b">
        <v>0</v>
      </c>
      <c r="AX182" t="s">
        <v>4075</v>
      </c>
      <c r="AY182" t="s">
        <v>4075</v>
      </c>
      <c r="AZ182" t="b">
        <v>0</v>
      </c>
      <c r="BA182" t="b">
        <v>0</v>
      </c>
      <c r="BB182" t="s">
        <v>4075</v>
      </c>
      <c r="BC182" t="s">
        <v>4075</v>
      </c>
      <c r="BD182" t="s">
        <v>4410</v>
      </c>
      <c r="BE182" t="s">
        <v>4075</v>
      </c>
      <c r="BF182" t="s">
        <v>4075</v>
      </c>
      <c r="BG182" t="s">
        <v>4075</v>
      </c>
      <c r="BH182" t="s">
        <v>132</v>
      </c>
      <c r="BI182">
        <v>6.0</v>
      </c>
      <c r="BJ182" t="s">
        <v>4411</v>
      </c>
      <c r="BK182">
        <v>6.0</v>
      </c>
      <c r="BL182">
        <v>7.0</v>
      </c>
      <c r="BM182" t="s">
        <v>4412</v>
      </c>
      <c r="BN182">
        <v>7.0</v>
      </c>
      <c r="BO182">
        <v>7.0</v>
      </c>
      <c r="BP182" t="s">
        <v>4413</v>
      </c>
      <c r="BQ182" t="s">
        <v>3801</v>
      </c>
      <c r="BR182" t="s">
        <v>4414</v>
      </c>
      <c r="BS182" t="s">
        <v>4415</v>
      </c>
      <c r="BT182" t="s">
        <v>4075</v>
      </c>
      <c r="BU182" t="s">
        <v>139</v>
      </c>
      <c r="BV182" s="3" t="str">
        <f>HYPERLINK("https://api.typeform.com/responses/files/1d21e25810f621936aae9c6ea69305746a44aca2e8b46621396f31f4bf7de512/SPEAKHIRE_Parent.Guardian_Consent_Form___Google_Docs.pdf")</f>
        <v>https://api.typeform.com/responses/files/1d21e25810f621936aae9c6ea69305746a44aca2e8b46621396f31f4bf7de512/SPEAKHIRE_Parent.Guardian_Consent_Form___Google_Docs.pdf</v>
      </c>
      <c r="BW182" t="b">
        <v>1</v>
      </c>
      <c r="BX182" t="s">
        <v>1394</v>
      </c>
      <c r="BY182" t="s">
        <v>140</v>
      </c>
      <c r="BZ182" t="s">
        <v>4075</v>
      </c>
      <c r="CA182" t="s">
        <v>1395</v>
      </c>
      <c r="CB182" t="s">
        <v>4075</v>
      </c>
      <c r="CC182" t="s">
        <v>4075</v>
      </c>
      <c r="CD182">
        <v>0.0</v>
      </c>
      <c r="CE182" t="s">
        <v>4075</v>
      </c>
      <c r="CF182" t="b">
        <v>1</v>
      </c>
      <c r="CG182" t="b">
        <v>1</v>
      </c>
      <c r="CH182" t="s">
        <v>705</v>
      </c>
      <c r="CI182" t="s">
        <v>4075</v>
      </c>
      <c r="CJ182" t="b">
        <v>1</v>
      </c>
      <c r="CK182" t="b">
        <v>1</v>
      </c>
      <c r="CL182" t="s">
        <v>198</v>
      </c>
      <c r="CM182" t="s">
        <v>541</v>
      </c>
      <c r="CN182" t="s">
        <v>4075</v>
      </c>
      <c r="CO182" t="s">
        <v>1688</v>
      </c>
      <c r="CP182" t="s">
        <v>4075</v>
      </c>
      <c r="CQ182" t="s">
        <v>4075</v>
      </c>
      <c r="CR182" t="b">
        <v>1</v>
      </c>
      <c r="CS182" t="s">
        <v>4075</v>
      </c>
      <c r="CT182">
        <v>0.0</v>
      </c>
      <c r="CU182">
        <v>0.0</v>
      </c>
      <c r="CV182" t="s">
        <v>4075</v>
      </c>
      <c r="CW182" t="s">
        <v>4075</v>
      </c>
      <c r="CX182" t="s">
        <v>4416</v>
      </c>
      <c r="CY182" t="s">
        <v>4075</v>
      </c>
      <c r="CZ182" s="5">
        <v>44476.76770833333</v>
      </c>
      <c r="DA182" t="s">
        <v>4417</v>
      </c>
    </row>
    <row r="183">
      <c r="A183" t="s">
        <v>98</v>
      </c>
      <c r="B183" t="s">
        <v>4075</v>
      </c>
      <c r="C183" t="s">
        <v>4075</v>
      </c>
      <c r="D183" t="s">
        <v>4418</v>
      </c>
      <c r="E183" t="s">
        <v>4419</v>
      </c>
      <c r="F183" s="2">
        <v>38380.0</v>
      </c>
      <c r="G183" t="s">
        <v>1360</v>
      </c>
      <c r="H183" t="s">
        <v>4075</v>
      </c>
      <c r="I183" s="3" t="str">
        <f>HYPERLINK("3bcbaec0182b-Screen_Shot_2021_09_23_at_1.29.45_PM.png")</f>
        <v>3bcbaec0182b-Screen_Shot_2021_09_23_at_1.29.45_PM.png</v>
      </c>
      <c r="J183" t="s">
        <v>4420</v>
      </c>
      <c r="K183" t="b">
        <v>1</v>
      </c>
      <c r="L183" s="4" t="s">
        <v>4421</v>
      </c>
      <c r="M183" t="s">
        <v>4422</v>
      </c>
      <c r="N183" t="s">
        <v>354</v>
      </c>
      <c r="O183" t="s">
        <v>4075</v>
      </c>
      <c r="P183" t="s">
        <v>4423</v>
      </c>
      <c r="Q183" t="s">
        <v>189</v>
      </c>
      <c r="R183" t="s">
        <v>4424</v>
      </c>
      <c r="S183" t="s">
        <v>4425</v>
      </c>
      <c r="T183" s="4" t="s">
        <v>4426</v>
      </c>
      <c r="U183" t="s">
        <v>4427</v>
      </c>
      <c r="V183" t="s">
        <v>4428</v>
      </c>
      <c r="W183" t="s">
        <v>113</v>
      </c>
      <c r="X183" t="s">
        <v>4075</v>
      </c>
      <c r="Y183" t="s">
        <v>158</v>
      </c>
      <c r="Z183" t="s">
        <v>159</v>
      </c>
      <c r="AA183" t="s">
        <v>4075</v>
      </c>
      <c r="AB183" t="s">
        <v>4075</v>
      </c>
      <c r="AC183" s="3" t="str">
        <f>HYPERLINK("https://api.typeform.com/responses/files/e5886769ad6eb27059fb0f9d54a8190620526d6fc0c9751b737c1109c7d8975e/Screen_Shot_2021_10_01_at_11.17.05_AM.png")</f>
        <v>https://api.typeform.com/responses/files/e5886769ad6eb27059fb0f9d54a8190620526d6fc0c9751b737c1109c7d8975e/Screen_Shot_2021_10_01_at_11.17.05_AM.png</v>
      </c>
      <c r="AD183" t="s">
        <v>118</v>
      </c>
      <c r="AE183" t="s">
        <v>729</v>
      </c>
      <c r="AF183" t="s">
        <v>4429</v>
      </c>
      <c r="AG183">
        <v>14.0</v>
      </c>
      <c r="AH183" t="s">
        <v>4430</v>
      </c>
      <c r="AI183" t="s">
        <v>162</v>
      </c>
      <c r="AJ183" t="s">
        <v>4075</v>
      </c>
      <c r="AK183" t="s">
        <v>139</v>
      </c>
      <c r="AL183" t="s">
        <v>4431</v>
      </c>
      <c r="AM183" t="s">
        <v>4075</v>
      </c>
      <c r="AN183" t="s">
        <v>4075</v>
      </c>
      <c r="AO183" t="s">
        <v>486</v>
      </c>
      <c r="AP183">
        <v>2.0</v>
      </c>
      <c r="AQ183" t="s">
        <v>461</v>
      </c>
      <c r="AR183" t="s">
        <v>4432</v>
      </c>
      <c r="AS183" t="b">
        <v>1</v>
      </c>
      <c r="AT183" t="b">
        <v>1</v>
      </c>
      <c r="AU183" t="s">
        <v>4075</v>
      </c>
      <c r="AV183">
        <v>4.0</v>
      </c>
      <c r="AW183" t="b">
        <v>0</v>
      </c>
      <c r="AX183" t="s">
        <v>4075</v>
      </c>
      <c r="AY183" t="s">
        <v>4075</v>
      </c>
      <c r="AZ183" t="b">
        <v>0</v>
      </c>
      <c r="BA183" t="b">
        <v>0</v>
      </c>
      <c r="BB183" t="s">
        <v>4075</v>
      </c>
      <c r="BC183" t="s">
        <v>4075</v>
      </c>
      <c r="BD183" t="s">
        <v>1172</v>
      </c>
      <c r="BE183" t="s">
        <v>4075</v>
      </c>
      <c r="BF183" t="s">
        <v>4075</v>
      </c>
      <c r="BG183" t="s">
        <v>4075</v>
      </c>
      <c r="BH183" t="s">
        <v>132</v>
      </c>
      <c r="BI183">
        <v>4.0</v>
      </c>
      <c r="BJ183" t="s">
        <v>4433</v>
      </c>
      <c r="BK183">
        <v>4.0</v>
      </c>
      <c r="BL183">
        <v>7.0</v>
      </c>
      <c r="BM183" t="s">
        <v>4434</v>
      </c>
      <c r="BN183">
        <v>7.0</v>
      </c>
      <c r="BO183">
        <v>7.0</v>
      </c>
      <c r="BP183" t="s">
        <v>4435</v>
      </c>
      <c r="BQ183" t="s">
        <v>1050</v>
      </c>
      <c r="BR183" t="s">
        <v>4436</v>
      </c>
      <c r="BS183" t="s">
        <v>4437</v>
      </c>
      <c r="BT183" t="s">
        <v>4075</v>
      </c>
      <c r="BU183" t="s">
        <v>4438</v>
      </c>
      <c r="BV183" s="3" t="str">
        <f>HYPERLINK("https://api.typeform.com/responses/files/aef76973f79197ccc4775261f2a0fdcf41d4c5cf31c64630ae7d974ce10e0665/Screen_Shot_2021_10_04_at_9.25.14_PM.png")</f>
        <v>https://api.typeform.com/responses/files/aef76973f79197ccc4775261f2a0fdcf41d4c5cf31c64630ae7d974ce10e0665/Screen_Shot_2021_10_04_at_9.25.14_PM.png</v>
      </c>
      <c r="BW183" t="b">
        <v>1</v>
      </c>
      <c r="BX183" t="s">
        <v>1394</v>
      </c>
      <c r="BY183" t="s">
        <v>140</v>
      </c>
      <c r="BZ183" t="s">
        <v>4075</v>
      </c>
      <c r="CA183" t="s">
        <v>1395</v>
      </c>
      <c r="CB183" t="s">
        <v>4075</v>
      </c>
      <c r="CC183" t="s">
        <v>4075</v>
      </c>
      <c r="CD183">
        <v>0.0</v>
      </c>
      <c r="CE183" t="s">
        <v>4075</v>
      </c>
      <c r="CF183" t="b">
        <v>1</v>
      </c>
      <c r="CG183" t="b">
        <v>1</v>
      </c>
      <c r="CH183" t="s">
        <v>4439</v>
      </c>
      <c r="CI183" t="s">
        <v>4075</v>
      </c>
      <c r="CJ183" t="b">
        <v>0</v>
      </c>
      <c r="CK183" t="b">
        <v>1</v>
      </c>
      <c r="CL183" t="s">
        <v>541</v>
      </c>
      <c r="CM183" t="s">
        <v>387</v>
      </c>
      <c r="CN183" t="s">
        <v>4075</v>
      </c>
      <c r="CO183" t="s">
        <v>2500</v>
      </c>
      <c r="CP183" t="s">
        <v>4075</v>
      </c>
      <c r="CQ183" t="s">
        <v>4075</v>
      </c>
      <c r="CR183" t="b">
        <v>1</v>
      </c>
      <c r="CS183" t="s">
        <v>4075</v>
      </c>
      <c r="CT183">
        <v>1.0</v>
      </c>
      <c r="CU183">
        <v>6.0</v>
      </c>
      <c r="CV183" t="s">
        <v>4075</v>
      </c>
      <c r="CW183" t="s">
        <v>4075</v>
      </c>
      <c r="CX183" s="4" t="s">
        <v>3042</v>
      </c>
      <c r="CY183" t="s">
        <v>4075</v>
      </c>
      <c r="CZ183" s="5">
        <v>44476.76771990741</v>
      </c>
      <c r="DA183" t="s">
        <v>4440</v>
      </c>
    </row>
    <row r="184">
      <c r="A184" t="s">
        <v>98</v>
      </c>
      <c r="B184" t="s">
        <v>4075</v>
      </c>
      <c r="C184" t="s">
        <v>4075</v>
      </c>
      <c r="D184" t="s">
        <v>4441</v>
      </c>
      <c r="E184" t="s">
        <v>3287</v>
      </c>
      <c r="F184" s="2">
        <v>38421.0</v>
      </c>
      <c r="G184" t="s">
        <v>1360</v>
      </c>
      <c r="H184" t="s">
        <v>4075</v>
      </c>
      <c r="I184" s="3" t="str">
        <f>HYPERLINK("dc3b8566f287-image_67125505.JPG")</f>
        <v>dc3b8566f287-image_67125505.JPG</v>
      </c>
      <c r="J184" t="s">
        <v>4442</v>
      </c>
      <c r="K184" t="b">
        <v>1</v>
      </c>
      <c r="L184" s="4" t="s">
        <v>4443</v>
      </c>
      <c r="M184" t="s">
        <v>4444</v>
      </c>
      <c r="N184" t="s">
        <v>354</v>
      </c>
      <c r="O184" t="s">
        <v>4445</v>
      </c>
      <c r="P184" t="s">
        <v>4446</v>
      </c>
      <c r="Q184" t="s">
        <v>189</v>
      </c>
      <c r="R184" t="s">
        <v>4442</v>
      </c>
      <c r="S184" t="s">
        <v>4447</v>
      </c>
      <c r="T184" s="4" t="s">
        <v>4448</v>
      </c>
      <c r="U184" t="s">
        <v>1039</v>
      </c>
      <c r="V184" t="s">
        <v>4449</v>
      </c>
      <c r="W184" t="s">
        <v>113</v>
      </c>
      <c r="X184" t="s">
        <v>4075</v>
      </c>
      <c r="Y184" t="s">
        <v>158</v>
      </c>
      <c r="Z184" t="s">
        <v>262</v>
      </c>
      <c r="AA184" t="s">
        <v>4075</v>
      </c>
      <c r="AB184" t="s">
        <v>4075</v>
      </c>
      <c r="AC184" s="3" t="str">
        <f>HYPERLINK("76243aed5925-Screenshot_2021_05_18_081623.png")</f>
        <v>76243aed5925-Screenshot_2021_05_18_081623.png</v>
      </c>
      <c r="AD184" t="s">
        <v>118</v>
      </c>
      <c r="AE184" t="s">
        <v>3349</v>
      </c>
      <c r="AF184" t="s">
        <v>4450</v>
      </c>
      <c r="AG184">
        <v>16.0</v>
      </c>
      <c r="AH184" s="4" t="s">
        <v>4451</v>
      </c>
      <c r="AI184" t="s">
        <v>386</v>
      </c>
      <c r="AJ184" t="s">
        <v>4075</v>
      </c>
      <c r="AK184" t="s">
        <v>139</v>
      </c>
      <c r="AL184" t="s">
        <v>199</v>
      </c>
      <c r="AM184" t="s">
        <v>4075</v>
      </c>
      <c r="AN184" t="s">
        <v>4075</v>
      </c>
      <c r="AO184" t="s">
        <v>125</v>
      </c>
      <c r="AP184">
        <v>5.0</v>
      </c>
      <c r="AQ184" t="s">
        <v>461</v>
      </c>
      <c r="AR184" t="s">
        <v>4264</v>
      </c>
      <c r="AS184" t="b">
        <v>1</v>
      </c>
      <c r="AT184" t="b">
        <v>0</v>
      </c>
      <c r="AU184" t="s">
        <v>4075</v>
      </c>
      <c r="AV184">
        <v>4.0</v>
      </c>
      <c r="AW184" t="b">
        <v>0</v>
      </c>
      <c r="AX184" t="s">
        <v>4075</v>
      </c>
      <c r="AY184" t="s">
        <v>4075</v>
      </c>
      <c r="AZ184" t="b">
        <v>0</v>
      </c>
      <c r="BA184" t="b">
        <v>0</v>
      </c>
      <c r="BB184" t="s">
        <v>4075</v>
      </c>
      <c r="BC184" t="s">
        <v>4075</v>
      </c>
      <c r="BD184" t="s">
        <v>4264</v>
      </c>
      <c r="BE184" t="s">
        <v>4075</v>
      </c>
      <c r="BF184" t="s">
        <v>4075</v>
      </c>
      <c r="BG184" t="s">
        <v>4075</v>
      </c>
      <c r="BH184" t="s">
        <v>132</v>
      </c>
      <c r="BI184">
        <v>3.0</v>
      </c>
      <c r="BJ184" t="s">
        <v>4452</v>
      </c>
      <c r="BK184">
        <v>3.0</v>
      </c>
      <c r="BL184">
        <v>3.0</v>
      </c>
      <c r="BM184" t="s">
        <v>4453</v>
      </c>
      <c r="BN184">
        <v>3.0</v>
      </c>
      <c r="BO184">
        <v>3.0</v>
      </c>
      <c r="BP184" t="s">
        <v>4454</v>
      </c>
      <c r="BQ184" t="s">
        <v>916</v>
      </c>
      <c r="BR184" t="s">
        <v>4455</v>
      </c>
      <c r="BS184" t="s">
        <v>4456</v>
      </c>
      <c r="BT184" t="s">
        <v>4075</v>
      </c>
      <c r="BU184" t="s">
        <v>139</v>
      </c>
      <c r="BV184" s="3" t="str">
        <f>HYPERLINK("https://api.typeform.com/responses/files/4a086b01202e9ebd62bac2fec0381be837f048643afe3f4ff07d9401f055d038/Screen_Shot_2021_10_07_at_2.29.23_PM.png")</f>
        <v>https://api.typeform.com/responses/files/4a086b01202e9ebd62bac2fec0381be837f048643afe3f4ff07d9401f055d038/Screen_Shot_2021_10_07_at_2.29.23_PM.png</v>
      </c>
      <c r="BW184" t="b">
        <v>1</v>
      </c>
      <c r="BX184" t="s">
        <v>1394</v>
      </c>
      <c r="BY184" t="s">
        <v>140</v>
      </c>
      <c r="BZ184" t="s">
        <v>4075</v>
      </c>
      <c r="CA184" t="s">
        <v>1395</v>
      </c>
      <c r="CB184" t="s">
        <v>4075</v>
      </c>
      <c r="CC184" t="s">
        <v>4075</v>
      </c>
      <c r="CD184">
        <v>0.0</v>
      </c>
      <c r="CE184" t="s">
        <v>4075</v>
      </c>
      <c r="CF184" t="b">
        <v>1</v>
      </c>
      <c r="CG184" t="b">
        <v>1</v>
      </c>
      <c r="CH184" t="s">
        <v>4188</v>
      </c>
      <c r="CI184" t="s">
        <v>4075</v>
      </c>
      <c r="CJ184" t="b">
        <v>1</v>
      </c>
      <c r="CK184" t="b">
        <v>1</v>
      </c>
      <c r="CL184" t="s">
        <v>387</v>
      </c>
      <c r="CM184" t="s">
        <v>387</v>
      </c>
      <c r="CN184" t="s">
        <v>4075</v>
      </c>
      <c r="CO184" t="s">
        <v>1635</v>
      </c>
      <c r="CP184" t="s">
        <v>4075</v>
      </c>
      <c r="CQ184" t="s">
        <v>387</v>
      </c>
      <c r="CR184" t="b">
        <v>1</v>
      </c>
      <c r="CS184" t="s">
        <v>4075</v>
      </c>
      <c r="CT184">
        <v>0.0</v>
      </c>
      <c r="CU184">
        <v>0.0</v>
      </c>
      <c r="CV184" t="s">
        <v>4075</v>
      </c>
      <c r="CW184" t="s">
        <v>4075</v>
      </c>
      <c r="CX184" s="4" t="s">
        <v>2914</v>
      </c>
      <c r="CY184" t="s">
        <v>4075</v>
      </c>
      <c r="CZ184" s="5">
        <v>44476.77144675926</v>
      </c>
      <c r="DA184" t="s">
        <v>4457</v>
      </c>
    </row>
    <row r="185">
      <c r="A185" t="s">
        <v>98</v>
      </c>
      <c r="B185" t="s">
        <v>4075</v>
      </c>
      <c r="C185" t="s">
        <v>4075</v>
      </c>
      <c r="D185" t="s">
        <v>4458</v>
      </c>
      <c r="E185" t="s">
        <v>4459</v>
      </c>
      <c r="F185" s="2">
        <v>38136.0</v>
      </c>
      <c r="G185" t="s">
        <v>1360</v>
      </c>
      <c r="H185" t="s">
        <v>4075</v>
      </c>
      <c r="I185" s="3" t="str">
        <f>HYPERLINK("https://api.typeform.com/responses/files/c97505a8fa89b5ab3bfddc3921797efb59e17ad7fa3b4a851295f55fada17473/received_792381081355245.jpeg")</f>
        <v>https://api.typeform.com/responses/files/c97505a8fa89b5ab3bfddc3921797efb59e17ad7fa3b4a851295f55fada17473/received_792381081355245.jpeg</v>
      </c>
      <c r="J185" t="s">
        <v>4078</v>
      </c>
      <c r="K185" t="b">
        <v>1</v>
      </c>
      <c r="L185" s="4" t="s">
        <v>4079</v>
      </c>
      <c r="M185" t="s">
        <v>4460</v>
      </c>
      <c r="N185" t="s">
        <v>354</v>
      </c>
      <c r="O185" t="s">
        <v>4461</v>
      </c>
      <c r="P185" t="s">
        <v>4082</v>
      </c>
      <c r="Q185" t="s">
        <v>292</v>
      </c>
      <c r="R185" t="s">
        <v>4083</v>
      </c>
      <c r="S185" t="s">
        <v>4462</v>
      </c>
      <c r="T185" s="4" t="s">
        <v>4085</v>
      </c>
      <c r="U185" t="s">
        <v>262</v>
      </c>
      <c r="V185" t="s">
        <v>4463</v>
      </c>
      <c r="W185" t="s">
        <v>113</v>
      </c>
      <c r="X185" t="s">
        <v>4075</v>
      </c>
      <c r="Y185" t="s">
        <v>158</v>
      </c>
      <c r="Z185" t="s">
        <v>262</v>
      </c>
      <c r="AA185" t="s">
        <v>4075</v>
      </c>
      <c r="AB185" t="s">
        <v>4075</v>
      </c>
      <c r="AC185" s="3" t="str">
        <f>HYPERLINK("https://api.typeform.com/responses/files/50a33b83199f703b20b34dea2ecf8468f06888beebd8596991dd073af9da322f/This_item_is_unavailable___Etsy.jpeg")</f>
        <v>https://api.typeform.com/responses/files/50a33b83199f703b20b34dea2ecf8468f06888beebd8596991dd073af9da322f/This_item_is_unavailable___Etsy.jpeg</v>
      </c>
      <c r="AD185" t="s">
        <v>118</v>
      </c>
      <c r="AE185" t="s">
        <v>3349</v>
      </c>
      <c r="AF185" t="s">
        <v>1196</v>
      </c>
      <c r="AG185">
        <v>16.0</v>
      </c>
      <c r="AH185" s="4" t="s">
        <v>130</v>
      </c>
      <c r="AI185" t="s">
        <v>386</v>
      </c>
      <c r="AJ185" t="s">
        <v>4075</v>
      </c>
      <c r="AK185" t="s">
        <v>4263</v>
      </c>
      <c r="AL185" t="s">
        <v>199</v>
      </c>
      <c r="AM185" t="s">
        <v>4075</v>
      </c>
      <c r="AN185" t="s">
        <v>4075</v>
      </c>
      <c r="AO185" t="s">
        <v>335</v>
      </c>
      <c r="AP185">
        <v>4.0</v>
      </c>
      <c r="AQ185" t="s">
        <v>126</v>
      </c>
      <c r="AR185" t="s">
        <v>4180</v>
      </c>
      <c r="AS185" t="b">
        <v>1</v>
      </c>
      <c r="AT185" t="b">
        <v>0</v>
      </c>
      <c r="AU185" t="s">
        <v>4075</v>
      </c>
      <c r="AV185">
        <v>5.0</v>
      </c>
      <c r="AW185" t="b">
        <v>1</v>
      </c>
      <c r="AX185" s="4" t="s">
        <v>130</v>
      </c>
      <c r="AY185" s="4" t="s">
        <v>518</v>
      </c>
      <c r="AZ185" t="b">
        <v>0</v>
      </c>
      <c r="BA185" t="b">
        <v>0</v>
      </c>
      <c r="BB185" t="s">
        <v>4075</v>
      </c>
      <c r="BC185" t="s">
        <v>4075</v>
      </c>
      <c r="BD185" t="s">
        <v>4180</v>
      </c>
      <c r="BE185" t="s">
        <v>4075</v>
      </c>
      <c r="BF185" t="s">
        <v>4075</v>
      </c>
      <c r="BG185" t="s">
        <v>4075</v>
      </c>
      <c r="BH185" t="s">
        <v>974</v>
      </c>
      <c r="BI185" t="s">
        <v>4075</v>
      </c>
      <c r="BJ185" t="s">
        <v>4075</v>
      </c>
      <c r="BK185" t="s">
        <v>4075</v>
      </c>
      <c r="BL185">
        <v>5.0</v>
      </c>
      <c r="BM185" t="s">
        <v>4464</v>
      </c>
      <c r="BN185">
        <v>5.0</v>
      </c>
      <c r="BO185">
        <v>6.0</v>
      </c>
      <c r="BP185" t="s">
        <v>4299</v>
      </c>
      <c r="BQ185" t="s">
        <v>916</v>
      </c>
      <c r="BR185" t="s">
        <v>4465</v>
      </c>
      <c r="BS185" t="s">
        <v>4466</v>
      </c>
      <c r="BT185" t="s">
        <v>4075</v>
      </c>
      <c r="BU185" t="s">
        <v>4299</v>
      </c>
      <c r="BV185" s="3" t="str">
        <f>HYPERLINK("https://api.typeform.com/responses/files/9c7a606b734aa1751a4791988dc2956837cb784661b7839081f9adf7bb351df2/Captura_de_Pantalla_2021_10_07_a_la_s__3.07.20_p._m..png")</f>
        <v>https://api.typeform.com/responses/files/9c7a606b734aa1751a4791988dc2956837cb784661b7839081f9adf7bb351df2/Captura_de_Pantalla_2021_10_07_a_la_s__3.07.20_p._m..png</v>
      </c>
      <c r="BW185" t="b">
        <v>1</v>
      </c>
      <c r="BX185" t="s">
        <v>1394</v>
      </c>
      <c r="BY185" t="s">
        <v>140</v>
      </c>
      <c r="BZ185" t="s">
        <v>4075</v>
      </c>
      <c r="CA185" t="s">
        <v>1395</v>
      </c>
      <c r="CB185" t="s">
        <v>4075</v>
      </c>
      <c r="CC185" t="s">
        <v>4075</v>
      </c>
      <c r="CD185">
        <v>0.0</v>
      </c>
      <c r="CE185" t="s">
        <v>4075</v>
      </c>
      <c r="CF185" t="b">
        <v>1</v>
      </c>
      <c r="CG185" t="b">
        <v>1</v>
      </c>
      <c r="CH185" t="s">
        <v>4188</v>
      </c>
      <c r="CI185" t="s">
        <v>4075</v>
      </c>
      <c r="CJ185" t="b">
        <v>1</v>
      </c>
      <c r="CK185" t="b">
        <v>1</v>
      </c>
      <c r="CL185" t="s">
        <v>387</v>
      </c>
      <c r="CM185" t="s">
        <v>387</v>
      </c>
      <c r="CN185" t="s">
        <v>4075</v>
      </c>
      <c r="CO185" t="s">
        <v>1635</v>
      </c>
      <c r="CP185" t="s">
        <v>4075</v>
      </c>
      <c r="CQ185" t="s">
        <v>387</v>
      </c>
      <c r="CR185" t="b">
        <v>1</v>
      </c>
      <c r="CS185" t="s">
        <v>4075</v>
      </c>
      <c r="CT185">
        <v>0.0</v>
      </c>
      <c r="CU185">
        <v>0.0</v>
      </c>
      <c r="CV185" t="s">
        <v>4075</v>
      </c>
      <c r="CW185" t="s">
        <v>4075</v>
      </c>
      <c r="CX185" s="4" t="s">
        <v>2914</v>
      </c>
      <c r="CY185" t="s">
        <v>4075</v>
      </c>
      <c r="CZ185" s="5">
        <v>44476.801828703705</v>
      </c>
      <c r="DA185" t="s">
        <v>4467</v>
      </c>
    </row>
    <row r="186">
      <c r="A186" t="s">
        <v>98</v>
      </c>
      <c r="B186" t="s">
        <v>4075</v>
      </c>
      <c r="C186" t="s">
        <v>4075</v>
      </c>
      <c r="D186" t="s">
        <v>4468</v>
      </c>
      <c r="E186" t="s">
        <v>4469</v>
      </c>
      <c r="F186" s="2">
        <v>38328.0</v>
      </c>
      <c r="G186" t="s">
        <v>1466</v>
      </c>
      <c r="H186" t="s">
        <v>4075</v>
      </c>
      <c r="I186" s="3" t="str">
        <f>HYPERLINK("https://api.typeform.com/responses/files/03ed24bd40a869fe6b9ad2753863a71867c6dfc7c16f468e06ee93cdfc8f9ca3/kevin.jpeg")</f>
        <v>https://api.typeform.com/responses/files/03ed24bd40a869fe6b9ad2753863a71867c6dfc7c16f468e06ee93cdfc8f9ca3/kevin.jpeg</v>
      </c>
      <c r="J186" t="s">
        <v>4470</v>
      </c>
      <c r="K186" t="b">
        <v>1</v>
      </c>
      <c r="L186" s="4" t="s">
        <v>4471</v>
      </c>
      <c r="M186" t="s">
        <v>4472</v>
      </c>
      <c r="N186" t="s">
        <v>149</v>
      </c>
      <c r="O186" t="s">
        <v>4473</v>
      </c>
      <c r="P186" t="s">
        <v>4474</v>
      </c>
      <c r="Q186" t="s">
        <v>189</v>
      </c>
      <c r="R186" t="s">
        <v>4475</v>
      </c>
      <c r="S186" t="s">
        <v>4476</v>
      </c>
      <c r="T186" s="4" t="s">
        <v>4477</v>
      </c>
      <c r="U186" t="s">
        <v>4478</v>
      </c>
      <c r="V186" t="s">
        <v>4106</v>
      </c>
      <c r="W186" t="s">
        <v>113</v>
      </c>
      <c r="X186" t="s">
        <v>4075</v>
      </c>
      <c r="Y186" t="s">
        <v>158</v>
      </c>
      <c r="Z186" t="s">
        <v>262</v>
      </c>
      <c r="AA186" t="s">
        <v>4075</v>
      </c>
      <c r="AB186" t="s">
        <v>4075</v>
      </c>
      <c r="AC186" s="3" t="str">
        <f>HYPERLINK("https://api.typeform.com/responses/files/4a9fa9f97514069bd74b6a40848d827eb9d46bd0ccc57df41d42b97beea2ce2d/Lamborghini_HuracánSTO_AGJRYH_21.06.09.pdf")</f>
        <v>https://api.typeform.com/responses/files/4a9fa9f97514069bd74b6a40848d827eb9d46bd0ccc57df41d42b97beea2ce2d/Lamborghini_HuracánSTO_AGJRYH_21.06.09.pdf</v>
      </c>
      <c r="AD186" t="s">
        <v>118</v>
      </c>
      <c r="AE186" t="s">
        <v>729</v>
      </c>
      <c r="AF186" t="s">
        <v>1019</v>
      </c>
      <c r="AG186">
        <v>13.0</v>
      </c>
      <c r="AH186" s="4" t="s">
        <v>1521</v>
      </c>
      <c r="AI186" t="s">
        <v>386</v>
      </c>
      <c r="AJ186" t="s">
        <v>4075</v>
      </c>
      <c r="AK186" t="s">
        <v>4075</v>
      </c>
      <c r="AL186" t="s">
        <v>199</v>
      </c>
      <c r="AM186" t="s">
        <v>4075</v>
      </c>
      <c r="AN186" t="s">
        <v>4075</v>
      </c>
      <c r="AO186" t="s">
        <v>335</v>
      </c>
      <c r="AP186">
        <v>4.0</v>
      </c>
      <c r="AQ186" t="s">
        <v>4222</v>
      </c>
      <c r="AR186" t="s">
        <v>4479</v>
      </c>
      <c r="AS186" t="b">
        <v>0</v>
      </c>
      <c r="AT186" t="s">
        <v>4075</v>
      </c>
      <c r="AU186" t="s">
        <v>4075</v>
      </c>
      <c r="AV186">
        <v>5.0</v>
      </c>
      <c r="AW186" t="b">
        <v>0</v>
      </c>
      <c r="AX186" t="s">
        <v>4075</v>
      </c>
      <c r="AY186" t="s">
        <v>4075</v>
      </c>
      <c r="AZ186" t="b">
        <v>0</v>
      </c>
      <c r="BA186" t="b">
        <v>0</v>
      </c>
      <c r="BB186" t="s">
        <v>4075</v>
      </c>
      <c r="BC186" t="s">
        <v>4075</v>
      </c>
      <c r="BD186" t="s">
        <v>4480</v>
      </c>
      <c r="BE186" t="s">
        <v>4075</v>
      </c>
      <c r="BF186" t="s">
        <v>4075</v>
      </c>
      <c r="BG186" t="s">
        <v>4075</v>
      </c>
      <c r="BH186" t="s">
        <v>132</v>
      </c>
      <c r="BI186">
        <v>1.0</v>
      </c>
      <c r="BJ186" t="s">
        <v>4481</v>
      </c>
      <c r="BK186">
        <v>4.0</v>
      </c>
      <c r="BL186">
        <v>3.0</v>
      </c>
      <c r="BM186" t="s">
        <v>4482</v>
      </c>
      <c r="BN186">
        <v>3.0</v>
      </c>
      <c r="BO186">
        <v>3.0</v>
      </c>
      <c r="BP186" t="s">
        <v>4483</v>
      </c>
      <c r="BQ186" t="s">
        <v>916</v>
      </c>
      <c r="BR186" t="s">
        <v>4484</v>
      </c>
      <c r="BS186" t="s">
        <v>4484</v>
      </c>
      <c r="BT186" t="s">
        <v>4075</v>
      </c>
      <c r="BU186" t="s">
        <v>139</v>
      </c>
      <c r="BV186" s="3" t="str">
        <f>HYPERLINK("https://api.typeform.com/responses/files/409c897e1c113544b9aae23e402f26b8434da44f6298d62f02556c8dc7c94eb8/Screen_Shot_2021_10_07_at_3.18.35_PM.png")</f>
        <v>https://api.typeform.com/responses/files/409c897e1c113544b9aae23e402f26b8434da44f6298d62f02556c8dc7c94eb8/Screen_Shot_2021_10_07_at_3.18.35_PM.png</v>
      </c>
      <c r="BW186" t="b">
        <v>1</v>
      </c>
      <c r="BX186" t="s">
        <v>1394</v>
      </c>
      <c r="BY186" t="s">
        <v>140</v>
      </c>
      <c r="BZ186" t="s">
        <v>4075</v>
      </c>
      <c r="CA186" t="s">
        <v>1395</v>
      </c>
      <c r="CB186" t="s">
        <v>4075</v>
      </c>
      <c r="CC186" t="s">
        <v>4075</v>
      </c>
      <c r="CD186">
        <v>0.0</v>
      </c>
      <c r="CE186" t="s">
        <v>4075</v>
      </c>
      <c r="CF186" t="b">
        <v>1</v>
      </c>
      <c r="CG186" t="b">
        <v>1</v>
      </c>
      <c r="CH186" t="s">
        <v>4188</v>
      </c>
      <c r="CI186" t="s">
        <v>4075</v>
      </c>
      <c r="CJ186" t="b">
        <v>1</v>
      </c>
      <c r="CK186" t="b">
        <v>1</v>
      </c>
      <c r="CL186" t="s">
        <v>387</v>
      </c>
      <c r="CM186" t="s">
        <v>4075</v>
      </c>
      <c r="CN186" t="s">
        <v>4075</v>
      </c>
      <c r="CO186" t="s">
        <v>1635</v>
      </c>
      <c r="CP186" t="s">
        <v>4075</v>
      </c>
      <c r="CQ186" t="s">
        <v>4075</v>
      </c>
      <c r="CR186" t="b">
        <v>1</v>
      </c>
      <c r="CS186" t="s">
        <v>4075</v>
      </c>
      <c r="CT186">
        <v>0.0</v>
      </c>
      <c r="CU186">
        <v>0.0</v>
      </c>
      <c r="CV186" t="s">
        <v>4075</v>
      </c>
      <c r="CW186" t="s">
        <v>4075</v>
      </c>
      <c r="CX186" s="4" t="s">
        <v>2914</v>
      </c>
      <c r="CY186" t="s">
        <v>4075</v>
      </c>
      <c r="CZ186" s="5">
        <v>44476.805868055555</v>
      </c>
      <c r="DA186" t="s">
        <v>4485</v>
      </c>
    </row>
    <row r="187">
      <c r="A187" t="s">
        <v>98</v>
      </c>
      <c r="B187" t="s">
        <v>4075</v>
      </c>
      <c r="C187" t="s">
        <v>4075</v>
      </c>
      <c r="D187" t="s">
        <v>4486</v>
      </c>
      <c r="E187" t="s">
        <v>4487</v>
      </c>
      <c r="F187" s="2">
        <v>38168.0</v>
      </c>
      <c r="G187" t="s">
        <v>1360</v>
      </c>
      <c r="H187" t="s">
        <v>4075</v>
      </c>
      <c r="I187" s="3" t="str">
        <f>HYPERLINK("https://api.typeform.com/responses/files/c1355de6c36f816ae2d4fe5cbf4ccc7c1bea674a141f7d613b5979bf7ed0dc8f/IMG_0856.jpg")</f>
        <v>https://api.typeform.com/responses/files/c1355de6c36f816ae2d4fe5cbf4ccc7c1bea674a141f7d613b5979bf7ed0dc8f/IMG_0856.jpg</v>
      </c>
      <c r="J187" t="s">
        <v>4488</v>
      </c>
      <c r="K187" t="b">
        <v>1</v>
      </c>
      <c r="L187" s="4" t="s">
        <v>4489</v>
      </c>
      <c r="M187" t="s">
        <v>4490</v>
      </c>
      <c r="N187" t="s">
        <v>354</v>
      </c>
      <c r="O187" t="s">
        <v>4491</v>
      </c>
      <c r="P187" t="s">
        <v>4492</v>
      </c>
      <c r="Q187" t="s">
        <v>292</v>
      </c>
      <c r="R187" t="s">
        <v>4493</v>
      </c>
      <c r="S187" t="s">
        <v>4494</v>
      </c>
      <c r="T187" s="4" t="s">
        <v>4489</v>
      </c>
      <c r="U187" t="s">
        <v>4495</v>
      </c>
      <c r="V187" t="s">
        <v>4496</v>
      </c>
      <c r="W187" t="s">
        <v>113</v>
      </c>
      <c r="X187" t="s">
        <v>4075</v>
      </c>
      <c r="Y187" t="s">
        <v>158</v>
      </c>
      <c r="Z187" t="s">
        <v>262</v>
      </c>
      <c r="AA187" t="s">
        <v>4075</v>
      </c>
      <c r="AB187" t="s">
        <v>4075</v>
      </c>
      <c r="AC187" s="3" t="str">
        <f>HYPERLINK("https://api.typeform.com/responses/files/d1a44760c104f989f03d83d7a96dd068508ad6c3882b0328e00f4cd7cfba083f/IMG_2211.jpg")</f>
        <v>https://api.typeform.com/responses/files/d1a44760c104f989f03d83d7a96dd068508ad6c3882b0328e00f4cd7cfba083f/IMG_2211.jpg</v>
      </c>
      <c r="AD187" t="s">
        <v>118</v>
      </c>
      <c r="AE187" t="s">
        <v>781</v>
      </c>
      <c r="AF187" t="s">
        <v>1019</v>
      </c>
      <c r="AG187">
        <v>15.0</v>
      </c>
      <c r="AH187" t="s">
        <v>139</v>
      </c>
      <c r="AI187" t="s">
        <v>121</v>
      </c>
      <c r="AJ187" t="s">
        <v>4075</v>
      </c>
      <c r="AK187" t="s">
        <v>139</v>
      </c>
      <c r="AL187" t="s">
        <v>1043</v>
      </c>
      <c r="AM187" t="s">
        <v>4075</v>
      </c>
      <c r="AN187" t="s">
        <v>4075</v>
      </c>
      <c r="AO187" t="s">
        <v>335</v>
      </c>
      <c r="AP187">
        <v>5.0</v>
      </c>
      <c r="AQ187" t="s">
        <v>461</v>
      </c>
      <c r="AR187" t="s">
        <v>4497</v>
      </c>
      <c r="AS187" t="b">
        <v>1</v>
      </c>
      <c r="AT187" t="b">
        <v>1</v>
      </c>
      <c r="AU187" t="s">
        <v>4075</v>
      </c>
      <c r="AV187">
        <v>5.0</v>
      </c>
      <c r="AW187" t="b">
        <v>1</v>
      </c>
      <c r="AX187" t="s">
        <v>1902</v>
      </c>
      <c r="AY187" s="4" t="s">
        <v>518</v>
      </c>
      <c r="AZ187" t="b">
        <v>1</v>
      </c>
      <c r="BA187" t="b">
        <v>1</v>
      </c>
      <c r="BB187" t="b">
        <v>1</v>
      </c>
      <c r="BC187" t="s">
        <v>4498</v>
      </c>
      <c r="BD187" t="s">
        <v>4075</v>
      </c>
      <c r="BE187" t="s">
        <v>4075</v>
      </c>
      <c r="BF187" t="s">
        <v>4075</v>
      </c>
      <c r="BG187" t="s">
        <v>4075</v>
      </c>
      <c r="BH187" t="s">
        <v>132</v>
      </c>
      <c r="BI187">
        <v>5.0</v>
      </c>
      <c r="BJ187" t="s">
        <v>4499</v>
      </c>
      <c r="BK187">
        <v>3.0</v>
      </c>
      <c r="BL187">
        <v>3.0</v>
      </c>
      <c r="BM187" t="s">
        <v>4500</v>
      </c>
      <c r="BN187">
        <v>4.0</v>
      </c>
      <c r="BO187">
        <v>4.0</v>
      </c>
      <c r="BP187" t="s">
        <v>4501</v>
      </c>
      <c r="BQ187" t="s">
        <v>916</v>
      </c>
      <c r="BR187" t="s">
        <v>4502</v>
      </c>
      <c r="BS187" t="s">
        <v>4503</v>
      </c>
      <c r="BT187" t="s">
        <v>4075</v>
      </c>
      <c r="BU187" t="s">
        <v>309</v>
      </c>
      <c r="BV187" s="3" t="str">
        <f>HYPERLINK("https://api.typeform.com/responses/files/d5d863096ec6697b8ebf1b47ff2dc0d4659eabbd552fa93dbec2a69b810a4008/Screen_Shot_2021_10_07_at_3.21.55_PM.png")</f>
        <v>https://api.typeform.com/responses/files/d5d863096ec6697b8ebf1b47ff2dc0d4659eabbd552fa93dbec2a69b810a4008/Screen_Shot_2021_10_07_at_3.21.55_PM.png</v>
      </c>
      <c r="BW187" t="b">
        <v>1</v>
      </c>
      <c r="BX187" t="s">
        <v>1394</v>
      </c>
      <c r="BY187" t="s">
        <v>140</v>
      </c>
      <c r="BZ187" t="s">
        <v>4075</v>
      </c>
      <c r="CA187" t="s">
        <v>1395</v>
      </c>
      <c r="CB187" t="s">
        <v>4075</v>
      </c>
      <c r="CC187" t="s">
        <v>4075</v>
      </c>
      <c r="CD187">
        <v>0.0</v>
      </c>
      <c r="CE187" t="s">
        <v>4075</v>
      </c>
      <c r="CF187" t="b">
        <v>1</v>
      </c>
      <c r="CG187" t="b">
        <v>1</v>
      </c>
      <c r="CH187" t="s">
        <v>4504</v>
      </c>
      <c r="CI187" t="s">
        <v>4075</v>
      </c>
      <c r="CJ187" t="b">
        <v>1</v>
      </c>
      <c r="CK187" t="b">
        <v>1</v>
      </c>
      <c r="CL187" t="s">
        <v>387</v>
      </c>
      <c r="CM187" t="s">
        <v>387</v>
      </c>
      <c r="CN187" t="s">
        <v>4075</v>
      </c>
      <c r="CO187" t="s">
        <v>200</v>
      </c>
      <c r="CP187" t="s">
        <v>4075</v>
      </c>
      <c r="CQ187" t="s">
        <v>387</v>
      </c>
      <c r="CR187" t="b">
        <v>1</v>
      </c>
      <c r="CS187" t="s">
        <v>4075</v>
      </c>
      <c r="CT187">
        <v>0.0</v>
      </c>
      <c r="CU187">
        <v>1.0</v>
      </c>
      <c r="CV187" t="s">
        <v>4075</v>
      </c>
      <c r="CW187" t="s">
        <v>4075</v>
      </c>
      <c r="CX187" s="4" t="s">
        <v>734</v>
      </c>
      <c r="CY187" t="s">
        <v>4075</v>
      </c>
      <c r="CZ187" s="5">
        <v>44476.80734953703</v>
      </c>
      <c r="DA187" t="s">
        <v>4505</v>
      </c>
    </row>
    <row r="188">
      <c r="A188" t="s">
        <v>98</v>
      </c>
      <c r="B188" t="s">
        <v>4075</v>
      </c>
      <c r="C188" t="s">
        <v>4075</v>
      </c>
      <c r="D188" t="s">
        <v>4506</v>
      </c>
      <c r="E188" t="s">
        <v>4507</v>
      </c>
      <c r="F188" s="2">
        <v>38351.0</v>
      </c>
      <c r="G188" t="s">
        <v>1466</v>
      </c>
      <c r="H188" t="s">
        <v>4075</v>
      </c>
      <c r="I188" s="3" t="str">
        <f>HYPERLINK("https://api.typeform.com/responses/files/3f9f64b6893cad836b5f8f6490f1bf261df591b78d540992a1e72a5dd4c68642/4B5AA686_FD49_4600_956C_976E5E20B632.jpeg")</f>
        <v>https://api.typeform.com/responses/files/3f9f64b6893cad836b5f8f6490f1bf261df591b78d540992a1e72a5dd4c68642/4B5AA686_FD49_4600_956C_976E5E20B632.jpeg</v>
      </c>
      <c r="J188" t="s">
        <v>4508</v>
      </c>
      <c r="K188" t="b">
        <v>1</v>
      </c>
      <c r="L188" s="4" t="s">
        <v>4509</v>
      </c>
      <c r="M188" t="s">
        <v>4510</v>
      </c>
      <c r="N188" t="s">
        <v>149</v>
      </c>
      <c r="O188" t="s">
        <v>4511</v>
      </c>
      <c r="P188" t="s">
        <v>4512</v>
      </c>
      <c r="Q188" t="s">
        <v>189</v>
      </c>
      <c r="R188" t="s">
        <v>4508</v>
      </c>
      <c r="S188" t="s">
        <v>4513</v>
      </c>
      <c r="T188" s="4" t="s">
        <v>4514</v>
      </c>
      <c r="U188" t="s">
        <v>3028</v>
      </c>
      <c r="V188" t="s">
        <v>4515</v>
      </c>
      <c r="W188" t="s">
        <v>2290</v>
      </c>
      <c r="X188" t="s">
        <v>4075</v>
      </c>
      <c r="Y188" t="s">
        <v>158</v>
      </c>
      <c r="Z188" t="s">
        <v>262</v>
      </c>
      <c r="AA188" t="s">
        <v>4075</v>
      </c>
      <c r="AB188" t="s">
        <v>4075</v>
      </c>
      <c r="AC188" s="3" t="str">
        <f>HYPERLINK("https://api.typeform.com/responses/files/4a6977e4a32e408c7b1076d2f9c66695ddde0d5c2f8be93d7b8df83690a20cf5/image.jpg")</f>
        <v>https://api.typeform.com/responses/files/4a6977e4a32e408c7b1076d2f9c66695ddde0d5c2f8be93d7b8df83690a20cf5/image.jpg</v>
      </c>
      <c r="AD188" t="s">
        <v>118</v>
      </c>
      <c r="AE188" t="s">
        <v>729</v>
      </c>
      <c r="AF188" t="s">
        <v>459</v>
      </c>
      <c r="AG188">
        <v>14.0</v>
      </c>
      <c r="AH188" t="s">
        <v>679</v>
      </c>
      <c r="AI188" t="s">
        <v>162</v>
      </c>
      <c r="AJ188" t="s">
        <v>4075</v>
      </c>
      <c r="AK188" t="s">
        <v>179</v>
      </c>
      <c r="AL188" t="s">
        <v>460</v>
      </c>
      <c r="AM188" t="s">
        <v>4075</v>
      </c>
      <c r="AN188" t="s">
        <v>4075</v>
      </c>
      <c r="AO188" t="s">
        <v>335</v>
      </c>
      <c r="AP188">
        <v>6.0</v>
      </c>
      <c r="AQ188" t="s">
        <v>1520</v>
      </c>
      <c r="AR188" t="s">
        <v>4516</v>
      </c>
      <c r="AS188" t="b">
        <v>1</v>
      </c>
      <c r="AT188" t="b">
        <v>0</v>
      </c>
      <c r="AU188" t="s">
        <v>4075</v>
      </c>
      <c r="AV188">
        <v>4.0</v>
      </c>
      <c r="AW188" t="b">
        <v>0</v>
      </c>
      <c r="AX188" t="s">
        <v>4075</v>
      </c>
      <c r="AY188" t="s">
        <v>4075</v>
      </c>
      <c r="AZ188" t="b">
        <v>1</v>
      </c>
      <c r="BA188" t="b">
        <v>1</v>
      </c>
      <c r="BB188" t="b">
        <v>0</v>
      </c>
      <c r="BC188" t="s">
        <v>4517</v>
      </c>
      <c r="BD188" t="s">
        <v>4075</v>
      </c>
      <c r="BE188" t="s">
        <v>4075</v>
      </c>
      <c r="BF188" t="s">
        <v>4075</v>
      </c>
      <c r="BG188" t="s">
        <v>4075</v>
      </c>
      <c r="BH188" t="s">
        <v>132</v>
      </c>
      <c r="BI188">
        <v>3.0</v>
      </c>
      <c r="BJ188" t="s">
        <v>4518</v>
      </c>
      <c r="BK188">
        <v>3.0</v>
      </c>
      <c r="BL188">
        <v>2.0</v>
      </c>
      <c r="BM188" t="s">
        <v>4519</v>
      </c>
      <c r="BN188">
        <v>2.0</v>
      </c>
      <c r="BO188">
        <v>2.0</v>
      </c>
      <c r="BP188" t="s">
        <v>4520</v>
      </c>
      <c r="BQ188" t="s">
        <v>945</v>
      </c>
      <c r="BR188" t="s">
        <v>4521</v>
      </c>
      <c r="BS188" t="s">
        <v>680</v>
      </c>
      <c r="BT188" t="s">
        <v>4075</v>
      </c>
      <c r="BU188" t="s">
        <v>139</v>
      </c>
      <c r="BV188" s="3" t="str">
        <f>HYPERLINK("https://api.typeform.com/responses/files/51cd3e69281a4607bcd9dcd6848b6a9cb36565de562a080045f9611fdae3cd41/image.jpg")</f>
        <v>https://api.typeform.com/responses/files/51cd3e69281a4607bcd9dcd6848b6a9cb36565de562a080045f9611fdae3cd41/image.jpg</v>
      </c>
      <c r="BW188" t="b">
        <v>1</v>
      </c>
      <c r="BX188" t="s">
        <v>1394</v>
      </c>
      <c r="BY188" t="s">
        <v>140</v>
      </c>
      <c r="BZ188" t="s">
        <v>4075</v>
      </c>
      <c r="CA188" t="s">
        <v>1395</v>
      </c>
      <c r="CB188" t="s">
        <v>4075</v>
      </c>
      <c r="CC188" t="s">
        <v>4075</v>
      </c>
      <c r="CD188">
        <v>0.0</v>
      </c>
      <c r="CE188" t="s">
        <v>4075</v>
      </c>
      <c r="CF188" t="b">
        <v>1</v>
      </c>
      <c r="CG188" t="b">
        <v>0</v>
      </c>
      <c r="CH188" t="s">
        <v>4522</v>
      </c>
      <c r="CI188" t="s">
        <v>4075</v>
      </c>
      <c r="CJ188" t="b">
        <v>1</v>
      </c>
      <c r="CK188" t="b">
        <v>1</v>
      </c>
      <c r="CL188" t="s">
        <v>362</v>
      </c>
      <c r="CM188" t="s">
        <v>362</v>
      </c>
      <c r="CN188" t="s">
        <v>4075</v>
      </c>
      <c r="CO188" t="s">
        <v>309</v>
      </c>
      <c r="CP188" t="s">
        <v>4075</v>
      </c>
      <c r="CQ188" t="s">
        <v>163</v>
      </c>
      <c r="CR188" t="b">
        <v>1</v>
      </c>
      <c r="CS188" t="s">
        <v>4075</v>
      </c>
      <c r="CT188">
        <v>0.0</v>
      </c>
      <c r="CU188">
        <v>0.0</v>
      </c>
      <c r="CV188" t="s">
        <v>4075</v>
      </c>
      <c r="CW188" t="s">
        <v>4075</v>
      </c>
      <c r="CX188" t="s">
        <v>4523</v>
      </c>
      <c r="CY188" t="s">
        <v>4075</v>
      </c>
      <c r="CZ188" s="5">
        <v>44476.81078703704</v>
      </c>
      <c r="DA188" t="s">
        <v>4524</v>
      </c>
    </row>
    <row r="189">
      <c r="A189" t="s">
        <v>98</v>
      </c>
      <c r="B189" t="s">
        <v>4075</v>
      </c>
      <c r="C189" t="s">
        <v>4075</v>
      </c>
      <c r="D189" t="s">
        <v>4525</v>
      </c>
      <c r="E189" t="s">
        <v>4526</v>
      </c>
      <c r="F189" s="2">
        <v>44302.0</v>
      </c>
      <c r="G189" t="s">
        <v>1466</v>
      </c>
      <c r="H189" t="s">
        <v>4075</v>
      </c>
      <c r="I189" s="3" t="str">
        <f>HYPERLINK("https://api.typeform.com/responses/files/668185c8745949484671e8879d4295702bc58c5b52dac6693ceffcad7e1f7b53/Screenshot_2021_10_07_3.07.36_PM.png")</f>
        <v>https://api.typeform.com/responses/files/668185c8745949484671e8879d4295702bc58c5b52dac6693ceffcad7e1f7b53/Screenshot_2021_10_07_3.07.36_PM.png</v>
      </c>
      <c r="J189" t="s">
        <v>4527</v>
      </c>
      <c r="K189" t="b">
        <v>1</v>
      </c>
      <c r="L189" s="4" t="s">
        <v>4528</v>
      </c>
      <c r="M189" t="s">
        <v>4529</v>
      </c>
      <c r="N189" t="s">
        <v>149</v>
      </c>
      <c r="O189" t="s">
        <v>4530</v>
      </c>
      <c r="P189" t="s">
        <v>4531</v>
      </c>
      <c r="Q189" t="s">
        <v>189</v>
      </c>
      <c r="R189" t="s">
        <v>4532</v>
      </c>
      <c r="S189" t="s">
        <v>4533</v>
      </c>
      <c r="T189" s="4" t="s">
        <v>4534</v>
      </c>
      <c r="U189" t="s">
        <v>2313</v>
      </c>
      <c r="V189" t="s">
        <v>4535</v>
      </c>
      <c r="W189" t="s">
        <v>2290</v>
      </c>
      <c r="X189" t="s">
        <v>4075</v>
      </c>
      <c r="Y189" t="s">
        <v>158</v>
      </c>
      <c r="Z189" t="s">
        <v>262</v>
      </c>
      <c r="AA189" t="s">
        <v>4075</v>
      </c>
      <c r="AB189" t="s">
        <v>4075</v>
      </c>
      <c r="AC189" s="3" t="str">
        <f>HYPERLINK("https://api.typeform.com/responses/files/43eb144bcc186feed644d8dfaf81ba9c4438773f438285526aebcdd11dd74c0b/Screenshot_2021_10_07_3.18.29_PM.png")</f>
        <v>https://api.typeform.com/responses/files/43eb144bcc186feed644d8dfaf81ba9c4438773f438285526aebcdd11dd74c0b/Screenshot_2021_10_07_3.18.29_PM.png</v>
      </c>
      <c r="AD189" t="s">
        <v>118</v>
      </c>
      <c r="AE189" t="s">
        <v>729</v>
      </c>
      <c r="AF189" t="s">
        <v>2292</v>
      </c>
      <c r="AG189">
        <v>15.0</v>
      </c>
      <c r="AH189" t="s">
        <v>4536</v>
      </c>
      <c r="AI189" t="s">
        <v>205</v>
      </c>
      <c r="AJ189" t="s">
        <v>4075</v>
      </c>
      <c r="AK189" t="s">
        <v>139</v>
      </c>
      <c r="AL189" t="s">
        <v>4431</v>
      </c>
      <c r="AM189" t="s">
        <v>4075</v>
      </c>
      <c r="AN189" t="s">
        <v>4075</v>
      </c>
      <c r="AO189" t="s">
        <v>335</v>
      </c>
      <c r="AP189">
        <v>4.0</v>
      </c>
      <c r="AQ189" t="s">
        <v>1520</v>
      </c>
      <c r="AR189" t="s">
        <v>4537</v>
      </c>
      <c r="AS189" t="b">
        <v>1</v>
      </c>
      <c r="AT189" t="b">
        <v>1</v>
      </c>
      <c r="AU189" t="s">
        <v>4075</v>
      </c>
      <c r="AV189">
        <v>4.0</v>
      </c>
      <c r="AW189" t="b">
        <v>0</v>
      </c>
      <c r="AX189" t="s">
        <v>4075</v>
      </c>
      <c r="AY189" t="s">
        <v>4075</v>
      </c>
      <c r="AZ189" t="b">
        <v>0</v>
      </c>
      <c r="BA189" t="b">
        <v>1</v>
      </c>
      <c r="BB189" t="b">
        <v>0</v>
      </c>
      <c r="BC189" t="s">
        <v>4538</v>
      </c>
      <c r="BD189" t="s">
        <v>4075</v>
      </c>
      <c r="BE189" t="s">
        <v>4075</v>
      </c>
      <c r="BF189" t="s">
        <v>4075</v>
      </c>
      <c r="BG189" t="s">
        <v>4075</v>
      </c>
      <c r="BH189" t="s">
        <v>132</v>
      </c>
      <c r="BI189">
        <v>5.0</v>
      </c>
      <c r="BJ189" s="4" t="s">
        <v>339</v>
      </c>
      <c r="BK189">
        <v>4.0</v>
      </c>
      <c r="BL189">
        <v>6.0</v>
      </c>
      <c r="BM189" t="s">
        <v>4539</v>
      </c>
      <c r="BN189">
        <v>4.0</v>
      </c>
      <c r="BO189">
        <v>4.0</v>
      </c>
      <c r="BP189" t="s">
        <v>4540</v>
      </c>
      <c r="BQ189" t="s">
        <v>4541</v>
      </c>
      <c r="BR189" t="s">
        <v>4542</v>
      </c>
      <c r="BS189" t="s">
        <v>4543</v>
      </c>
      <c r="BT189" t="s">
        <v>4075</v>
      </c>
      <c r="BU189" t="s">
        <v>4544</v>
      </c>
      <c r="BV189" s="3" t="str">
        <f>HYPERLINK("https://api.typeform.com/responses/files/e1e7befb43318db291a0c8e010ec65e49874a67a8675d6155be479595e47d454/Screenshot_2021_10_07_3.18.29_PM.png")</f>
        <v>https://api.typeform.com/responses/files/e1e7befb43318db291a0c8e010ec65e49874a67a8675d6155be479595e47d454/Screenshot_2021_10_07_3.18.29_PM.png</v>
      </c>
      <c r="BW189" t="b">
        <v>1</v>
      </c>
      <c r="BX189" t="s">
        <v>1394</v>
      </c>
      <c r="BY189" t="s">
        <v>140</v>
      </c>
      <c r="BZ189" t="s">
        <v>4075</v>
      </c>
      <c r="CA189" t="s">
        <v>1395</v>
      </c>
      <c r="CB189" t="s">
        <v>4075</v>
      </c>
      <c r="CC189" t="s">
        <v>4075</v>
      </c>
      <c r="CD189">
        <v>0.0</v>
      </c>
      <c r="CE189" t="s">
        <v>4075</v>
      </c>
      <c r="CF189" t="b">
        <v>1</v>
      </c>
      <c r="CG189" t="b">
        <v>1</v>
      </c>
      <c r="CH189" t="s">
        <v>1935</v>
      </c>
      <c r="CI189" t="s">
        <v>4075</v>
      </c>
      <c r="CJ189" t="b">
        <v>1</v>
      </c>
      <c r="CK189" t="b">
        <v>0</v>
      </c>
      <c r="CL189" t="s">
        <v>2301</v>
      </c>
      <c r="CM189" t="s">
        <v>4075</v>
      </c>
      <c r="CN189" t="s">
        <v>4075</v>
      </c>
      <c r="CO189" t="s">
        <v>1635</v>
      </c>
      <c r="CP189" t="s">
        <v>4075</v>
      </c>
      <c r="CQ189" t="s">
        <v>4075</v>
      </c>
      <c r="CR189" t="b">
        <v>1</v>
      </c>
      <c r="CS189" t="s">
        <v>4075</v>
      </c>
      <c r="CT189">
        <v>2.0</v>
      </c>
      <c r="CU189">
        <v>0.0</v>
      </c>
      <c r="CV189" t="s">
        <v>4075</v>
      </c>
      <c r="CW189" t="s">
        <v>4075</v>
      </c>
      <c r="CX189" t="s">
        <v>4545</v>
      </c>
      <c r="CY189" t="s">
        <v>4075</v>
      </c>
      <c r="CZ189" s="5">
        <v>44476.816666666666</v>
      </c>
      <c r="DA189" t="s">
        <v>4546</v>
      </c>
    </row>
    <row r="190">
      <c r="A190" t="s">
        <v>98</v>
      </c>
      <c r="B190" t="s">
        <v>4075</v>
      </c>
      <c r="C190" t="s">
        <v>4075</v>
      </c>
      <c r="D190" t="s">
        <v>4547</v>
      </c>
      <c r="E190" t="s">
        <v>4548</v>
      </c>
      <c r="F190" s="2">
        <v>38472.0</v>
      </c>
      <c r="G190" t="s">
        <v>1562</v>
      </c>
      <c r="H190" t="s">
        <v>4075</v>
      </c>
      <c r="I190" s="3" t="str">
        <f>HYPERLINK("https://api.typeform.com/responses/files/ddea2252a21759f6b90bc58b6cf80caa8b10e80832e860a237a668eca40a3f87/4005851B_1AB5_4A63_9E9F_3097F6A5584F.jpeg")</f>
        <v>https://api.typeform.com/responses/files/ddea2252a21759f6b90bc58b6cf80caa8b10e80832e860a237a668eca40a3f87/4005851B_1AB5_4A63_9E9F_3097F6A5584F.jpeg</v>
      </c>
      <c r="J190" t="s">
        <v>4549</v>
      </c>
      <c r="K190" t="b">
        <v>1</v>
      </c>
      <c r="L190" s="4" t="s">
        <v>4550</v>
      </c>
      <c r="M190" t="s">
        <v>4551</v>
      </c>
      <c r="N190" t="s">
        <v>255</v>
      </c>
      <c r="O190" t="s">
        <v>4075</v>
      </c>
      <c r="P190" t="s">
        <v>4552</v>
      </c>
      <c r="Q190" t="s">
        <v>189</v>
      </c>
      <c r="R190" t="s">
        <v>4553</v>
      </c>
      <c r="S190" t="s">
        <v>4551</v>
      </c>
      <c r="T190" s="4" t="s">
        <v>4554</v>
      </c>
      <c r="U190" t="s">
        <v>4555</v>
      </c>
      <c r="V190" t="s">
        <v>4556</v>
      </c>
      <c r="W190" t="s">
        <v>2290</v>
      </c>
      <c r="X190" t="s">
        <v>4075</v>
      </c>
      <c r="Y190" t="s">
        <v>158</v>
      </c>
      <c r="Z190" t="s">
        <v>262</v>
      </c>
      <c r="AA190" t="s">
        <v>4075</v>
      </c>
      <c r="AB190" t="s">
        <v>4075</v>
      </c>
      <c r="AC190" s="3" t="str">
        <f>HYPERLINK("https://api.typeform.com/responses/files/1715e92cf7d9d834e851d72ae8445a97e359562b3a38da3d5fd9c9e39a341a66/2D516324_B9D0_48A6_B404_B0B934366EF5.jpeg")</f>
        <v>https://api.typeform.com/responses/files/1715e92cf7d9d834e851d72ae8445a97e359562b3a38da3d5fd9c9e39a341a66/2D516324_B9D0_48A6_B404_B0B934366EF5.jpeg</v>
      </c>
      <c r="AD190" t="s">
        <v>543</v>
      </c>
      <c r="AE190" t="s">
        <v>729</v>
      </c>
      <c r="AF190" t="s">
        <v>2292</v>
      </c>
      <c r="AG190">
        <v>14.0</v>
      </c>
      <c r="AH190" s="4" t="s">
        <v>4356</v>
      </c>
      <c r="AI190" t="s">
        <v>121</v>
      </c>
      <c r="AJ190" t="s">
        <v>4075</v>
      </c>
      <c r="AK190" t="s">
        <v>179</v>
      </c>
      <c r="AL190" t="s">
        <v>199</v>
      </c>
      <c r="AM190" t="s">
        <v>4075</v>
      </c>
      <c r="AN190" t="s">
        <v>4075</v>
      </c>
      <c r="AO190" t="s">
        <v>125</v>
      </c>
      <c r="AP190">
        <v>6.0</v>
      </c>
      <c r="AQ190" t="s">
        <v>461</v>
      </c>
      <c r="AR190" t="s">
        <v>4557</v>
      </c>
      <c r="AS190" t="b">
        <v>1</v>
      </c>
      <c r="AT190" t="b">
        <v>0</v>
      </c>
      <c r="AU190" t="s">
        <v>4075</v>
      </c>
      <c r="AV190">
        <v>6.0</v>
      </c>
      <c r="AW190" t="b">
        <v>1</v>
      </c>
      <c r="AX190" t="s">
        <v>1902</v>
      </c>
      <c r="AY190" s="4" t="s">
        <v>518</v>
      </c>
      <c r="AZ190" t="b">
        <v>0</v>
      </c>
      <c r="BA190" t="b">
        <v>0</v>
      </c>
      <c r="BB190" t="s">
        <v>4075</v>
      </c>
      <c r="BC190" t="s">
        <v>4075</v>
      </c>
      <c r="BD190" t="s">
        <v>4558</v>
      </c>
      <c r="BE190" t="s">
        <v>4075</v>
      </c>
      <c r="BF190" t="s">
        <v>4075</v>
      </c>
      <c r="BG190" t="s">
        <v>4075</v>
      </c>
      <c r="BH190" t="s">
        <v>132</v>
      </c>
      <c r="BI190">
        <v>4.0</v>
      </c>
      <c r="BJ190" t="s">
        <v>4559</v>
      </c>
      <c r="BK190">
        <v>4.0</v>
      </c>
      <c r="BL190">
        <v>4.0</v>
      </c>
      <c r="BM190" t="s">
        <v>462</v>
      </c>
      <c r="BN190">
        <v>4.0</v>
      </c>
      <c r="BO190">
        <v>4.0</v>
      </c>
      <c r="BP190" t="s">
        <v>4560</v>
      </c>
      <c r="BQ190" t="s">
        <v>1931</v>
      </c>
      <c r="BR190" t="s">
        <v>4561</v>
      </c>
      <c r="BS190" t="s">
        <v>4562</v>
      </c>
      <c r="BT190" t="s">
        <v>4075</v>
      </c>
      <c r="BU190" t="s">
        <v>528</v>
      </c>
      <c r="BV190" s="3" t="str">
        <f>HYPERLINK("https://api.typeform.com/responses/files/aeeef20448a347249103a9605a2fc48b156bf75c875223de6aa36edebf8b2a51/AE91AA96_32A5_40AE_8C38_BC4F04976EA7.jpeg")</f>
        <v>https://api.typeform.com/responses/files/aeeef20448a347249103a9605a2fc48b156bf75c875223de6aa36edebf8b2a51/AE91AA96_32A5_40AE_8C38_BC4F04976EA7.jpeg</v>
      </c>
      <c r="BW190" t="b">
        <v>1</v>
      </c>
      <c r="BX190" t="s">
        <v>1394</v>
      </c>
      <c r="BY190" t="s">
        <v>140</v>
      </c>
      <c r="BZ190" t="s">
        <v>4075</v>
      </c>
      <c r="CA190" t="s">
        <v>1395</v>
      </c>
      <c r="CB190" t="s">
        <v>4075</v>
      </c>
      <c r="CC190" t="s">
        <v>4075</v>
      </c>
      <c r="CD190">
        <v>0.0</v>
      </c>
      <c r="CE190" t="s">
        <v>4075</v>
      </c>
      <c r="CF190" t="b">
        <v>1</v>
      </c>
      <c r="CG190" t="b">
        <v>1</v>
      </c>
      <c r="CH190" t="s">
        <v>4563</v>
      </c>
      <c r="CI190" t="s">
        <v>4075</v>
      </c>
      <c r="CJ190" t="b">
        <v>1</v>
      </c>
      <c r="CK190" t="b">
        <v>1</v>
      </c>
      <c r="CL190" t="s">
        <v>2301</v>
      </c>
      <c r="CM190" t="s">
        <v>4075</v>
      </c>
      <c r="CN190" t="s">
        <v>4075</v>
      </c>
      <c r="CO190" t="s">
        <v>1688</v>
      </c>
      <c r="CP190" t="s">
        <v>4075</v>
      </c>
      <c r="CQ190" t="s">
        <v>4075</v>
      </c>
      <c r="CR190" t="b">
        <v>1</v>
      </c>
      <c r="CS190" t="s">
        <v>4075</v>
      </c>
      <c r="CT190">
        <v>2.0</v>
      </c>
      <c r="CU190">
        <v>0.0</v>
      </c>
      <c r="CV190" t="s">
        <v>4564</v>
      </c>
      <c r="CW190" t="s">
        <v>4075</v>
      </c>
      <c r="CX190" s="4" t="s">
        <v>520</v>
      </c>
      <c r="CY190" t="s">
        <v>4075</v>
      </c>
      <c r="CZ190" s="5">
        <v>44476.817453703705</v>
      </c>
      <c r="DA190" t="s">
        <v>4565</v>
      </c>
    </row>
    <row r="191">
      <c r="A191" t="s">
        <v>98</v>
      </c>
      <c r="B191" t="s">
        <v>4075</v>
      </c>
      <c r="C191" t="s">
        <v>4075</v>
      </c>
      <c r="D191" t="s">
        <v>4566</v>
      </c>
      <c r="E191" t="s">
        <v>4567</v>
      </c>
      <c r="F191" s="2">
        <v>38134.0</v>
      </c>
      <c r="G191" t="s">
        <v>1360</v>
      </c>
      <c r="H191" t="s">
        <v>4075</v>
      </c>
      <c r="I191" s="3" t="str">
        <f>HYPERLINK("https://api.typeform.com/responses/files/a017607fb563d9c3c627854747247993216a14ea77e6fc2ffa54d0f4da501a1e/IMG_20211007_151500.jpg")</f>
        <v>https://api.typeform.com/responses/files/a017607fb563d9c3c627854747247993216a14ea77e6fc2ffa54d0f4da501a1e/IMG_20211007_151500.jpg</v>
      </c>
      <c r="J191" t="s">
        <v>4568</v>
      </c>
      <c r="K191" t="b">
        <v>1</v>
      </c>
      <c r="L191" s="4" t="s">
        <v>4569</v>
      </c>
      <c r="M191" t="s">
        <v>4570</v>
      </c>
      <c r="N191" t="s">
        <v>255</v>
      </c>
      <c r="O191" t="s">
        <v>990</v>
      </c>
      <c r="P191" t="s">
        <v>4571</v>
      </c>
      <c r="Q191" t="s">
        <v>189</v>
      </c>
      <c r="R191" t="s">
        <v>4572</v>
      </c>
      <c r="S191" t="s">
        <v>4573</v>
      </c>
      <c r="T191" s="4" t="s">
        <v>4574</v>
      </c>
      <c r="U191" t="s">
        <v>3028</v>
      </c>
      <c r="V191" t="s">
        <v>4575</v>
      </c>
      <c r="W191" t="s">
        <v>2290</v>
      </c>
      <c r="X191" t="s">
        <v>4075</v>
      </c>
      <c r="Y191" t="s">
        <v>158</v>
      </c>
      <c r="Z191" t="s">
        <v>262</v>
      </c>
      <c r="AA191" t="s">
        <v>4075</v>
      </c>
      <c r="AB191" t="s">
        <v>4075</v>
      </c>
      <c r="AC191" s="3" t="str">
        <f>HYPERLINK("https://api.typeform.com/responses/files/8825a30dfd2f1b2108df7354b6b045608fc0f2fda799b8d8d6897e178722bbda/Screenshot_2021_10_07_at_3.26.05_PM.png")</f>
        <v>https://api.typeform.com/responses/files/8825a30dfd2f1b2108df7354b6b045608fc0f2fda799b8d8d6897e178722bbda/Screenshot_2021_10_07_at_3.26.05_PM.png</v>
      </c>
      <c r="AD191" t="s">
        <v>118</v>
      </c>
      <c r="AE191" t="s">
        <v>729</v>
      </c>
      <c r="AF191" t="s">
        <v>4576</v>
      </c>
      <c r="AG191">
        <v>2019.0</v>
      </c>
      <c r="AH191" t="s">
        <v>3387</v>
      </c>
      <c r="AI191" t="s">
        <v>386</v>
      </c>
      <c r="AJ191" t="s">
        <v>4075</v>
      </c>
      <c r="AK191" t="s">
        <v>2876</v>
      </c>
      <c r="AL191" t="s">
        <v>1043</v>
      </c>
      <c r="AM191" t="s">
        <v>4075</v>
      </c>
      <c r="AN191" t="s">
        <v>4075</v>
      </c>
      <c r="AO191" t="s">
        <v>335</v>
      </c>
      <c r="AP191">
        <v>7.0</v>
      </c>
      <c r="AQ191" t="s">
        <v>2625</v>
      </c>
      <c r="AR191" t="s">
        <v>4577</v>
      </c>
      <c r="AS191" t="b">
        <v>1</v>
      </c>
      <c r="AT191" t="b">
        <v>1</v>
      </c>
      <c r="AU191" t="s">
        <v>4075</v>
      </c>
      <c r="AV191">
        <v>6.0</v>
      </c>
      <c r="AW191" t="b">
        <v>1</v>
      </c>
      <c r="AX191" t="s">
        <v>1902</v>
      </c>
      <c r="AY191" s="4" t="s">
        <v>518</v>
      </c>
      <c r="AZ191" t="b">
        <v>1</v>
      </c>
      <c r="BA191" t="b">
        <v>1</v>
      </c>
      <c r="BB191" t="b">
        <v>1</v>
      </c>
      <c r="BC191" t="s">
        <v>4578</v>
      </c>
      <c r="BD191" t="s">
        <v>4075</v>
      </c>
      <c r="BE191" t="s">
        <v>4075</v>
      </c>
      <c r="BF191" t="s">
        <v>4075</v>
      </c>
      <c r="BG191" t="s">
        <v>4075</v>
      </c>
      <c r="BH191" t="s">
        <v>132</v>
      </c>
      <c r="BI191">
        <v>5.0</v>
      </c>
      <c r="BJ191" t="s">
        <v>4579</v>
      </c>
      <c r="BK191">
        <v>6.0</v>
      </c>
      <c r="BL191">
        <v>5.0</v>
      </c>
      <c r="BM191" t="s">
        <v>4577</v>
      </c>
      <c r="BN191">
        <v>5.0</v>
      </c>
      <c r="BO191">
        <v>5.0</v>
      </c>
      <c r="BP191" t="s">
        <v>4580</v>
      </c>
      <c r="BQ191" t="s">
        <v>626</v>
      </c>
      <c r="BR191" t="s">
        <v>4581</v>
      </c>
      <c r="BS191" t="s">
        <v>4582</v>
      </c>
      <c r="BT191" t="s">
        <v>4075</v>
      </c>
      <c r="BU191" t="s">
        <v>4583</v>
      </c>
      <c r="BV191" s="3" t="str">
        <f>HYPERLINK("https://api.typeform.com/responses/files/3746f265a59a2d4f925ea7f3a25cf837350fe1c0f00dc5cb1d9727639e6bd1b9/IMG_20211007_151500.jpg")</f>
        <v>https://api.typeform.com/responses/files/3746f265a59a2d4f925ea7f3a25cf837350fe1c0f00dc5cb1d9727639e6bd1b9/IMG_20211007_151500.jpg</v>
      </c>
      <c r="BW191" t="b">
        <v>1</v>
      </c>
      <c r="BX191" t="s">
        <v>1394</v>
      </c>
      <c r="BY191" t="s">
        <v>140</v>
      </c>
      <c r="BZ191" t="s">
        <v>4075</v>
      </c>
      <c r="CA191" t="s">
        <v>1395</v>
      </c>
      <c r="CB191" t="s">
        <v>4075</v>
      </c>
      <c r="CC191" t="s">
        <v>4075</v>
      </c>
      <c r="CD191">
        <v>0.0</v>
      </c>
      <c r="CE191" t="s">
        <v>4075</v>
      </c>
      <c r="CF191" t="b">
        <v>1</v>
      </c>
      <c r="CG191" t="b">
        <v>1</v>
      </c>
      <c r="CH191" t="s">
        <v>1557</v>
      </c>
      <c r="CI191" t="s">
        <v>4075</v>
      </c>
      <c r="CJ191" t="b">
        <v>1</v>
      </c>
      <c r="CK191" t="b">
        <v>1</v>
      </c>
      <c r="CL191" t="s">
        <v>2301</v>
      </c>
      <c r="CM191" t="s">
        <v>2301</v>
      </c>
      <c r="CN191" t="s">
        <v>4075</v>
      </c>
      <c r="CO191" t="s">
        <v>2888</v>
      </c>
      <c r="CP191" t="s">
        <v>4075</v>
      </c>
      <c r="CQ191" t="s">
        <v>2301</v>
      </c>
      <c r="CR191" t="b">
        <v>1</v>
      </c>
      <c r="CS191" t="s">
        <v>4075</v>
      </c>
      <c r="CT191">
        <v>2.0</v>
      </c>
      <c r="CU191">
        <v>2.0</v>
      </c>
      <c r="CV191" t="s">
        <v>4075</v>
      </c>
      <c r="CW191" t="s">
        <v>4075</v>
      </c>
      <c r="CX191" s="4" t="s">
        <v>520</v>
      </c>
      <c r="CY191" t="s">
        <v>4075</v>
      </c>
      <c r="CZ191" s="5">
        <v>44476.818344907406</v>
      </c>
      <c r="DA191" t="s">
        <v>4584</v>
      </c>
    </row>
    <row r="192">
      <c r="A192" t="s">
        <v>98</v>
      </c>
      <c r="B192" t="s">
        <v>4075</v>
      </c>
      <c r="C192" t="s">
        <v>4075</v>
      </c>
      <c r="D192" t="s">
        <v>4585</v>
      </c>
      <c r="E192" t="s">
        <v>4586</v>
      </c>
      <c r="F192" s="2">
        <v>38650.0</v>
      </c>
      <c r="G192" t="s">
        <v>1466</v>
      </c>
      <c r="H192" t="s">
        <v>4075</v>
      </c>
      <c r="I192" s="3" t="str">
        <f>HYPERLINK("https://api.typeform.com/responses/files/7da3d46741b300688f7a68fe124a3aad8f5b2c794d701e7cfdd5f37873313216/Screen_Shot_2021_10_07_at_2.06.53_PM.png")</f>
        <v>https://api.typeform.com/responses/files/7da3d46741b300688f7a68fe124a3aad8f5b2c794d701e7cfdd5f37873313216/Screen_Shot_2021_10_07_at_2.06.53_PM.png</v>
      </c>
      <c r="J192" t="s">
        <v>4587</v>
      </c>
      <c r="K192" t="b">
        <v>1</v>
      </c>
      <c r="L192" s="4" t="s">
        <v>4588</v>
      </c>
      <c r="M192" t="s">
        <v>4589</v>
      </c>
      <c r="N192" t="s">
        <v>354</v>
      </c>
      <c r="O192" t="s">
        <v>990</v>
      </c>
      <c r="P192" t="s">
        <v>4590</v>
      </c>
      <c r="Q192" t="s">
        <v>189</v>
      </c>
      <c r="R192" t="s">
        <v>4591</v>
      </c>
      <c r="S192" s="4" t="s">
        <v>4372</v>
      </c>
      <c r="T192" s="4" t="s">
        <v>4592</v>
      </c>
      <c r="U192" t="s">
        <v>933</v>
      </c>
      <c r="V192" t="s">
        <v>4593</v>
      </c>
      <c r="W192" t="s">
        <v>113</v>
      </c>
      <c r="X192" t="s">
        <v>4075</v>
      </c>
      <c r="Y192" t="s">
        <v>158</v>
      </c>
      <c r="Z192" t="s">
        <v>262</v>
      </c>
      <c r="AA192" t="s">
        <v>4075</v>
      </c>
      <c r="AB192" t="s">
        <v>4075</v>
      </c>
      <c r="AC192" s="3" t="str">
        <f>HYPERLINK("https://api.typeform.com/responses/files/ae7180f07be8a2dc3a9e1d1eb07998b61539b9ff383f3339fbad770573a976bf/Screen_Shot_2021_05_03_at_12.55.01_PM.png")</f>
        <v>https://api.typeform.com/responses/files/ae7180f07be8a2dc3a9e1d1eb07998b61539b9ff383f3339fbad770573a976bf/Screen_Shot_2021_05_03_at_12.55.01_PM.png</v>
      </c>
      <c r="AD192" t="s">
        <v>118</v>
      </c>
      <c r="AE192" t="s">
        <v>729</v>
      </c>
      <c r="AF192" t="s">
        <v>4324</v>
      </c>
      <c r="AG192">
        <v>15.0</v>
      </c>
      <c r="AH192" t="s">
        <v>4594</v>
      </c>
      <c r="AI192" t="s">
        <v>386</v>
      </c>
      <c r="AJ192" t="s">
        <v>4075</v>
      </c>
      <c r="AK192" t="s">
        <v>4595</v>
      </c>
      <c r="AL192" t="s">
        <v>1706</v>
      </c>
      <c r="AM192" t="s">
        <v>4075</v>
      </c>
      <c r="AN192" t="s">
        <v>4075</v>
      </c>
      <c r="AO192" t="s">
        <v>335</v>
      </c>
      <c r="AP192">
        <v>4.0</v>
      </c>
      <c r="AQ192" t="s">
        <v>461</v>
      </c>
      <c r="AR192" t="s">
        <v>4596</v>
      </c>
      <c r="AS192" t="b">
        <v>0</v>
      </c>
      <c r="AT192" t="s">
        <v>4075</v>
      </c>
      <c r="AU192" t="s">
        <v>4075</v>
      </c>
      <c r="AV192">
        <v>4.0</v>
      </c>
      <c r="AW192" t="b">
        <v>0</v>
      </c>
      <c r="AX192" t="s">
        <v>4075</v>
      </c>
      <c r="AY192" t="s">
        <v>4075</v>
      </c>
      <c r="AZ192" t="b">
        <v>0</v>
      </c>
      <c r="BA192" t="b">
        <v>0</v>
      </c>
      <c r="BB192" t="s">
        <v>4075</v>
      </c>
      <c r="BC192" t="s">
        <v>4075</v>
      </c>
      <c r="BD192" t="s">
        <v>4597</v>
      </c>
      <c r="BE192" t="s">
        <v>4075</v>
      </c>
      <c r="BF192" t="s">
        <v>4075</v>
      </c>
      <c r="BG192" t="s">
        <v>4075</v>
      </c>
      <c r="BH192" t="s">
        <v>132</v>
      </c>
      <c r="BI192">
        <v>1.0</v>
      </c>
      <c r="BJ192" t="s">
        <v>4598</v>
      </c>
      <c r="BK192">
        <v>1.0</v>
      </c>
      <c r="BL192">
        <v>4.0</v>
      </c>
      <c r="BM192" t="s">
        <v>4599</v>
      </c>
      <c r="BN192">
        <v>3.0</v>
      </c>
      <c r="BO192">
        <v>4.0</v>
      </c>
      <c r="BP192" t="s">
        <v>4600</v>
      </c>
      <c r="BQ192" t="s">
        <v>916</v>
      </c>
      <c r="BR192" t="s">
        <v>4601</v>
      </c>
      <c r="BS192" t="s">
        <v>4602</v>
      </c>
      <c r="BT192" t="s">
        <v>4075</v>
      </c>
      <c r="BU192" t="s">
        <v>4603</v>
      </c>
      <c r="BV192" s="3" t="str">
        <f>HYPERLINK("https://api.typeform.com/responses/files/2221696975e29ba6da032ae302b3254ba323ad23c44d3c05bb8d2cff6199631b/Screen_Shot_2021_10_07_at_3.32.03_PM.png")</f>
        <v>https://api.typeform.com/responses/files/2221696975e29ba6da032ae302b3254ba323ad23c44d3c05bb8d2cff6199631b/Screen_Shot_2021_10_07_at_3.32.03_PM.png</v>
      </c>
      <c r="BW192" t="b">
        <v>1</v>
      </c>
      <c r="BX192" t="s">
        <v>1394</v>
      </c>
      <c r="BY192" t="s">
        <v>140</v>
      </c>
      <c r="BZ192" t="s">
        <v>4075</v>
      </c>
      <c r="CA192" t="s">
        <v>1395</v>
      </c>
      <c r="CB192" t="s">
        <v>4075</v>
      </c>
      <c r="CC192" t="s">
        <v>4075</v>
      </c>
      <c r="CD192">
        <v>0.0</v>
      </c>
      <c r="CE192" t="s">
        <v>4075</v>
      </c>
      <c r="CF192" t="b">
        <v>1</v>
      </c>
      <c r="CG192" t="b">
        <v>1</v>
      </c>
      <c r="CH192" t="s">
        <v>4604</v>
      </c>
      <c r="CI192" t="s">
        <v>4075</v>
      </c>
      <c r="CJ192" t="b">
        <v>1</v>
      </c>
      <c r="CK192" t="b">
        <v>1</v>
      </c>
      <c r="CL192" t="s">
        <v>387</v>
      </c>
      <c r="CM192" t="s">
        <v>387</v>
      </c>
      <c r="CN192" t="s">
        <v>4075</v>
      </c>
      <c r="CO192" t="s">
        <v>4605</v>
      </c>
      <c r="CP192" t="s">
        <v>4075</v>
      </c>
      <c r="CQ192" t="s">
        <v>387</v>
      </c>
      <c r="CR192" t="b">
        <v>1</v>
      </c>
      <c r="CS192" t="s">
        <v>4075</v>
      </c>
      <c r="CT192">
        <v>0.0</v>
      </c>
      <c r="CU192">
        <v>0.0</v>
      </c>
      <c r="CV192" t="s">
        <v>4075</v>
      </c>
      <c r="CW192" t="s">
        <v>4075</v>
      </c>
      <c r="CX192" t="s">
        <v>4606</v>
      </c>
      <c r="CY192" t="s">
        <v>4075</v>
      </c>
      <c r="CZ192" s="5">
        <v>44476.81862268518</v>
      </c>
      <c r="DA192" t="s">
        <v>4607</v>
      </c>
    </row>
    <row r="193">
      <c r="A193" t="s">
        <v>98</v>
      </c>
      <c r="B193" t="s">
        <v>4075</v>
      </c>
      <c r="C193" t="s">
        <v>4075</v>
      </c>
      <c r="D193" t="s">
        <v>4608</v>
      </c>
      <c r="E193" t="s">
        <v>4609</v>
      </c>
      <c r="F193" s="2">
        <v>44476.0</v>
      </c>
      <c r="G193" t="s">
        <v>1466</v>
      </c>
      <c r="H193" t="s">
        <v>4075</v>
      </c>
      <c r="I193" s="3" t="str">
        <f>HYPERLINK("https://api.typeform.com/responses/files/43dfbd988595c85cf5c69ec3e6eccf5033d52aa3cae378849377bf91d233b262/444711E3_41CF_41E6_9FAF_9BFFAB58C98F.jpeg")</f>
        <v>https://api.typeform.com/responses/files/43dfbd988595c85cf5c69ec3e6eccf5033d52aa3cae378849377bf91d233b262/444711E3_41CF_41E6_9FAF_9BFFAB58C98F.jpeg</v>
      </c>
      <c r="J193" t="s">
        <v>4610</v>
      </c>
      <c r="K193" t="b">
        <v>1</v>
      </c>
      <c r="L193" s="4" t="s">
        <v>4611</v>
      </c>
      <c r="M193" t="s">
        <v>4612</v>
      </c>
      <c r="N193" t="s">
        <v>149</v>
      </c>
      <c r="O193" t="s">
        <v>4075</v>
      </c>
      <c r="P193" t="s">
        <v>4613</v>
      </c>
      <c r="Q193" t="s">
        <v>152</v>
      </c>
      <c r="R193" t="s">
        <v>4614</v>
      </c>
      <c r="S193" t="s">
        <v>4612</v>
      </c>
      <c r="T193" s="4" t="s">
        <v>4615</v>
      </c>
      <c r="U193" t="s">
        <v>4616</v>
      </c>
      <c r="V193" t="s">
        <v>4617</v>
      </c>
      <c r="W193" t="s">
        <v>2290</v>
      </c>
      <c r="X193" t="s">
        <v>4075</v>
      </c>
      <c r="Y193" t="s">
        <v>158</v>
      </c>
      <c r="Z193" t="s">
        <v>262</v>
      </c>
      <c r="AA193" t="s">
        <v>4075</v>
      </c>
      <c r="AB193" t="s">
        <v>4075</v>
      </c>
      <c r="AC193" s="3" t="str">
        <f>HYPERLINK("https://api.typeform.com/responses/files/933dfb1e1ab274711c4be7fe647fd78b7ebe8ed52a46057bb254a41aec3589dd/F8A5CC0B_99EB_4366_90D9_7E1790653D3E.jpeg")</f>
        <v>https://api.typeform.com/responses/files/933dfb1e1ab274711c4be7fe647fd78b7ebe8ed52a46057bb254a41aec3589dd/F8A5CC0B_99EB_4366_90D9_7E1790653D3E.jpeg</v>
      </c>
      <c r="AD193" t="s">
        <v>118</v>
      </c>
      <c r="AE193" t="s">
        <v>729</v>
      </c>
      <c r="AF193" t="s">
        <v>459</v>
      </c>
      <c r="AG193">
        <v>16.0</v>
      </c>
      <c r="AH193" t="s">
        <v>546</v>
      </c>
      <c r="AI193" t="s">
        <v>162</v>
      </c>
      <c r="AJ193" t="s">
        <v>4075</v>
      </c>
      <c r="AK193" t="s">
        <v>546</v>
      </c>
      <c r="AL193" t="s">
        <v>460</v>
      </c>
      <c r="AM193" t="s">
        <v>4075</v>
      </c>
      <c r="AN193" t="s">
        <v>4075</v>
      </c>
      <c r="AO193" t="s">
        <v>1479</v>
      </c>
      <c r="AP193">
        <v>1.0</v>
      </c>
      <c r="AQ193" t="s">
        <v>2240</v>
      </c>
      <c r="AR193" t="s">
        <v>546</v>
      </c>
      <c r="AS193" t="b">
        <v>1</v>
      </c>
      <c r="AT193" t="b">
        <v>0</v>
      </c>
      <c r="AU193" t="s">
        <v>4075</v>
      </c>
      <c r="AV193">
        <v>1.0</v>
      </c>
      <c r="AW193" t="b">
        <v>0</v>
      </c>
      <c r="AX193" t="s">
        <v>4075</v>
      </c>
      <c r="AY193" t="s">
        <v>4075</v>
      </c>
      <c r="AZ193" t="b">
        <v>1</v>
      </c>
      <c r="BA193" t="b">
        <v>0</v>
      </c>
      <c r="BB193" t="s">
        <v>4075</v>
      </c>
      <c r="BC193" t="s">
        <v>4075</v>
      </c>
      <c r="BD193" t="s">
        <v>546</v>
      </c>
      <c r="BE193" t="s">
        <v>4075</v>
      </c>
      <c r="BF193" t="s">
        <v>4075</v>
      </c>
      <c r="BG193" t="s">
        <v>4075</v>
      </c>
      <c r="BH193" t="s">
        <v>132</v>
      </c>
      <c r="BI193">
        <v>1.0</v>
      </c>
      <c r="BJ193" t="s">
        <v>546</v>
      </c>
      <c r="BK193">
        <v>1.0</v>
      </c>
      <c r="BL193">
        <v>1.0</v>
      </c>
      <c r="BM193" t="s">
        <v>546</v>
      </c>
      <c r="BN193">
        <v>1.0</v>
      </c>
      <c r="BO193">
        <v>1.0</v>
      </c>
      <c r="BP193" t="s">
        <v>546</v>
      </c>
      <c r="BQ193" t="s">
        <v>4618</v>
      </c>
      <c r="BR193" t="s">
        <v>546</v>
      </c>
      <c r="BS193" t="s">
        <v>546</v>
      </c>
      <c r="BT193" t="s">
        <v>4075</v>
      </c>
      <c r="BU193" t="s">
        <v>546</v>
      </c>
      <c r="BV193" s="3" t="str">
        <f>HYPERLINK("https://api.typeform.com/responses/files/93cd213ffb2a78970f65b10b638abdefdd2b732467b621d48747ab153c75ce8c/BE36B3E7_472A_4658_A6D7_DFDB7A2FEA17.jpeg")</f>
        <v>https://api.typeform.com/responses/files/93cd213ffb2a78970f65b10b638abdefdd2b732467b621d48747ab153c75ce8c/BE36B3E7_472A_4658_A6D7_DFDB7A2FEA17.jpeg</v>
      </c>
      <c r="BW193" t="b">
        <v>1</v>
      </c>
      <c r="BX193" t="s">
        <v>1394</v>
      </c>
      <c r="BY193" t="s">
        <v>140</v>
      </c>
      <c r="BZ193" t="s">
        <v>4075</v>
      </c>
      <c r="CA193" t="s">
        <v>1395</v>
      </c>
      <c r="CB193" t="s">
        <v>4075</v>
      </c>
      <c r="CC193" t="s">
        <v>4075</v>
      </c>
      <c r="CD193">
        <v>0.0</v>
      </c>
      <c r="CE193" t="s">
        <v>4075</v>
      </c>
      <c r="CF193" t="b">
        <v>0</v>
      </c>
      <c r="CG193" t="b">
        <v>0</v>
      </c>
      <c r="CH193" t="s">
        <v>546</v>
      </c>
      <c r="CI193" t="s">
        <v>4075</v>
      </c>
      <c r="CJ193" t="b">
        <v>0</v>
      </c>
      <c r="CK193" t="b">
        <v>0</v>
      </c>
      <c r="CL193" t="s">
        <v>362</v>
      </c>
      <c r="CM193" t="s">
        <v>362</v>
      </c>
      <c r="CN193" t="s">
        <v>4075</v>
      </c>
      <c r="CO193" t="s">
        <v>546</v>
      </c>
      <c r="CP193" t="s">
        <v>4075</v>
      </c>
      <c r="CQ193" t="s">
        <v>362</v>
      </c>
      <c r="CR193" t="b">
        <v>1</v>
      </c>
      <c r="CS193" t="s">
        <v>4075</v>
      </c>
      <c r="CT193">
        <v>1.0</v>
      </c>
      <c r="CU193">
        <v>1.0</v>
      </c>
      <c r="CV193" t="s">
        <v>4075</v>
      </c>
      <c r="CW193" t="s">
        <v>4075</v>
      </c>
      <c r="CX193" t="s">
        <v>546</v>
      </c>
      <c r="CY193" t="s">
        <v>4075</v>
      </c>
      <c r="CZ193" s="5">
        <v>44476.81949074074</v>
      </c>
      <c r="DA193" t="s">
        <v>4619</v>
      </c>
    </row>
    <row r="194">
      <c r="A194" t="s">
        <v>98</v>
      </c>
      <c r="B194" t="s">
        <v>4075</v>
      </c>
      <c r="C194" t="s">
        <v>4075</v>
      </c>
      <c r="D194" t="s">
        <v>4620</v>
      </c>
      <c r="E194" t="s">
        <v>4621</v>
      </c>
      <c r="F194" s="2">
        <v>38648.0</v>
      </c>
      <c r="G194" t="s">
        <v>1466</v>
      </c>
      <c r="H194" t="s">
        <v>4075</v>
      </c>
      <c r="I194" s="3" t="str">
        <f>HYPERLINK("https://api.typeform.com/responses/files/0de3581e6abd4e4d0be6da72ba4d9bbf1947b42705ef2deb716137fa6737f45c/4991ECA4_99D0_4094_B8C2_38B7A8CE1E73.jpg")</f>
        <v>https://api.typeform.com/responses/files/0de3581e6abd4e4d0be6da72ba4d9bbf1947b42705ef2deb716137fa6737f45c/4991ECA4_99D0_4094_B8C2_38B7A8CE1E73.jpg</v>
      </c>
      <c r="J194" t="s">
        <v>4622</v>
      </c>
      <c r="K194" t="b">
        <v>1</v>
      </c>
      <c r="L194" s="4" t="s">
        <v>4623</v>
      </c>
      <c r="M194" t="s">
        <v>4624</v>
      </c>
      <c r="N194" t="s">
        <v>354</v>
      </c>
      <c r="O194" t="s">
        <v>4625</v>
      </c>
      <c r="P194" t="s">
        <v>4626</v>
      </c>
      <c r="Q194" t="s">
        <v>189</v>
      </c>
      <c r="R194" t="s">
        <v>4627</v>
      </c>
      <c r="S194" t="s">
        <v>4624</v>
      </c>
      <c r="T194" s="4" t="s">
        <v>4628</v>
      </c>
      <c r="U194" t="s">
        <v>4629</v>
      </c>
      <c r="V194" t="s">
        <v>4630</v>
      </c>
      <c r="W194" t="s">
        <v>2290</v>
      </c>
      <c r="X194" t="s">
        <v>4075</v>
      </c>
      <c r="Y194" t="s">
        <v>158</v>
      </c>
      <c r="Z194" t="s">
        <v>262</v>
      </c>
      <c r="AA194" t="s">
        <v>4075</v>
      </c>
      <c r="AB194" t="s">
        <v>4075</v>
      </c>
      <c r="AC194" s="3" t="str">
        <f>HYPERLINK("https://api.typeform.com/responses/files/4a2b6662e4d1f31aff7f1933f1b2ee8bf19dfefd4c22a776162c3aedf60e8ffd/Screenshot_2021_10_07_15.27.05.png")</f>
        <v>https://api.typeform.com/responses/files/4a2b6662e4d1f31aff7f1933f1b2ee8bf19dfefd4c22a776162c3aedf60e8ffd/Screenshot_2021_10_07_15.27.05.png</v>
      </c>
      <c r="AD194" t="s">
        <v>543</v>
      </c>
      <c r="AE194" t="s">
        <v>729</v>
      </c>
      <c r="AF194" t="s">
        <v>4631</v>
      </c>
      <c r="AG194">
        <v>13.0</v>
      </c>
      <c r="AH194" s="4" t="s">
        <v>639</v>
      </c>
      <c r="AI194" t="s">
        <v>386</v>
      </c>
      <c r="AJ194" t="s">
        <v>4075</v>
      </c>
      <c r="AK194" t="s">
        <v>4075</v>
      </c>
      <c r="AL194" t="s">
        <v>4632</v>
      </c>
      <c r="AM194" t="s">
        <v>4075</v>
      </c>
      <c r="AN194" t="s">
        <v>4075</v>
      </c>
      <c r="AO194" t="s">
        <v>1479</v>
      </c>
      <c r="AP194">
        <v>4.0</v>
      </c>
      <c r="AQ194" t="s">
        <v>4222</v>
      </c>
      <c r="AR194" t="s">
        <v>4633</v>
      </c>
      <c r="AS194" t="b">
        <v>1</v>
      </c>
      <c r="AT194" t="b">
        <v>1</v>
      </c>
      <c r="AU194" t="s">
        <v>4075</v>
      </c>
      <c r="AV194">
        <v>5.0</v>
      </c>
      <c r="AW194" t="b">
        <v>1</v>
      </c>
      <c r="AX194" t="s">
        <v>2797</v>
      </c>
      <c r="AY194" s="4" t="s">
        <v>518</v>
      </c>
      <c r="AZ194" t="b">
        <v>0</v>
      </c>
      <c r="BA194" t="b">
        <v>1</v>
      </c>
      <c r="BB194" t="b">
        <v>0</v>
      </c>
      <c r="BC194" t="s">
        <v>4634</v>
      </c>
      <c r="BD194" t="s">
        <v>4075</v>
      </c>
      <c r="BE194" t="s">
        <v>4075</v>
      </c>
      <c r="BF194" t="s">
        <v>4075</v>
      </c>
      <c r="BG194" t="s">
        <v>4075</v>
      </c>
      <c r="BH194" t="s">
        <v>974</v>
      </c>
      <c r="BI194" t="s">
        <v>4075</v>
      </c>
      <c r="BJ194" t="s">
        <v>4075</v>
      </c>
      <c r="BK194" t="s">
        <v>4075</v>
      </c>
      <c r="BL194">
        <v>6.0</v>
      </c>
      <c r="BM194" s="4" t="s">
        <v>273</v>
      </c>
      <c r="BN194">
        <v>6.0</v>
      </c>
      <c r="BO194">
        <v>3.0</v>
      </c>
      <c r="BP194" s="4" t="s">
        <v>3727</v>
      </c>
      <c r="BQ194" t="s">
        <v>4635</v>
      </c>
      <c r="BR194" t="s">
        <v>4636</v>
      </c>
      <c r="BS194" t="s">
        <v>4637</v>
      </c>
      <c r="BT194" t="s">
        <v>4075</v>
      </c>
      <c r="BU194" t="s">
        <v>4638</v>
      </c>
      <c r="BV194" s="3" t="str">
        <f>HYPERLINK("https://api.typeform.com/responses/files/bdb8d4df8e5e6d8995cb9a6cfa89e3543b4d3749c3f70cbcaa346fd93c4859ed/Screenshot_2021_10_07_15.27.05.png")</f>
        <v>https://api.typeform.com/responses/files/bdb8d4df8e5e6d8995cb9a6cfa89e3543b4d3749c3f70cbcaa346fd93c4859ed/Screenshot_2021_10_07_15.27.05.png</v>
      </c>
      <c r="BW194" t="b">
        <v>1</v>
      </c>
      <c r="BX194" t="s">
        <v>1394</v>
      </c>
      <c r="BY194" t="s">
        <v>140</v>
      </c>
      <c r="BZ194" t="s">
        <v>4075</v>
      </c>
      <c r="CA194" t="s">
        <v>1395</v>
      </c>
      <c r="CB194" t="s">
        <v>4075</v>
      </c>
      <c r="CC194" t="s">
        <v>4075</v>
      </c>
      <c r="CD194">
        <v>0.0</v>
      </c>
      <c r="CE194" t="s">
        <v>4075</v>
      </c>
      <c r="CF194" t="b">
        <v>0</v>
      </c>
      <c r="CG194" t="b">
        <v>1</v>
      </c>
      <c r="CH194" t="s">
        <v>1557</v>
      </c>
      <c r="CI194" t="s">
        <v>4075</v>
      </c>
      <c r="CJ194" t="b">
        <v>1</v>
      </c>
      <c r="CK194" t="b">
        <v>1</v>
      </c>
      <c r="CL194" t="s">
        <v>2301</v>
      </c>
      <c r="CM194" t="s">
        <v>541</v>
      </c>
      <c r="CN194" t="s">
        <v>4075</v>
      </c>
      <c r="CO194" t="s">
        <v>2888</v>
      </c>
      <c r="CP194" t="s">
        <v>4075</v>
      </c>
      <c r="CQ194" t="s">
        <v>4075</v>
      </c>
      <c r="CR194" t="b">
        <v>1</v>
      </c>
      <c r="CS194" t="s">
        <v>4075</v>
      </c>
      <c r="CT194">
        <v>2.0</v>
      </c>
      <c r="CU194">
        <v>1.0</v>
      </c>
      <c r="CV194" t="s">
        <v>4639</v>
      </c>
      <c r="CW194" t="s">
        <v>4075</v>
      </c>
      <c r="CX194" s="4" t="s">
        <v>273</v>
      </c>
      <c r="CY194" t="s">
        <v>4075</v>
      </c>
      <c r="CZ194" s="5">
        <v>44476.821064814816</v>
      </c>
      <c r="DA194" t="s">
        <v>4640</v>
      </c>
    </row>
    <row r="195">
      <c r="A195" t="s">
        <v>98</v>
      </c>
      <c r="B195" t="s">
        <v>4075</v>
      </c>
      <c r="C195" t="s">
        <v>4075</v>
      </c>
      <c r="D195" t="s">
        <v>4152</v>
      </c>
      <c r="E195" t="s">
        <v>667</v>
      </c>
      <c r="F195" s="2">
        <v>37882.0</v>
      </c>
      <c r="G195" t="s">
        <v>1466</v>
      </c>
      <c r="H195" t="s">
        <v>4075</v>
      </c>
      <c r="I195" s="3" t="str">
        <f>HYPERLINK("https://api.typeform.com/responses/files/da35ee0fe400d80256dca2fe1ac7eed7b7036af6aa3a03b8f1f4ede727fb10ed/85C4026D_68C4_40D8_9AE9_8591F2A6EE75.jpeg")</f>
        <v>https://api.typeform.com/responses/files/da35ee0fe400d80256dca2fe1ac7eed7b7036af6aa3a03b8f1f4ede727fb10ed/85C4026D_68C4_40D8_9AE9_8591F2A6EE75.jpeg</v>
      </c>
      <c r="J195" t="s">
        <v>4153</v>
      </c>
      <c r="K195" t="b">
        <v>1</v>
      </c>
      <c r="L195" s="4" t="s">
        <v>4154</v>
      </c>
      <c r="M195" t="s">
        <v>4641</v>
      </c>
      <c r="N195" t="s">
        <v>149</v>
      </c>
      <c r="O195" t="s">
        <v>4642</v>
      </c>
      <c r="P195" t="s">
        <v>4643</v>
      </c>
      <c r="Q195" t="s">
        <v>152</v>
      </c>
      <c r="R195" t="s">
        <v>4644</v>
      </c>
      <c r="S195" t="s">
        <v>4641</v>
      </c>
      <c r="T195" s="4" t="s">
        <v>4157</v>
      </c>
      <c r="U195" t="s">
        <v>1039</v>
      </c>
      <c r="V195" t="s">
        <v>4645</v>
      </c>
      <c r="W195" t="s">
        <v>113</v>
      </c>
      <c r="X195" t="s">
        <v>4075</v>
      </c>
      <c r="Y195" t="s">
        <v>158</v>
      </c>
      <c r="Z195" t="s">
        <v>262</v>
      </c>
      <c r="AA195" t="s">
        <v>4075</v>
      </c>
      <c r="AB195" t="s">
        <v>4075</v>
      </c>
      <c r="AC195" s="3" t="str">
        <f>HYPERLINK("https://api.typeform.com/responses/files/9a6678a870b1217ee0870e8c27bbeb48cb4b6b8a67faae5656c0388e8a1a086e/92CAAFB2_E254_40E3_9C63_B1248D9632F3.jpeg")</f>
        <v>https://api.typeform.com/responses/files/9a6678a870b1217ee0870e8c27bbeb48cb4b6b8a67faae5656c0388e8a1a086e/92CAAFB2_E254_40E3_9C63_B1248D9632F3.jpeg</v>
      </c>
      <c r="AD195" t="s">
        <v>118</v>
      </c>
      <c r="AE195" t="s">
        <v>729</v>
      </c>
      <c r="AF195" t="s">
        <v>4646</v>
      </c>
      <c r="AG195">
        <v>1.0</v>
      </c>
      <c r="AH195" s="4" t="s">
        <v>4159</v>
      </c>
      <c r="AI195" t="s">
        <v>386</v>
      </c>
      <c r="AJ195" t="s">
        <v>4075</v>
      </c>
      <c r="AK195" t="s">
        <v>179</v>
      </c>
      <c r="AL195" t="s">
        <v>199</v>
      </c>
      <c r="AM195" t="s">
        <v>4075</v>
      </c>
      <c r="AN195" t="s">
        <v>4075</v>
      </c>
      <c r="AO195" t="s">
        <v>335</v>
      </c>
      <c r="AP195">
        <v>3.0</v>
      </c>
      <c r="AQ195" t="s">
        <v>1520</v>
      </c>
      <c r="AR195" t="s">
        <v>4647</v>
      </c>
      <c r="AS195" t="b">
        <v>0</v>
      </c>
      <c r="AT195" t="s">
        <v>4075</v>
      </c>
      <c r="AU195" t="s">
        <v>4075</v>
      </c>
      <c r="AV195">
        <v>2.0</v>
      </c>
      <c r="AW195" t="b">
        <v>0</v>
      </c>
      <c r="AX195" t="s">
        <v>4075</v>
      </c>
      <c r="AY195" t="s">
        <v>4075</v>
      </c>
      <c r="AZ195" t="b">
        <v>0</v>
      </c>
      <c r="BA195" t="b">
        <v>0</v>
      </c>
      <c r="BB195" t="s">
        <v>4075</v>
      </c>
      <c r="BC195" t="s">
        <v>4075</v>
      </c>
      <c r="BD195" t="s">
        <v>4648</v>
      </c>
      <c r="BE195" t="s">
        <v>4075</v>
      </c>
      <c r="BF195" t="s">
        <v>4075</v>
      </c>
      <c r="BG195" t="s">
        <v>4075</v>
      </c>
      <c r="BH195" t="s">
        <v>132</v>
      </c>
      <c r="BI195">
        <v>2.0</v>
      </c>
      <c r="BJ195" t="s">
        <v>4649</v>
      </c>
      <c r="BK195">
        <v>2.0</v>
      </c>
      <c r="BL195">
        <v>2.0</v>
      </c>
      <c r="BM195" t="s">
        <v>4650</v>
      </c>
      <c r="BN195">
        <v>3.0</v>
      </c>
      <c r="BO195">
        <v>4.0</v>
      </c>
      <c r="BP195" t="s">
        <v>4651</v>
      </c>
      <c r="BQ195" t="s">
        <v>916</v>
      </c>
      <c r="BR195" t="s">
        <v>4652</v>
      </c>
      <c r="BS195" t="s">
        <v>4652</v>
      </c>
      <c r="BT195" t="s">
        <v>4075</v>
      </c>
      <c r="BU195" t="s">
        <v>179</v>
      </c>
      <c r="BV195" s="3" t="str">
        <f>HYPERLINK("https://api.typeform.com/responses/files/abb20d916a9c90c450d52f11bc0f5bb0ae0aadc2ef655138188921e36608bb90/959ADB5B_691D_4E51_875F_C015F1135C55.png")</f>
        <v>https://api.typeform.com/responses/files/abb20d916a9c90c450d52f11bc0f5bb0ae0aadc2ef655138188921e36608bb90/959ADB5B_691D_4E51_875F_C015F1135C55.png</v>
      </c>
      <c r="BW195" t="b">
        <v>1</v>
      </c>
      <c r="BX195" t="s">
        <v>1394</v>
      </c>
      <c r="BY195" t="s">
        <v>140</v>
      </c>
      <c r="BZ195" t="s">
        <v>4075</v>
      </c>
      <c r="CA195" t="s">
        <v>1395</v>
      </c>
      <c r="CB195" t="s">
        <v>4075</v>
      </c>
      <c r="CC195" t="s">
        <v>4075</v>
      </c>
      <c r="CD195">
        <v>0.0</v>
      </c>
      <c r="CE195" t="s">
        <v>4075</v>
      </c>
      <c r="CF195" t="b">
        <v>1</v>
      </c>
      <c r="CG195" t="b">
        <v>1</v>
      </c>
      <c r="CH195" t="s">
        <v>628</v>
      </c>
      <c r="CI195" t="s">
        <v>4075</v>
      </c>
      <c r="CJ195" t="b">
        <v>1</v>
      </c>
      <c r="CK195" t="b">
        <v>1</v>
      </c>
      <c r="CL195" t="s">
        <v>387</v>
      </c>
      <c r="CM195" t="s">
        <v>387</v>
      </c>
      <c r="CN195" t="s">
        <v>4075</v>
      </c>
      <c r="CO195" t="s">
        <v>1688</v>
      </c>
      <c r="CP195" t="s">
        <v>4075</v>
      </c>
      <c r="CQ195" t="s">
        <v>387</v>
      </c>
      <c r="CR195" t="b">
        <v>1</v>
      </c>
      <c r="CS195" t="s">
        <v>4075</v>
      </c>
      <c r="CT195">
        <v>0.0</v>
      </c>
      <c r="CU195">
        <v>0.0</v>
      </c>
      <c r="CV195" t="s">
        <v>4075</v>
      </c>
      <c r="CW195" t="s">
        <v>4075</v>
      </c>
      <c r="CX195" s="4" t="s">
        <v>520</v>
      </c>
      <c r="CY195" t="s">
        <v>4075</v>
      </c>
      <c r="CZ195" s="5">
        <v>44476.82350694444</v>
      </c>
      <c r="DA195" t="s">
        <v>4653</v>
      </c>
    </row>
    <row r="196">
      <c r="A196" t="s">
        <v>98</v>
      </c>
      <c r="B196" t="s">
        <v>4075</v>
      </c>
      <c r="C196" t="s">
        <v>4075</v>
      </c>
      <c r="D196" t="s">
        <v>4654</v>
      </c>
      <c r="E196" t="s">
        <v>4655</v>
      </c>
      <c r="F196" s="2">
        <v>38299.0</v>
      </c>
      <c r="G196" t="s">
        <v>1360</v>
      </c>
      <c r="H196" t="s">
        <v>4075</v>
      </c>
      <c r="I196" s="3" t="str">
        <f>HYPERLINK("https://api.typeform.com/responses/files/b4efbdf4607cf3689bc4d3d07b2713459980b3ed7be1d385affcc0394335c5f0/IMG_7599.jpg")</f>
        <v>https://api.typeform.com/responses/files/b4efbdf4607cf3689bc4d3d07b2713459980b3ed7be1d385affcc0394335c5f0/IMG_7599.jpg</v>
      </c>
      <c r="J196" t="s">
        <v>4656</v>
      </c>
      <c r="K196" t="b">
        <v>1</v>
      </c>
      <c r="L196" s="4" t="s">
        <v>4657</v>
      </c>
      <c r="M196" t="s">
        <v>4658</v>
      </c>
      <c r="N196" t="s">
        <v>354</v>
      </c>
      <c r="O196" t="s">
        <v>4075</v>
      </c>
      <c r="P196" t="s">
        <v>4659</v>
      </c>
      <c r="Q196" t="s">
        <v>152</v>
      </c>
      <c r="R196" t="s">
        <v>4660</v>
      </c>
      <c r="S196" t="s">
        <v>4661</v>
      </c>
      <c r="T196" s="4" t="s">
        <v>4662</v>
      </c>
      <c r="U196" t="s">
        <v>4663</v>
      </c>
      <c r="V196" t="s">
        <v>4664</v>
      </c>
      <c r="W196" t="s">
        <v>261</v>
      </c>
      <c r="X196" t="s">
        <v>4075</v>
      </c>
      <c r="Y196" t="s">
        <v>158</v>
      </c>
      <c r="Z196" t="s">
        <v>262</v>
      </c>
      <c r="AA196" t="s">
        <v>4075</v>
      </c>
      <c r="AB196" t="s">
        <v>4075</v>
      </c>
      <c r="AC196" s="3" t="str">
        <f>HYPERLINK("https://api.typeform.com/responses/files/343b637e81d62f21913add7d468a22d2de3bf295821a6dcd16e6d47ba4daf686/Screenshot_2021_10_07_3.20.31_PM.png")</f>
        <v>https://api.typeform.com/responses/files/343b637e81d62f21913add7d468a22d2de3bf295821a6dcd16e6d47ba4daf686/Screenshot_2021_10_07_3.20.31_PM.png</v>
      </c>
      <c r="AD196" t="s">
        <v>118</v>
      </c>
      <c r="AE196" t="s">
        <v>729</v>
      </c>
      <c r="AF196" t="s">
        <v>459</v>
      </c>
      <c r="AG196">
        <v>14.0</v>
      </c>
      <c r="AH196" t="s">
        <v>4665</v>
      </c>
      <c r="AI196" t="s">
        <v>205</v>
      </c>
      <c r="AJ196" t="s">
        <v>4075</v>
      </c>
      <c r="AK196" t="s">
        <v>139</v>
      </c>
      <c r="AL196" t="s">
        <v>460</v>
      </c>
      <c r="AM196" t="s">
        <v>4075</v>
      </c>
      <c r="AN196" t="s">
        <v>4075</v>
      </c>
      <c r="AO196" t="s">
        <v>335</v>
      </c>
      <c r="AP196">
        <v>5.0</v>
      </c>
      <c r="AQ196" t="s">
        <v>461</v>
      </c>
      <c r="AR196" t="s">
        <v>461</v>
      </c>
      <c r="AS196" t="b">
        <v>1</v>
      </c>
      <c r="AT196" t="b">
        <v>1</v>
      </c>
      <c r="AU196" t="s">
        <v>4075</v>
      </c>
      <c r="AV196">
        <v>4.0</v>
      </c>
      <c r="AW196" t="b">
        <v>1</v>
      </c>
      <c r="AX196" t="s">
        <v>1902</v>
      </c>
      <c r="AY196" t="s">
        <v>706</v>
      </c>
      <c r="AZ196" t="b">
        <v>1</v>
      </c>
      <c r="BA196" t="b">
        <v>1</v>
      </c>
      <c r="BB196" t="b">
        <v>1</v>
      </c>
      <c r="BC196" t="s">
        <v>4666</v>
      </c>
      <c r="BD196" t="s">
        <v>4075</v>
      </c>
      <c r="BE196" t="s">
        <v>4075</v>
      </c>
      <c r="BF196" t="s">
        <v>4075</v>
      </c>
      <c r="BG196" t="s">
        <v>4075</v>
      </c>
      <c r="BH196" t="s">
        <v>132</v>
      </c>
      <c r="BI196">
        <v>1.0</v>
      </c>
      <c r="BJ196" t="s">
        <v>4667</v>
      </c>
      <c r="BK196">
        <v>2.0</v>
      </c>
      <c r="BL196">
        <v>3.0</v>
      </c>
      <c r="BM196" t="s">
        <v>461</v>
      </c>
      <c r="BN196">
        <v>1.0</v>
      </c>
      <c r="BO196">
        <v>1.0</v>
      </c>
      <c r="BP196" t="s">
        <v>4668</v>
      </c>
      <c r="BQ196" t="s">
        <v>945</v>
      </c>
      <c r="BR196" t="s">
        <v>4669</v>
      </c>
      <c r="BS196" t="s">
        <v>4670</v>
      </c>
      <c r="BT196" t="s">
        <v>4075</v>
      </c>
      <c r="BU196" t="s">
        <v>139</v>
      </c>
      <c r="BV196" s="3" t="str">
        <f>HYPERLINK("https://api.typeform.com/responses/files/3051d2fbef3b753e204e1fd03e0f90aac99bf51bcb225d12ded7ac3d3cc278f4/unnamed.jpg")</f>
        <v>https://api.typeform.com/responses/files/3051d2fbef3b753e204e1fd03e0f90aac99bf51bcb225d12ded7ac3d3cc278f4/unnamed.jpg</v>
      </c>
      <c r="BW196" t="b">
        <v>1</v>
      </c>
      <c r="BX196" t="s">
        <v>1394</v>
      </c>
      <c r="BY196" t="s">
        <v>140</v>
      </c>
      <c r="BZ196" t="s">
        <v>4075</v>
      </c>
      <c r="CA196" t="s">
        <v>1395</v>
      </c>
      <c r="CB196" t="s">
        <v>4075</v>
      </c>
      <c r="CC196" t="s">
        <v>4075</v>
      </c>
      <c r="CD196">
        <v>0.0</v>
      </c>
      <c r="CE196" t="s">
        <v>4075</v>
      </c>
      <c r="CF196" t="b">
        <v>1</v>
      </c>
      <c r="CG196" t="b">
        <v>1</v>
      </c>
      <c r="CH196" t="s">
        <v>1935</v>
      </c>
      <c r="CI196" t="s">
        <v>4075</v>
      </c>
      <c r="CJ196" t="b">
        <v>1</v>
      </c>
      <c r="CK196" t="b">
        <v>1</v>
      </c>
      <c r="CL196" t="s">
        <v>362</v>
      </c>
      <c r="CM196" t="s">
        <v>4075</v>
      </c>
      <c r="CN196" t="s">
        <v>4075</v>
      </c>
      <c r="CO196" t="s">
        <v>388</v>
      </c>
      <c r="CP196" t="s">
        <v>4075</v>
      </c>
      <c r="CQ196" t="s">
        <v>4075</v>
      </c>
      <c r="CR196" t="b">
        <v>1</v>
      </c>
      <c r="CS196" t="s">
        <v>4075</v>
      </c>
      <c r="CT196">
        <v>1.0</v>
      </c>
      <c r="CU196">
        <v>0.0</v>
      </c>
      <c r="CV196" t="s">
        <v>4075</v>
      </c>
      <c r="CW196" t="s">
        <v>4075</v>
      </c>
      <c r="CX196" s="4" t="s">
        <v>465</v>
      </c>
      <c r="CY196" t="s">
        <v>4075</v>
      </c>
      <c r="CZ196" s="5">
        <v>44476.825370370374</v>
      </c>
      <c r="DA196" t="s">
        <v>4671</v>
      </c>
    </row>
    <row r="197">
      <c r="A197" t="s">
        <v>98</v>
      </c>
      <c r="B197" t="s">
        <v>4075</v>
      </c>
      <c r="C197" t="s">
        <v>4075</v>
      </c>
      <c r="D197" t="s">
        <v>4672</v>
      </c>
      <c r="E197" t="s">
        <v>4673</v>
      </c>
      <c r="F197" s="2">
        <v>38587.0</v>
      </c>
      <c r="G197" t="s">
        <v>1360</v>
      </c>
      <c r="H197" t="s">
        <v>4075</v>
      </c>
      <c r="I197" s="3" t="str">
        <f>HYPERLINK("https://api.typeform.com/responses/files/2031f561bf187921dc6fafb7f3dd00d20519e782886e34bfc2a2a486fb1f3a46/IMG_9997.jpg")</f>
        <v>https://api.typeform.com/responses/files/2031f561bf187921dc6fafb7f3dd00d20519e782886e34bfc2a2a486fb1f3a46/IMG_9997.jpg</v>
      </c>
      <c r="J197" t="s">
        <v>4674</v>
      </c>
      <c r="K197" t="b">
        <v>1</v>
      </c>
      <c r="L197" s="4" t="s">
        <v>4675</v>
      </c>
      <c r="M197" t="s">
        <v>4676</v>
      </c>
      <c r="N197" t="s">
        <v>354</v>
      </c>
      <c r="O197" t="s">
        <v>4075</v>
      </c>
      <c r="P197" t="s">
        <v>4677</v>
      </c>
      <c r="Q197" t="s">
        <v>189</v>
      </c>
      <c r="R197" t="s">
        <v>4678</v>
      </c>
      <c r="S197" t="s">
        <v>4679</v>
      </c>
      <c r="T197" s="4" t="s">
        <v>4680</v>
      </c>
      <c r="U197" t="s">
        <v>2722</v>
      </c>
      <c r="V197" t="s">
        <v>4681</v>
      </c>
      <c r="W197" t="s">
        <v>2290</v>
      </c>
      <c r="X197" t="s">
        <v>4075</v>
      </c>
      <c r="Y197" t="s">
        <v>158</v>
      </c>
      <c r="Z197" t="s">
        <v>262</v>
      </c>
      <c r="AA197" t="s">
        <v>4075</v>
      </c>
      <c r="AB197" t="s">
        <v>4075</v>
      </c>
      <c r="AC197" s="3" t="str">
        <f>HYPERLINK("https://api.typeform.com/responses/files/c907cc741f6629ee5b9e2f0b44377227188c03078172f3ad635d5baa1c7b2264/Screenshot_2021_10_07_15.22.57.png")</f>
        <v>https://api.typeform.com/responses/files/c907cc741f6629ee5b9e2f0b44377227188c03078172f3ad635d5baa1c7b2264/Screenshot_2021_10_07_15.22.57.png</v>
      </c>
      <c r="AD197" t="s">
        <v>118</v>
      </c>
      <c r="AE197" t="s">
        <v>729</v>
      </c>
      <c r="AF197" t="s">
        <v>2292</v>
      </c>
      <c r="AG197">
        <v>12.0</v>
      </c>
      <c r="AH197" t="s">
        <v>3550</v>
      </c>
      <c r="AI197" t="s">
        <v>386</v>
      </c>
      <c r="AJ197" t="s">
        <v>4075</v>
      </c>
      <c r="AK197" t="s">
        <v>4075</v>
      </c>
      <c r="AL197" t="s">
        <v>199</v>
      </c>
      <c r="AM197" t="s">
        <v>4075</v>
      </c>
      <c r="AN197" t="s">
        <v>4075</v>
      </c>
      <c r="AO197" t="s">
        <v>335</v>
      </c>
      <c r="AP197">
        <v>1.0</v>
      </c>
      <c r="AQ197" t="s">
        <v>303</v>
      </c>
      <c r="AR197" t="s">
        <v>4682</v>
      </c>
      <c r="AS197" t="b">
        <v>1</v>
      </c>
      <c r="AT197" t="b">
        <v>0</v>
      </c>
      <c r="AU197" t="s">
        <v>4075</v>
      </c>
      <c r="AV197">
        <v>4.0</v>
      </c>
      <c r="AW197" t="b">
        <v>0</v>
      </c>
      <c r="AX197" t="s">
        <v>4075</v>
      </c>
      <c r="AY197" t="s">
        <v>4075</v>
      </c>
      <c r="AZ197" t="b">
        <v>0</v>
      </c>
      <c r="BA197" t="b">
        <v>1</v>
      </c>
      <c r="BB197" t="b">
        <v>1</v>
      </c>
      <c r="BC197" t="s">
        <v>4683</v>
      </c>
      <c r="BD197" t="s">
        <v>4075</v>
      </c>
      <c r="BE197" t="s">
        <v>4075</v>
      </c>
      <c r="BF197" t="s">
        <v>4075</v>
      </c>
      <c r="BG197" t="s">
        <v>4075</v>
      </c>
      <c r="BH197" t="s">
        <v>132</v>
      </c>
      <c r="BI197">
        <v>1.0</v>
      </c>
      <c r="BJ197" t="s">
        <v>4684</v>
      </c>
      <c r="BK197">
        <v>4.0</v>
      </c>
      <c r="BL197">
        <v>4.0</v>
      </c>
      <c r="BM197" t="s">
        <v>4685</v>
      </c>
      <c r="BN197">
        <v>7.0</v>
      </c>
      <c r="BO197">
        <v>3.0</v>
      </c>
      <c r="BP197" t="s">
        <v>4686</v>
      </c>
      <c r="BQ197" t="s">
        <v>916</v>
      </c>
      <c r="BR197" t="s">
        <v>4687</v>
      </c>
      <c r="BS197" t="s">
        <v>4687</v>
      </c>
      <c r="BT197" t="s">
        <v>4075</v>
      </c>
      <c r="BU197" t="s">
        <v>4688</v>
      </c>
      <c r="BV197" s="3" t="str">
        <f>HYPERLINK("https://api.typeform.com/responses/files/534b8e9a01581897b0d58ab562c3426b74108ea90238fd479125d7443caf18b0/Screenshot_2021_10_07_15.22.57.png")</f>
        <v>https://api.typeform.com/responses/files/534b8e9a01581897b0d58ab562c3426b74108ea90238fd479125d7443caf18b0/Screenshot_2021_10_07_15.22.57.png</v>
      </c>
      <c r="BW197" t="b">
        <v>1</v>
      </c>
      <c r="BX197" t="s">
        <v>1394</v>
      </c>
      <c r="BY197" t="s">
        <v>140</v>
      </c>
      <c r="BZ197" t="s">
        <v>4075</v>
      </c>
      <c r="CA197" t="s">
        <v>1395</v>
      </c>
      <c r="CB197" t="s">
        <v>4075</v>
      </c>
      <c r="CC197" t="s">
        <v>4075</v>
      </c>
      <c r="CD197">
        <v>0.0</v>
      </c>
      <c r="CE197" t="s">
        <v>4075</v>
      </c>
      <c r="CF197" t="b">
        <v>1</v>
      </c>
      <c r="CG197" t="b">
        <v>1</v>
      </c>
      <c r="CH197" t="s">
        <v>1935</v>
      </c>
      <c r="CI197" t="s">
        <v>4075</v>
      </c>
      <c r="CJ197" t="b">
        <v>1</v>
      </c>
      <c r="CK197" t="b">
        <v>1</v>
      </c>
      <c r="CL197" t="s">
        <v>2301</v>
      </c>
      <c r="CM197" t="s">
        <v>4075</v>
      </c>
      <c r="CN197" t="s">
        <v>4075</v>
      </c>
      <c r="CO197" t="s">
        <v>1635</v>
      </c>
      <c r="CP197" t="s">
        <v>4075</v>
      </c>
      <c r="CQ197" t="s">
        <v>4075</v>
      </c>
      <c r="CR197" t="b">
        <v>1</v>
      </c>
      <c r="CS197" t="s">
        <v>4075</v>
      </c>
      <c r="CT197">
        <v>0.0</v>
      </c>
      <c r="CU197">
        <v>0.0</v>
      </c>
      <c r="CV197" t="s">
        <v>4075</v>
      </c>
      <c r="CW197" t="s">
        <v>4075</v>
      </c>
      <c r="CX197" s="4" t="s">
        <v>1148</v>
      </c>
      <c r="CY197" t="s">
        <v>4075</v>
      </c>
      <c r="CZ197" s="5">
        <v>44476.82885416667</v>
      </c>
      <c r="DA197" t="s">
        <v>4689</v>
      </c>
    </row>
    <row r="198">
      <c r="A198" t="s">
        <v>98</v>
      </c>
      <c r="B198" t="s">
        <v>4075</v>
      </c>
      <c r="C198" t="s">
        <v>4075</v>
      </c>
      <c r="D198" t="s">
        <v>4690</v>
      </c>
      <c r="E198" t="s">
        <v>4691</v>
      </c>
      <c r="F198" s="2">
        <v>38134.0</v>
      </c>
      <c r="G198" t="s">
        <v>1360</v>
      </c>
      <c r="H198" t="s">
        <v>4075</v>
      </c>
      <c r="I198" s="3" t="str">
        <f>HYPERLINK("https://api.typeform.com/responses/files/cb67b2e59ed6b9f5d93b31c759646db27ad14a9a9b3a7e0298c24381d0e3e4fa/IMG_2289.jpg")</f>
        <v>https://api.typeform.com/responses/files/cb67b2e59ed6b9f5d93b31c759646db27ad14a9a9b3a7e0298c24381d0e3e4fa/IMG_2289.jpg</v>
      </c>
      <c r="J198" t="s">
        <v>4692</v>
      </c>
      <c r="K198" t="b">
        <v>1</v>
      </c>
      <c r="L198" s="4" t="s">
        <v>4693</v>
      </c>
      <c r="M198" t="s">
        <v>4694</v>
      </c>
      <c r="N198" t="s">
        <v>149</v>
      </c>
      <c r="O198" t="s">
        <v>4695</v>
      </c>
      <c r="P198" t="s">
        <v>4696</v>
      </c>
      <c r="Q198" t="s">
        <v>108</v>
      </c>
      <c r="R198" t="s">
        <v>4697</v>
      </c>
      <c r="S198" t="s">
        <v>4698</v>
      </c>
      <c r="T198" s="4" t="s">
        <v>4699</v>
      </c>
      <c r="U198" t="s">
        <v>2313</v>
      </c>
      <c r="V198" t="s">
        <v>4700</v>
      </c>
      <c r="W198" t="s">
        <v>2290</v>
      </c>
      <c r="X198" t="s">
        <v>4075</v>
      </c>
      <c r="Y198" t="s">
        <v>158</v>
      </c>
      <c r="Z198" t="s">
        <v>262</v>
      </c>
      <c r="AA198" t="s">
        <v>4075</v>
      </c>
      <c r="AB198" t="s">
        <v>4075</v>
      </c>
      <c r="AC198" s="3" t="str">
        <f>HYPERLINK("https://api.typeform.com/responses/files/4dec3fb407401c173f643dbc85a62ee8b1e766663608c97e804782dc4558e1ce/Screenshot_2021_10_07_3.23.16_PM.png")</f>
        <v>https://api.typeform.com/responses/files/4dec3fb407401c173f643dbc85a62ee8b1e766663608c97e804782dc4558e1ce/Screenshot_2021_10_07_3.23.16_PM.png</v>
      </c>
      <c r="AD198" t="s">
        <v>118</v>
      </c>
      <c r="AE198" t="s">
        <v>729</v>
      </c>
      <c r="AF198" t="s">
        <v>2651</v>
      </c>
      <c r="AG198">
        <v>14.0</v>
      </c>
      <c r="AH198" t="s">
        <v>4701</v>
      </c>
      <c r="AI198" t="s">
        <v>386</v>
      </c>
      <c r="AJ198" t="s">
        <v>4075</v>
      </c>
      <c r="AK198" t="s">
        <v>4702</v>
      </c>
      <c r="AL198" t="s">
        <v>199</v>
      </c>
      <c r="AM198" t="s">
        <v>4075</v>
      </c>
      <c r="AN198" t="s">
        <v>4075</v>
      </c>
      <c r="AO198" t="s">
        <v>335</v>
      </c>
      <c r="AP198">
        <v>4.0</v>
      </c>
      <c r="AQ198" t="s">
        <v>126</v>
      </c>
      <c r="AR198" t="s">
        <v>4703</v>
      </c>
      <c r="AS198" t="b">
        <v>1</v>
      </c>
      <c r="AT198" t="b">
        <v>1</v>
      </c>
      <c r="AU198" t="s">
        <v>4075</v>
      </c>
      <c r="AV198">
        <v>5.0</v>
      </c>
      <c r="AW198" t="b">
        <v>0</v>
      </c>
      <c r="AX198" t="s">
        <v>4075</v>
      </c>
      <c r="AY198" t="s">
        <v>4075</v>
      </c>
      <c r="AZ198" t="b">
        <v>0</v>
      </c>
      <c r="BA198" t="b">
        <v>1</v>
      </c>
      <c r="BB198" t="b">
        <v>0</v>
      </c>
      <c r="BC198" t="s">
        <v>4704</v>
      </c>
      <c r="BD198" t="s">
        <v>4075</v>
      </c>
      <c r="BE198" t="s">
        <v>4075</v>
      </c>
      <c r="BF198" t="s">
        <v>4075</v>
      </c>
      <c r="BG198" t="s">
        <v>4075</v>
      </c>
      <c r="BH198" t="s">
        <v>132</v>
      </c>
      <c r="BI198">
        <v>2.0</v>
      </c>
      <c r="BJ198" t="s">
        <v>4705</v>
      </c>
      <c r="BK198">
        <v>2.0</v>
      </c>
      <c r="BL198">
        <v>3.0</v>
      </c>
      <c r="BM198" t="s">
        <v>4706</v>
      </c>
      <c r="BN198">
        <v>3.0</v>
      </c>
      <c r="BO198">
        <v>3.0</v>
      </c>
      <c r="BP198" t="s">
        <v>4707</v>
      </c>
      <c r="BQ198" t="s">
        <v>4708</v>
      </c>
      <c r="BR198" t="s">
        <v>4709</v>
      </c>
      <c r="BS198" t="s">
        <v>4710</v>
      </c>
      <c r="BT198" t="s">
        <v>4075</v>
      </c>
      <c r="BU198" t="s">
        <v>4711</v>
      </c>
      <c r="BV198" s="3" t="str">
        <f>HYPERLINK("https://api.typeform.com/responses/files/751212d304c623057128170118a25582de58ed6f07e03fd0930f3a584f94417e/IMG_2291.jpg")</f>
        <v>https://api.typeform.com/responses/files/751212d304c623057128170118a25582de58ed6f07e03fd0930f3a584f94417e/IMG_2291.jpg</v>
      </c>
      <c r="BW198" t="b">
        <v>1</v>
      </c>
      <c r="BX198" t="s">
        <v>1394</v>
      </c>
      <c r="BY198" t="s">
        <v>140</v>
      </c>
      <c r="BZ198" t="s">
        <v>4075</v>
      </c>
      <c r="CA198" t="s">
        <v>1395</v>
      </c>
      <c r="CB198" t="s">
        <v>4075</v>
      </c>
      <c r="CC198" t="s">
        <v>4075</v>
      </c>
      <c r="CD198">
        <v>0.0</v>
      </c>
      <c r="CE198" t="s">
        <v>4075</v>
      </c>
      <c r="CF198" t="b">
        <v>0</v>
      </c>
      <c r="CG198" t="b">
        <v>1</v>
      </c>
      <c r="CH198" t="s">
        <v>1935</v>
      </c>
      <c r="CI198" t="s">
        <v>4075</v>
      </c>
      <c r="CJ198" t="b">
        <v>1</v>
      </c>
      <c r="CK198" t="b">
        <v>1</v>
      </c>
      <c r="CL198" t="s">
        <v>2301</v>
      </c>
      <c r="CM198" t="s">
        <v>2301</v>
      </c>
      <c r="CN198" t="s">
        <v>4075</v>
      </c>
      <c r="CO198" t="s">
        <v>4712</v>
      </c>
      <c r="CP198" t="s">
        <v>4075</v>
      </c>
      <c r="CQ198" t="s">
        <v>4075</v>
      </c>
      <c r="CR198" t="b">
        <v>1</v>
      </c>
      <c r="CS198" t="s">
        <v>4075</v>
      </c>
      <c r="CT198">
        <v>0.0</v>
      </c>
      <c r="CU198">
        <v>0.0</v>
      </c>
      <c r="CV198" t="s">
        <v>4075</v>
      </c>
      <c r="CW198" t="s">
        <v>4075</v>
      </c>
      <c r="CX198" s="4" t="s">
        <v>520</v>
      </c>
      <c r="CY198" t="s">
        <v>4075</v>
      </c>
      <c r="CZ198" s="5">
        <v>44476.82962962963</v>
      </c>
      <c r="DA198" t="s">
        <v>4713</v>
      </c>
    </row>
    <row r="199">
      <c r="A199" t="s">
        <v>98</v>
      </c>
      <c r="B199" t="s">
        <v>4075</v>
      </c>
      <c r="C199" t="s">
        <v>4075</v>
      </c>
      <c r="D199" t="s">
        <v>4714</v>
      </c>
      <c r="E199" t="s">
        <v>2304</v>
      </c>
      <c r="F199" s="2">
        <v>38359.0</v>
      </c>
      <c r="G199" t="s">
        <v>1466</v>
      </c>
      <c r="H199" t="s">
        <v>4075</v>
      </c>
      <c r="I199" s="3" t="str">
        <f>HYPERLINK("https://api.typeform.com/responses/files/d5b4368cd60ba3c10f349490bd8d247402bf56ea9f76b87a3dce575e4c966fb6/IMG_20211007_151244.jpg")</f>
        <v>https://api.typeform.com/responses/files/d5b4368cd60ba3c10f349490bd8d247402bf56ea9f76b87a3dce575e4c966fb6/IMG_20211007_151244.jpg</v>
      </c>
      <c r="J199" t="s">
        <v>4715</v>
      </c>
      <c r="K199" t="b">
        <v>1</v>
      </c>
      <c r="L199" s="4" t="s">
        <v>4716</v>
      </c>
      <c r="M199" t="s">
        <v>4717</v>
      </c>
      <c r="N199" t="s">
        <v>149</v>
      </c>
      <c r="O199" t="s">
        <v>4075</v>
      </c>
      <c r="P199" t="s">
        <v>4718</v>
      </c>
      <c r="Q199" t="s">
        <v>189</v>
      </c>
      <c r="R199" t="s">
        <v>4719</v>
      </c>
      <c r="S199" t="s">
        <v>4717</v>
      </c>
      <c r="T199" s="4" t="s">
        <v>4720</v>
      </c>
      <c r="U199" t="s">
        <v>2313</v>
      </c>
      <c r="V199" t="s">
        <v>2407</v>
      </c>
      <c r="W199" t="s">
        <v>2290</v>
      </c>
      <c r="X199" t="s">
        <v>4075</v>
      </c>
      <c r="Y199" t="s">
        <v>158</v>
      </c>
      <c r="Z199" t="s">
        <v>262</v>
      </c>
      <c r="AA199" t="s">
        <v>4075</v>
      </c>
      <c r="AB199" t="s">
        <v>4075</v>
      </c>
      <c r="AC199" s="3" t="str">
        <f>HYPERLINK("https://api.typeform.com/responses/files/297d14a659b4efeb2f084cad4b33f1ddc139d9bac3a1672e923d4f73898e63c8/Screenshot_2021_10_07_3.21.15_PM.png")</f>
        <v>https://api.typeform.com/responses/files/297d14a659b4efeb2f084cad4b33f1ddc139d9bac3a1672e923d4f73898e63c8/Screenshot_2021_10_07_3.21.15_PM.png</v>
      </c>
      <c r="AD199" t="s">
        <v>118</v>
      </c>
      <c r="AE199" t="s">
        <v>729</v>
      </c>
      <c r="AF199" t="s">
        <v>459</v>
      </c>
      <c r="AG199">
        <v>13.0</v>
      </c>
      <c r="AH199" t="s">
        <v>3298</v>
      </c>
      <c r="AI199" t="s">
        <v>162</v>
      </c>
      <c r="AJ199" t="s">
        <v>4075</v>
      </c>
      <c r="AK199" t="s">
        <v>4721</v>
      </c>
      <c r="AL199" t="s">
        <v>460</v>
      </c>
      <c r="AM199" t="s">
        <v>4075</v>
      </c>
      <c r="AN199" t="s">
        <v>4075</v>
      </c>
      <c r="AO199" t="s">
        <v>335</v>
      </c>
      <c r="AP199">
        <v>5.0</v>
      </c>
      <c r="AQ199" t="s">
        <v>2240</v>
      </c>
      <c r="AR199" t="s">
        <v>4722</v>
      </c>
      <c r="AS199" t="b">
        <v>1</v>
      </c>
      <c r="AT199" t="b">
        <v>1</v>
      </c>
      <c r="AU199" t="s">
        <v>4075</v>
      </c>
      <c r="AV199">
        <v>5.0</v>
      </c>
      <c r="AW199" t="b">
        <v>0</v>
      </c>
      <c r="AX199" t="s">
        <v>4075</v>
      </c>
      <c r="AY199" t="s">
        <v>4075</v>
      </c>
      <c r="AZ199" t="b">
        <v>1</v>
      </c>
      <c r="BA199" t="b">
        <v>1</v>
      </c>
      <c r="BB199" t="b">
        <v>1</v>
      </c>
      <c r="BC199" t="s">
        <v>4723</v>
      </c>
      <c r="BD199" t="s">
        <v>4075</v>
      </c>
      <c r="BE199" t="s">
        <v>4075</v>
      </c>
      <c r="BF199" t="s">
        <v>4075</v>
      </c>
      <c r="BG199" t="s">
        <v>4075</v>
      </c>
      <c r="BH199" t="s">
        <v>132</v>
      </c>
      <c r="BI199">
        <v>5.0</v>
      </c>
      <c r="BJ199" t="s">
        <v>4667</v>
      </c>
      <c r="BK199">
        <v>6.0</v>
      </c>
      <c r="BL199">
        <v>5.0</v>
      </c>
      <c r="BM199" t="s">
        <v>4724</v>
      </c>
      <c r="BN199">
        <v>5.0</v>
      </c>
      <c r="BO199">
        <v>5.0</v>
      </c>
      <c r="BP199" t="s">
        <v>4725</v>
      </c>
      <c r="BQ199" t="s">
        <v>4726</v>
      </c>
      <c r="BR199" t="s">
        <v>4727</v>
      </c>
      <c r="BS199" t="s">
        <v>4728</v>
      </c>
      <c r="BT199" t="s">
        <v>4075</v>
      </c>
      <c r="BU199" t="s">
        <v>4729</v>
      </c>
      <c r="BV199" s="3" t="str">
        <f>HYPERLINK("https://api.typeform.com/responses/files/94e6ed25c4ce0cebeb3fb871466842fac6cf7795d74a271ec0459cf8d1e0e3a9/202110071549541000.jpg")</f>
        <v>https://api.typeform.com/responses/files/94e6ed25c4ce0cebeb3fb871466842fac6cf7795d74a271ec0459cf8d1e0e3a9/202110071549541000.jpg</v>
      </c>
      <c r="BW199" t="b">
        <v>1</v>
      </c>
      <c r="BX199" t="s">
        <v>1394</v>
      </c>
      <c r="BY199" t="s">
        <v>140</v>
      </c>
      <c r="BZ199" t="s">
        <v>4075</v>
      </c>
      <c r="CA199" t="s">
        <v>1395</v>
      </c>
      <c r="CB199" t="s">
        <v>4075</v>
      </c>
      <c r="CC199" t="s">
        <v>4075</v>
      </c>
      <c r="CD199">
        <v>0.0</v>
      </c>
      <c r="CE199" t="s">
        <v>4075</v>
      </c>
      <c r="CF199" t="b">
        <v>0</v>
      </c>
      <c r="CG199" t="b">
        <v>1</v>
      </c>
      <c r="CH199" t="s">
        <v>4730</v>
      </c>
      <c r="CI199" t="s">
        <v>4075</v>
      </c>
      <c r="CJ199" t="b">
        <v>1</v>
      </c>
      <c r="CK199" t="b">
        <v>0</v>
      </c>
      <c r="CL199" t="s">
        <v>362</v>
      </c>
      <c r="CM199" t="s">
        <v>362</v>
      </c>
      <c r="CN199" t="s">
        <v>4075</v>
      </c>
      <c r="CO199" t="s">
        <v>388</v>
      </c>
      <c r="CP199" t="s">
        <v>4075</v>
      </c>
      <c r="CQ199" t="s">
        <v>362</v>
      </c>
      <c r="CR199" t="b">
        <v>1</v>
      </c>
      <c r="CS199" t="s">
        <v>4075</v>
      </c>
      <c r="CT199">
        <v>1.0</v>
      </c>
      <c r="CU199">
        <v>1.0</v>
      </c>
      <c r="CV199" t="s">
        <v>4075</v>
      </c>
      <c r="CW199" t="s">
        <v>4075</v>
      </c>
      <c r="CX199" s="4" t="s">
        <v>3727</v>
      </c>
      <c r="CY199" t="s">
        <v>4075</v>
      </c>
      <c r="CZ199" s="5">
        <v>44476.82976851852</v>
      </c>
      <c r="DA199" t="s">
        <v>4731</v>
      </c>
    </row>
    <row r="200">
      <c r="A200" t="s">
        <v>98</v>
      </c>
      <c r="B200" t="s">
        <v>4075</v>
      </c>
      <c r="C200" t="s">
        <v>4075</v>
      </c>
      <c r="D200" t="s">
        <v>4732</v>
      </c>
      <c r="E200" t="s">
        <v>4733</v>
      </c>
      <c r="F200" s="2">
        <v>37344.0</v>
      </c>
      <c r="G200" t="s">
        <v>1466</v>
      </c>
      <c r="H200" t="s">
        <v>4075</v>
      </c>
      <c r="I200" s="3" t="str">
        <f>HYPERLINK("https://api.typeform.com/responses/files/022c7dcf5b244dd4bc9801cf30c3d274e7966660a87922af73e89ed827825b99/IMG_6112.jpg")</f>
        <v>https://api.typeform.com/responses/files/022c7dcf5b244dd4bc9801cf30c3d274e7966660a87922af73e89ed827825b99/IMG_6112.jpg</v>
      </c>
      <c r="J200" t="s">
        <v>4734</v>
      </c>
      <c r="K200" t="b">
        <v>0</v>
      </c>
      <c r="L200" t="s">
        <v>4075</v>
      </c>
      <c r="M200" t="s">
        <v>4735</v>
      </c>
      <c r="N200" t="s">
        <v>149</v>
      </c>
      <c r="O200" t="s">
        <v>4736</v>
      </c>
      <c r="P200" t="s">
        <v>4737</v>
      </c>
      <c r="Q200" t="s">
        <v>189</v>
      </c>
      <c r="R200" t="s">
        <v>4738</v>
      </c>
      <c r="S200" t="s">
        <v>4739</v>
      </c>
      <c r="T200" s="4" t="s">
        <v>4740</v>
      </c>
      <c r="U200" t="s">
        <v>1295</v>
      </c>
      <c r="V200" t="s">
        <v>4106</v>
      </c>
      <c r="W200" t="s">
        <v>113</v>
      </c>
      <c r="X200" t="s">
        <v>4075</v>
      </c>
      <c r="Y200" t="s">
        <v>158</v>
      </c>
      <c r="Z200" t="s">
        <v>262</v>
      </c>
      <c r="AA200" t="s">
        <v>4075</v>
      </c>
      <c r="AB200" t="s">
        <v>4075</v>
      </c>
      <c r="AC200" s="3" t="str">
        <f>HYPERLINK("https://api.typeform.com/responses/files/4294c7de98c2ef4124013b817969010e55d755fb2f58d4b9b62ee13c3b05615e/IMG_6112.jpg")</f>
        <v>https://api.typeform.com/responses/files/4294c7de98c2ef4124013b817969010e55d755fb2f58d4b9b62ee13c3b05615e/IMG_6112.jpg</v>
      </c>
      <c r="AD200" t="s">
        <v>118</v>
      </c>
      <c r="AE200" t="s">
        <v>729</v>
      </c>
      <c r="AF200" t="s">
        <v>1019</v>
      </c>
      <c r="AG200">
        <v>17.0</v>
      </c>
      <c r="AH200" s="4" t="s">
        <v>273</v>
      </c>
      <c r="AI200" t="s">
        <v>386</v>
      </c>
      <c r="AJ200" t="s">
        <v>4075</v>
      </c>
      <c r="AK200" t="s">
        <v>528</v>
      </c>
      <c r="AL200" t="s">
        <v>1706</v>
      </c>
      <c r="AM200" t="s">
        <v>4075</v>
      </c>
      <c r="AN200" t="s">
        <v>4075</v>
      </c>
      <c r="AO200" t="s">
        <v>335</v>
      </c>
      <c r="AP200">
        <v>4.0</v>
      </c>
      <c r="AQ200" t="s">
        <v>461</v>
      </c>
      <c r="AR200" t="s">
        <v>4741</v>
      </c>
      <c r="AS200" t="b">
        <v>0</v>
      </c>
      <c r="AT200" t="s">
        <v>4075</v>
      </c>
      <c r="AU200" t="s">
        <v>4075</v>
      </c>
      <c r="AV200">
        <v>5.0</v>
      </c>
      <c r="AW200" t="b">
        <v>0</v>
      </c>
      <c r="AX200" t="s">
        <v>4075</v>
      </c>
      <c r="AY200" t="s">
        <v>4075</v>
      </c>
      <c r="AZ200" t="b">
        <v>0</v>
      </c>
      <c r="BA200" t="b">
        <v>0</v>
      </c>
      <c r="BB200" t="s">
        <v>4075</v>
      </c>
      <c r="BC200" t="s">
        <v>4075</v>
      </c>
      <c r="BD200" t="s">
        <v>4742</v>
      </c>
      <c r="BE200" t="s">
        <v>4075</v>
      </c>
      <c r="BF200" t="s">
        <v>4075</v>
      </c>
      <c r="BG200" t="s">
        <v>4075</v>
      </c>
      <c r="BH200" t="s">
        <v>132</v>
      </c>
      <c r="BI200">
        <v>5.0</v>
      </c>
      <c r="BJ200" t="s">
        <v>4743</v>
      </c>
      <c r="BK200">
        <v>3.0</v>
      </c>
      <c r="BL200">
        <v>4.0</v>
      </c>
      <c r="BM200" t="s">
        <v>4744</v>
      </c>
      <c r="BN200">
        <v>3.0</v>
      </c>
      <c r="BO200">
        <v>5.0</v>
      </c>
      <c r="BP200" t="s">
        <v>4742</v>
      </c>
      <c r="BQ200" t="s">
        <v>4618</v>
      </c>
      <c r="BR200" t="s">
        <v>4745</v>
      </c>
      <c r="BS200" t="s">
        <v>4746</v>
      </c>
      <c r="BT200" t="s">
        <v>4075</v>
      </c>
      <c r="BU200" t="s">
        <v>4747</v>
      </c>
      <c r="BV200" s="3" t="str">
        <f>HYPERLINK("https://api.typeform.com/responses/files/c4fb8f065c74c0c05ac427c293e5f4793414e618d3e4239539aff883b0125555/Screen_Shot_2021_10_07_at_3.54.13_PM.png")</f>
        <v>https://api.typeform.com/responses/files/c4fb8f065c74c0c05ac427c293e5f4793414e618d3e4239539aff883b0125555/Screen_Shot_2021_10_07_at_3.54.13_PM.png</v>
      </c>
      <c r="BW200" t="b">
        <v>1</v>
      </c>
      <c r="BX200" t="s">
        <v>1394</v>
      </c>
      <c r="BY200" t="s">
        <v>140</v>
      </c>
      <c r="BZ200" t="s">
        <v>4075</v>
      </c>
      <c r="CA200" t="s">
        <v>1395</v>
      </c>
      <c r="CB200" t="s">
        <v>4075</v>
      </c>
      <c r="CC200" t="s">
        <v>4075</v>
      </c>
      <c r="CD200">
        <v>0.0</v>
      </c>
      <c r="CE200" t="s">
        <v>4075</v>
      </c>
      <c r="CF200" t="b">
        <v>1</v>
      </c>
      <c r="CG200" t="b">
        <v>1</v>
      </c>
      <c r="CH200" t="s">
        <v>168</v>
      </c>
      <c r="CI200" t="s">
        <v>4075</v>
      </c>
      <c r="CJ200" t="b">
        <v>1</v>
      </c>
      <c r="CK200" t="b">
        <v>1</v>
      </c>
      <c r="CL200" t="s">
        <v>387</v>
      </c>
      <c r="CM200" t="s">
        <v>387</v>
      </c>
      <c r="CN200" t="s">
        <v>4075</v>
      </c>
      <c r="CO200" t="s">
        <v>200</v>
      </c>
      <c r="CP200" t="s">
        <v>4075</v>
      </c>
      <c r="CQ200" t="s">
        <v>387</v>
      </c>
      <c r="CR200" t="b">
        <v>1</v>
      </c>
      <c r="CS200" t="s">
        <v>4075</v>
      </c>
      <c r="CT200">
        <v>0.0</v>
      </c>
      <c r="CU200">
        <v>0.0</v>
      </c>
      <c r="CV200" t="s">
        <v>4075</v>
      </c>
      <c r="CW200" t="s">
        <v>4075</v>
      </c>
      <c r="CX200" s="4" t="s">
        <v>520</v>
      </c>
      <c r="CY200" t="s">
        <v>4075</v>
      </c>
      <c r="CZ200" s="5">
        <v>44476.82979166666</v>
      </c>
      <c r="DA200" t="s">
        <v>4748</v>
      </c>
    </row>
    <row r="201">
      <c r="A201" t="s">
        <v>98</v>
      </c>
      <c r="B201" t="s">
        <v>4075</v>
      </c>
      <c r="C201" t="s">
        <v>4075</v>
      </c>
      <c r="D201" t="s">
        <v>4749</v>
      </c>
      <c r="E201" t="s">
        <v>4655</v>
      </c>
      <c r="F201" s="2">
        <v>38433.0</v>
      </c>
      <c r="G201" t="s">
        <v>1466</v>
      </c>
      <c r="H201" t="s">
        <v>4075</v>
      </c>
      <c r="I201" s="3" t="str">
        <f>HYPERLINK("https://api.typeform.com/responses/files/b13d29b737963bc8e298ba532ef895e05e7addf96fa022540f8977042f006e3c/WechatIMG6436.jpeg")</f>
        <v>https://api.typeform.com/responses/files/b13d29b737963bc8e298ba532ef895e05e7addf96fa022540f8977042f006e3c/WechatIMG6436.jpeg</v>
      </c>
      <c r="J201" t="s">
        <v>4750</v>
      </c>
      <c r="K201" t="b">
        <v>1</v>
      </c>
      <c r="L201" s="4" t="s">
        <v>4751</v>
      </c>
      <c r="M201" t="s">
        <v>4752</v>
      </c>
      <c r="N201" t="s">
        <v>149</v>
      </c>
      <c r="O201" t="s">
        <v>4075</v>
      </c>
      <c r="P201" t="s">
        <v>4753</v>
      </c>
      <c r="Q201" t="s">
        <v>189</v>
      </c>
      <c r="R201" t="s">
        <v>4750</v>
      </c>
      <c r="S201" t="s">
        <v>4754</v>
      </c>
      <c r="T201" s="4" t="s">
        <v>4755</v>
      </c>
      <c r="U201" t="s">
        <v>2313</v>
      </c>
      <c r="V201" t="s">
        <v>4756</v>
      </c>
      <c r="W201" t="s">
        <v>261</v>
      </c>
      <c r="X201" t="s">
        <v>4075</v>
      </c>
      <c r="Y201" t="s">
        <v>158</v>
      </c>
      <c r="Z201" t="s">
        <v>262</v>
      </c>
      <c r="AA201" t="s">
        <v>4075</v>
      </c>
      <c r="AB201" t="s">
        <v>4075</v>
      </c>
      <c r="AC201" s="3" t="str">
        <f>HYPERLINK("https://api.typeform.com/responses/files/b6c1268fec260dd00d7a00f994f02ae624ecb9f07945bd963031b34478c625b0/Screen_Shot_2021_10_07_at_3.23.52_PM.png")</f>
        <v>https://api.typeform.com/responses/files/b6c1268fec260dd00d7a00f994f02ae624ecb9f07945bd963031b34478c625b0/Screen_Shot_2021_10_07_at_3.23.52_PM.png</v>
      </c>
      <c r="AD201" t="s">
        <v>118</v>
      </c>
      <c r="AE201" t="s">
        <v>729</v>
      </c>
      <c r="AF201" t="s">
        <v>459</v>
      </c>
      <c r="AG201">
        <v>13.0</v>
      </c>
      <c r="AH201" s="4" t="s">
        <v>639</v>
      </c>
      <c r="AI201" t="s">
        <v>162</v>
      </c>
      <c r="AJ201" t="s">
        <v>4075</v>
      </c>
      <c r="AK201" t="s">
        <v>606</v>
      </c>
      <c r="AL201" t="s">
        <v>460</v>
      </c>
      <c r="AM201" t="s">
        <v>4075</v>
      </c>
      <c r="AN201" t="s">
        <v>4075</v>
      </c>
      <c r="AO201" t="s">
        <v>335</v>
      </c>
      <c r="AP201">
        <v>4.0</v>
      </c>
      <c r="AQ201" t="s">
        <v>1070</v>
      </c>
      <c r="AR201" t="s">
        <v>4757</v>
      </c>
      <c r="AS201" t="b">
        <v>1</v>
      </c>
      <c r="AT201" t="b">
        <v>0</v>
      </c>
      <c r="AU201" t="s">
        <v>4075</v>
      </c>
      <c r="AV201">
        <v>3.0</v>
      </c>
      <c r="AW201" t="b">
        <v>0</v>
      </c>
      <c r="AX201" t="s">
        <v>4075</v>
      </c>
      <c r="AY201" t="s">
        <v>4075</v>
      </c>
      <c r="AZ201" t="b">
        <v>1</v>
      </c>
      <c r="BA201" t="b">
        <v>1</v>
      </c>
      <c r="BB201" t="b">
        <v>0</v>
      </c>
      <c r="BC201" t="s">
        <v>4758</v>
      </c>
      <c r="BD201" t="s">
        <v>4075</v>
      </c>
      <c r="BE201" t="s">
        <v>4075</v>
      </c>
      <c r="BF201" t="s">
        <v>4075</v>
      </c>
      <c r="BG201" t="s">
        <v>4075</v>
      </c>
      <c r="BH201" t="s">
        <v>132</v>
      </c>
      <c r="BI201">
        <v>4.0</v>
      </c>
      <c r="BJ201" t="s">
        <v>4759</v>
      </c>
      <c r="BK201">
        <v>3.0</v>
      </c>
      <c r="BL201">
        <v>4.0</v>
      </c>
      <c r="BM201" t="s">
        <v>4760</v>
      </c>
      <c r="BN201">
        <v>1.0</v>
      </c>
      <c r="BO201">
        <v>3.0</v>
      </c>
      <c r="BP201" t="s">
        <v>4761</v>
      </c>
      <c r="BQ201" t="s">
        <v>1205</v>
      </c>
      <c r="BR201" t="s">
        <v>4762</v>
      </c>
      <c r="BS201" t="s">
        <v>4763</v>
      </c>
      <c r="BT201" t="s">
        <v>4075</v>
      </c>
      <c r="BU201" t="s">
        <v>4764</v>
      </c>
      <c r="BV201" s="3" t="str">
        <f>HYPERLINK("https://api.typeform.com/responses/files/79d43692b43cdd3f36d27565552a189a89aae28ddef463759e63e8ec55a16e0f/1041633636220_.pic.jpg")</f>
        <v>https://api.typeform.com/responses/files/79d43692b43cdd3f36d27565552a189a89aae28ddef463759e63e8ec55a16e0f/1041633636220_.pic.jpg</v>
      </c>
      <c r="BW201" t="b">
        <v>1</v>
      </c>
      <c r="BX201" t="s">
        <v>1394</v>
      </c>
      <c r="BY201" t="s">
        <v>140</v>
      </c>
      <c r="BZ201" t="s">
        <v>4075</v>
      </c>
      <c r="CA201" t="s">
        <v>1395</v>
      </c>
      <c r="CB201" t="s">
        <v>4075</v>
      </c>
      <c r="CC201" t="s">
        <v>4075</v>
      </c>
      <c r="CD201">
        <v>0.0</v>
      </c>
      <c r="CE201" t="s">
        <v>4075</v>
      </c>
      <c r="CF201" t="b">
        <v>1</v>
      </c>
      <c r="CG201" t="b">
        <v>0</v>
      </c>
      <c r="CH201" t="s">
        <v>4765</v>
      </c>
      <c r="CI201" t="s">
        <v>4075</v>
      </c>
      <c r="CJ201" t="b">
        <v>0</v>
      </c>
      <c r="CK201" t="b">
        <v>0</v>
      </c>
      <c r="CL201" t="s">
        <v>362</v>
      </c>
      <c r="CM201" t="s">
        <v>4075</v>
      </c>
      <c r="CN201" t="s">
        <v>4075</v>
      </c>
      <c r="CO201" t="s">
        <v>388</v>
      </c>
      <c r="CP201" t="s">
        <v>4075</v>
      </c>
      <c r="CQ201" t="s">
        <v>4075</v>
      </c>
      <c r="CR201" t="b">
        <v>1</v>
      </c>
      <c r="CS201" t="s">
        <v>4075</v>
      </c>
      <c r="CT201">
        <v>0.0</v>
      </c>
      <c r="CU201">
        <v>0.0</v>
      </c>
      <c r="CV201" t="s">
        <v>4075</v>
      </c>
      <c r="CW201" t="s">
        <v>4075</v>
      </c>
      <c r="CX201" s="4" t="s">
        <v>4766</v>
      </c>
      <c r="CY201" t="s">
        <v>4075</v>
      </c>
      <c r="CZ201" s="5">
        <v>44476.83195601852</v>
      </c>
      <c r="DA201" t="s">
        <v>4767</v>
      </c>
    </row>
    <row r="202">
      <c r="A202" t="s">
        <v>98</v>
      </c>
      <c r="B202" t="s">
        <v>4075</v>
      </c>
      <c r="C202" t="s">
        <v>4075</v>
      </c>
      <c r="D202" t="s">
        <v>4768</v>
      </c>
      <c r="E202" t="s">
        <v>4769</v>
      </c>
      <c r="F202" s="2">
        <v>38121.0</v>
      </c>
      <c r="G202" t="s">
        <v>1466</v>
      </c>
      <c r="H202" t="s">
        <v>4075</v>
      </c>
      <c r="I202" s="3" t="str">
        <f>HYPERLINK("https://api.typeform.com/responses/files/747e96bcb0cdebec913b948c239e0392402a2840ac6e18fb6d0b2b8d30b5382d/21633637017_.pic.jpg")</f>
        <v>https://api.typeform.com/responses/files/747e96bcb0cdebec913b948c239e0392402a2840ac6e18fb6d0b2b8d30b5382d/21633637017_.pic.jpg</v>
      </c>
      <c r="J202" t="s">
        <v>4770</v>
      </c>
      <c r="K202" t="b">
        <v>1</v>
      </c>
      <c r="L202" s="4" t="s">
        <v>4771</v>
      </c>
      <c r="M202" t="s">
        <v>4772</v>
      </c>
      <c r="N202" t="s">
        <v>354</v>
      </c>
      <c r="O202" t="s">
        <v>4773</v>
      </c>
      <c r="P202" t="s">
        <v>4774</v>
      </c>
      <c r="Q202" t="s">
        <v>563</v>
      </c>
      <c r="R202" t="s">
        <v>4775</v>
      </c>
      <c r="S202" t="s">
        <v>4772</v>
      </c>
      <c r="T202" s="4" t="s">
        <v>4771</v>
      </c>
      <c r="U202" t="s">
        <v>2722</v>
      </c>
      <c r="V202" t="s">
        <v>4776</v>
      </c>
      <c r="W202" t="s">
        <v>2290</v>
      </c>
      <c r="X202" t="s">
        <v>4075</v>
      </c>
      <c r="Y202" t="s">
        <v>158</v>
      </c>
      <c r="Z202" t="s">
        <v>262</v>
      </c>
      <c r="AA202" t="s">
        <v>4075</v>
      </c>
      <c r="AB202" t="s">
        <v>4075</v>
      </c>
      <c r="AC202" s="3" t="str">
        <f>HYPERLINK("https://api.typeform.com/responses/files/d6f2247e674dbed101bcb292d993611ea9f5bdee3c1e637d31c3e84ddbb50424/截屏2021_10_07_下午3.25.35.png")</f>
        <v>https://api.typeform.com/responses/files/d6f2247e674dbed101bcb292d993611ea9f5bdee3c1e637d31c3e84ddbb50424/截屏2021_10_07_下午3.25.35.png</v>
      </c>
      <c r="AD202" t="s">
        <v>118</v>
      </c>
      <c r="AE202" t="s">
        <v>729</v>
      </c>
      <c r="AF202" t="s">
        <v>459</v>
      </c>
      <c r="AG202">
        <v>14.0</v>
      </c>
      <c r="AH202" t="s">
        <v>4777</v>
      </c>
      <c r="AI202" t="s">
        <v>162</v>
      </c>
      <c r="AJ202" t="s">
        <v>4075</v>
      </c>
      <c r="AK202" t="s">
        <v>4778</v>
      </c>
      <c r="AL202" t="s">
        <v>460</v>
      </c>
      <c r="AM202" t="s">
        <v>4075</v>
      </c>
      <c r="AN202" t="s">
        <v>4075</v>
      </c>
      <c r="AO202" t="s">
        <v>125</v>
      </c>
      <c r="AP202">
        <v>6.0</v>
      </c>
      <c r="AQ202" t="s">
        <v>2240</v>
      </c>
      <c r="AR202" t="s">
        <v>2701</v>
      </c>
      <c r="AS202" t="b">
        <v>1</v>
      </c>
      <c r="AT202" t="b">
        <v>1</v>
      </c>
      <c r="AU202" t="s">
        <v>4075</v>
      </c>
      <c r="AV202">
        <v>7.0</v>
      </c>
      <c r="AW202" t="b">
        <v>0</v>
      </c>
      <c r="AX202" t="s">
        <v>4075</v>
      </c>
      <c r="AY202" t="s">
        <v>4075</v>
      </c>
      <c r="AZ202" t="b">
        <v>1</v>
      </c>
      <c r="BA202" t="b">
        <v>1</v>
      </c>
      <c r="BB202" t="b">
        <v>1</v>
      </c>
      <c r="BC202" t="s">
        <v>4779</v>
      </c>
      <c r="BD202" t="s">
        <v>4075</v>
      </c>
      <c r="BE202" t="s">
        <v>4075</v>
      </c>
      <c r="BF202" t="s">
        <v>4075</v>
      </c>
      <c r="BG202" t="s">
        <v>4075</v>
      </c>
      <c r="BH202" t="s">
        <v>132</v>
      </c>
      <c r="BI202">
        <v>7.0</v>
      </c>
      <c r="BJ202" t="s">
        <v>4780</v>
      </c>
      <c r="BK202">
        <v>7.0</v>
      </c>
      <c r="BL202">
        <v>7.0</v>
      </c>
      <c r="BM202" t="s">
        <v>4781</v>
      </c>
      <c r="BN202">
        <v>7.0</v>
      </c>
      <c r="BO202">
        <v>7.0</v>
      </c>
      <c r="BP202" t="s">
        <v>4782</v>
      </c>
      <c r="BQ202" t="s">
        <v>4783</v>
      </c>
      <c r="BR202" t="s">
        <v>4784</v>
      </c>
      <c r="BS202" t="s">
        <v>4785</v>
      </c>
      <c r="BT202" t="s">
        <v>4075</v>
      </c>
      <c r="BU202" t="s">
        <v>4786</v>
      </c>
      <c r="BV202" s="3" t="str">
        <f>HYPERLINK("https://api.typeform.com/responses/files/2c5e794f733d22a52eb9356ad62502c2a63d74c6975e895f941880470571667c/31633637019_.pic.jpg")</f>
        <v>https://api.typeform.com/responses/files/2c5e794f733d22a52eb9356ad62502c2a63d74c6975e895f941880470571667c/31633637019_.pic.jpg</v>
      </c>
      <c r="BW202" t="b">
        <v>1</v>
      </c>
      <c r="BX202" t="s">
        <v>1394</v>
      </c>
      <c r="BY202" t="s">
        <v>140</v>
      </c>
      <c r="BZ202" t="s">
        <v>4075</v>
      </c>
      <c r="CA202" t="s">
        <v>1395</v>
      </c>
      <c r="CB202" t="s">
        <v>4075</v>
      </c>
      <c r="CC202" t="s">
        <v>4075</v>
      </c>
      <c r="CD202">
        <v>0.0</v>
      </c>
      <c r="CE202" t="s">
        <v>4075</v>
      </c>
      <c r="CF202" t="b">
        <v>0</v>
      </c>
      <c r="CG202" t="b">
        <v>0</v>
      </c>
      <c r="CH202" t="s">
        <v>4787</v>
      </c>
      <c r="CI202" t="s">
        <v>4075</v>
      </c>
      <c r="CJ202" t="b">
        <v>0</v>
      </c>
      <c r="CK202" t="b">
        <v>0</v>
      </c>
      <c r="CL202" t="s">
        <v>362</v>
      </c>
      <c r="CM202" t="s">
        <v>4075</v>
      </c>
      <c r="CN202" t="s">
        <v>4075</v>
      </c>
      <c r="CO202" t="s">
        <v>2325</v>
      </c>
      <c r="CP202" t="s">
        <v>4075</v>
      </c>
      <c r="CQ202" t="s">
        <v>4075</v>
      </c>
      <c r="CR202" t="b">
        <v>1</v>
      </c>
      <c r="CS202" t="s">
        <v>4075</v>
      </c>
      <c r="CT202">
        <v>1.0</v>
      </c>
      <c r="CU202">
        <v>5.0</v>
      </c>
      <c r="CV202" t="s">
        <v>4075</v>
      </c>
      <c r="CW202" t="s">
        <v>4075</v>
      </c>
      <c r="CX202" s="4" t="s">
        <v>4788</v>
      </c>
      <c r="CY202" t="s">
        <v>4075</v>
      </c>
      <c r="CZ202" s="5">
        <v>44476.838530092595</v>
      </c>
      <c r="DA202" t="s">
        <v>4789</v>
      </c>
    </row>
    <row r="203">
      <c r="A203" t="s">
        <v>98</v>
      </c>
      <c r="B203" t="s">
        <v>4075</v>
      </c>
      <c r="C203" t="s">
        <v>4075</v>
      </c>
      <c r="D203" t="s">
        <v>4790</v>
      </c>
      <c r="E203" t="s">
        <v>4791</v>
      </c>
      <c r="F203" s="2">
        <v>38367.0</v>
      </c>
      <c r="G203" t="s">
        <v>1466</v>
      </c>
      <c r="H203" t="s">
        <v>4075</v>
      </c>
      <c r="I203" s="3" t="str">
        <f>HYPERLINK("https://api.typeform.com/responses/files/424237c42d725c9808b6257f054f51d23a22541581af3c41dac22f63a27c1357/Selfie.jpeg")</f>
        <v>https://api.typeform.com/responses/files/424237c42d725c9808b6257f054f51d23a22541581af3c41dac22f63a27c1357/Selfie.jpeg</v>
      </c>
      <c r="J203" t="s">
        <v>4792</v>
      </c>
      <c r="K203" t="b">
        <v>1</v>
      </c>
      <c r="L203" s="4" t="s">
        <v>4793</v>
      </c>
      <c r="M203" t="s">
        <v>4794</v>
      </c>
      <c r="N203" t="s">
        <v>354</v>
      </c>
      <c r="O203" t="s">
        <v>1014</v>
      </c>
      <c r="P203" t="s">
        <v>4795</v>
      </c>
      <c r="Q203" t="s">
        <v>189</v>
      </c>
      <c r="R203" t="s">
        <v>4796</v>
      </c>
      <c r="S203" t="s">
        <v>4797</v>
      </c>
      <c r="T203" s="4" t="s">
        <v>4798</v>
      </c>
      <c r="U203" t="s">
        <v>2288</v>
      </c>
      <c r="V203" t="s">
        <v>4799</v>
      </c>
      <c r="W203" t="s">
        <v>261</v>
      </c>
      <c r="X203" t="s">
        <v>4075</v>
      </c>
      <c r="Y203" t="s">
        <v>158</v>
      </c>
      <c r="Z203" t="s">
        <v>262</v>
      </c>
      <c r="AA203" t="s">
        <v>4075</v>
      </c>
      <c r="AB203" t="s">
        <v>4075</v>
      </c>
      <c r="AC203" s="3" t="str">
        <f>HYPERLINK("https://api.typeform.com/responses/files/dd7c0d74681090d0b7a1e0765794adccb07b9af2204ec26ed99bf4c6ca56dfcc/Screenshot_2021_10_07_3.23.39_PM.png")</f>
        <v>https://api.typeform.com/responses/files/dd7c0d74681090d0b7a1e0765794adccb07b9af2204ec26ed99bf4c6ca56dfcc/Screenshot_2021_10_07_3.23.39_PM.png</v>
      </c>
      <c r="AD203" t="s">
        <v>118</v>
      </c>
      <c r="AE203" t="s">
        <v>729</v>
      </c>
      <c r="AF203" t="s">
        <v>2651</v>
      </c>
      <c r="AG203">
        <v>13.0</v>
      </c>
      <c r="AH203" t="s">
        <v>4800</v>
      </c>
      <c r="AI203" t="s">
        <v>162</v>
      </c>
      <c r="AJ203" t="s">
        <v>4075</v>
      </c>
      <c r="AK203" t="s">
        <v>2651</v>
      </c>
      <c r="AL203" t="s">
        <v>199</v>
      </c>
      <c r="AM203" t="s">
        <v>4075</v>
      </c>
      <c r="AN203" t="s">
        <v>4075</v>
      </c>
      <c r="AO203" t="s">
        <v>335</v>
      </c>
      <c r="AP203">
        <v>3.0</v>
      </c>
      <c r="AQ203" t="s">
        <v>2240</v>
      </c>
      <c r="AR203" t="s">
        <v>4801</v>
      </c>
      <c r="AS203" t="b">
        <v>1</v>
      </c>
      <c r="AT203" t="b">
        <v>0</v>
      </c>
      <c r="AU203" t="s">
        <v>4075</v>
      </c>
      <c r="AV203">
        <v>6.0</v>
      </c>
      <c r="AW203" t="b">
        <v>1</v>
      </c>
      <c r="AX203" t="s">
        <v>2797</v>
      </c>
      <c r="AY203" s="4" t="s">
        <v>170</v>
      </c>
      <c r="AZ203" t="b">
        <v>0</v>
      </c>
      <c r="BA203" t="b">
        <v>0</v>
      </c>
      <c r="BB203" t="s">
        <v>4075</v>
      </c>
      <c r="BC203" t="s">
        <v>4075</v>
      </c>
      <c r="BD203" t="s">
        <v>4802</v>
      </c>
      <c r="BE203" t="s">
        <v>4075</v>
      </c>
      <c r="BF203" t="s">
        <v>4075</v>
      </c>
      <c r="BG203" t="s">
        <v>4075</v>
      </c>
      <c r="BH203" t="s">
        <v>132</v>
      </c>
      <c r="BI203">
        <v>3.0</v>
      </c>
      <c r="BJ203" t="s">
        <v>4803</v>
      </c>
      <c r="BK203">
        <v>3.0</v>
      </c>
      <c r="BL203">
        <v>5.0</v>
      </c>
      <c r="BM203" t="s">
        <v>4804</v>
      </c>
      <c r="BN203">
        <v>4.0</v>
      </c>
      <c r="BO203">
        <v>4.0</v>
      </c>
      <c r="BP203" t="s">
        <v>4805</v>
      </c>
      <c r="BQ203" t="s">
        <v>1931</v>
      </c>
      <c r="BR203" t="s">
        <v>4806</v>
      </c>
      <c r="BS203" t="s">
        <v>4807</v>
      </c>
      <c r="BT203" t="s">
        <v>4075</v>
      </c>
      <c r="BU203" t="s">
        <v>4808</v>
      </c>
      <c r="BV203" s="3" t="str">
        <f>HYPERLINK("https://api.typeform.com/responses/files/2706bd326ce0f7329041048dc565ed48f01fc76b9351abab3529bdef80943652/Screenshot_2021_10_07_3.23.46_PM.png")</f>
        <v>https://api.typeform.com/responses/files/2706bd326ce0f7329041048dc565ed48f01fc76b9351abab3529bdef80943652/Screenshot_2021_10_07_3.23.46_PM.png</v>
      </c>
      <c r="BW203" t="b">
        <v>1</v>
      </c>
      <c r="BX203" t="s">
        <v>1394</v>
      </c>
      <c r="BY203" t="s">
        <v>140</v>
      </c>
      <c r="BZ203" t="s">
        <v>4075</v>
      </c>
      <c r="CA203" t="s">
        <v>1395</v>
      </c>
      <c r="CB203" t="s">
        <v>4075</v>
      </c>
      <c r="CC203" t="s">
        <v>4075</v>
      </c>
      <c r="CD203">
        <v>0.0</v>
      </c>
      <c r="CE203" t="s">
        <v>4075</v>
      </c>
      <c r="CF203" t="b">
        <v>1</v>
      </c>
      <c r="CG203" t="b">
        <v>1</v>
      </c>
      <c r="CH203" t="s">
        <v>4809</v>
      </c>
      <c r="CI203" t="s">
        <v>4075</v>
      </c>
      <c r="CJ203" t="b">
        <v>0</v>
      </c>
      <c r="CK203" t="b">
        <v>1</v>
      </c>
      <c r="CL203" t="s">
        <v>2301</v>
      </c>
      <c r="CM203" t="s">
        <v>2301</v>
      </c>
      <c r="CN203" t="s">
        <v>4075</v>
      </c>
      <c r="CO203" t="s">
        <v>1635</v>
      </c>
      <c r="CP203" t="s">
        <v>4075</v>
      </c>
      <c r="CQ203" t="s">
        <v>2301</v>
      </c>
      <c r="CR203" t="b">
        <v>1</v>
      </c>
      <c r="CS203" t="s">
        <v>4075</v>
      </c>
      <c r="CT203">
        <v>1.0</v>
      </c>
      <c r="CU203">
        <v>5.0</v>
      </c>
      <c r="CV203" t="s">
        <v>4075</v>
      </c>
      <c r="CW203" t="s">
        <v>4075</v>
      </c>
      <c r="CX203" s="4" t="s">
        <v>1022</v>
      </c>
      <c r="CY203" t="s">
        <v>4075</v>
      </c>
      <c r="CZ203" s="5">
        <v>44476.840208333335</v>
      </c>
      <c r="DA203" t="s">
        <v>4810</v>
      </c>
    </row>
    <row r="204">
      <c r="A204" t="s">
        <v>98</v>
      </c>
      <c r="B204" t="s">
        <v>4075</v>
      </c>
      <c r="C204" t="s">
        <v>4075</v>
      </c>
      <c r="D204" t="s">
        <v>4768</v>
      </c>
      <c r="E204" t="s">
        <v>4769</v>
      </c>
      <c r="F204" s="2">
        <v>38121.0</v>
      </c>
      <c r="G204" t="s">
        <v>1466</v>
      </c>
      <c r="H204" t="s">
        <v>4075</v>
      </c>
      <c r="I204" s="3" t="str">
        <f>HYPERLINK("https://api.typeform.com/responses/files/f51c7d3dcbaa9f203b6494743b604d99a4fa4771b75f95613ae49166425f63e2/21633637017_.pic.jpg")</f>
        <v>https://api.typeform.com/responses/files/f51c7d3dcbaa9f203b6494743b604d99a4fa4771b75f95613ae49166425f63e2/21633637017_.pic.jpg</v>
      </c>
      <c r="J204" t="s">
        <v>4811</v>
      </c>
      <c r="K204" t="b">
        <v>1</v>
      </c>
      <c r="L204" s="4" t="s">
        <v>4771</v>
      </c>
      <c r="M204" t="s">
        <v>4772</v>
      </c>
      <c r="N204" t="s">
        <v>354</v>
      </c>
      <c r="O204" t="s">
        <v>4773</v>
      </c>
      <c r="P204" t="s">
        <v>4774</v>
      </c>
      <c r="Q204" t="s">
        <v>563</v>
      </c>
      <c r="R204" t="s">
        <v>4775</v>
      </c>
      <c r="S204" t="s">
        <v>4772</v>
      </c>
      <c r="T204" s="4" t="s">
        <v>4771</v>
      </c>
      <c r="U204" t="s">
        <v>2722</v>
      </c>
      <c r="V204" t="s">
        <v>4776</v>
      </c>
      <c r="W204" t="s">
        <v>2290</v>
      </c>
      <c r="X204" t="s">
        <v>4075</v>
      </c>
      <c r="Y204" t="s">
        <v>158</v>
      </c>
      <c r="Z204" t="s">
        <v>262</v>
      </c>
      <c r="AA204" t="s">
        <v>4075</v>
      </c>
      <c r="AB204" t="s">
        <v>4075</v>
      </c>
      <c r="AC204" s="3" t="str">
        <f>HYPERLINK("https://api.typeform.com/responses/files/5e6ca73a1e98a886377f6b58d837648e63ef75e5d51d16527657729cb4bd21d2/截屏2021_10_07_下午3.25.35.png")</f>
        <v>https://api.typeform.com/responses/files/5e6ca73a1e98a886377f6b58d837648e63ef75e5d51d16527657729cb4bd21d2/截屏2021_10_07_下午3.25.35.png</v>
      </c>
      <c r="AD204" t="s">
        <v>118</v>
      </c>
      <c r="AE204" t="s">
        <v>729</v>
      </c>
      <c r="AF204" t="s">
        <v>459</v>
      </c>
      <c r="AG204">
        <v>14.0</v>
      </c>
      <c r="AH204" t="s">
        <v>4777</v>
      </c>
      <c r="AI204" t="s">
        <v>162</v>
      </c>
      <c r="AJ204" t="s">
        <v>4075</v>
      </c>
      <c r="AK204" t="s">
        <v>4778</v>
      </c>
      <c r="AL204" t="s">
        <v>460</v>
      </c>
      <c r="AM204" t="s">
        <v>4075</v>
      </c>
      <c r="AN204" t="s">
        <v>4075</v>
      </c>
      <c r="AO204" t="s">
        <v>125</v>
      </c>
      <c r="AP204">
        <v>7.0</v>
      </c>
      <c r="AQ204" t="s">
        <v>2240</v>
      </c>
      <c r="AR204" t="s">
        <v>2701</v>
      </c>
      <c r="AS204" t="b">
        <v>1</v>
      </c>
      <c r="AT204" t="b">
        <v>1</v>
      </c>
      <c r="AU204" t="s">
        <v>4075</v>
      </c>
      <c r="AV204">
        <v>7.0</v>
      </c>
      <c r="AW204" t="b">
        <v>0</v>
      </c>
      <c r="AX204" t="s">
        <v>4075</v>
      </c>
      <c r="AY204" t="s">
        <v>4075</v>
      </c>
      <c r="AZ204" t="b">
        <v>1</v>
      </c>
      <c r="BA204" t="b">
        <v>1</v>
      </c>
      <c r="BB204" t="b">
        <v>1</v>
      </c>
      <c r="BC204" t="s">
        <v>4779</v>
      </c>
      <c r="BD204" t="s">
        <v>4075</v>
      </c>
      <c r="BE204" t="s">
        <v>4075</v>
      </c>
      <c r="BF204" t="s">
        <v>4075</v>
      </c>
      <c r="BG204" t="s">
        <v>4075</v>
      </c>
      <c r="BH204" t="s">
        <v>132</v>
      </c>
      <c r="BI204">
        <v>7.0</v>
      </c>
      <c r="BJ204" t="s">
        <v>4780</v>
      </c>
      <c r="BK204">
        <v>7.0</v>
      </c>
      <c r="BL204">
        <v>7.0</v>
      </c>
      <c r="BM204" t="s">
        <v>4781</v>
      </c>
      <c r="BN204">
        <v>7.0</v>
      </c>
      <c r="BO204">
        <v>7.0</v>
      </c>
      <c r="BP204" t="s">
        <v>4782</v>
      </c>
      <c r="BQ204" t="s">
        <v>4783</v>
      </c>
      <c r="BR204" t="s">
        <v>4784</v>
      </c>
      <c r="BS204" t="s">
        <v>4785</v>
      </c>
      <c r="BT204" t="s">
        <v>4075</v>
      </c>
      <c r="BU204" t="s">
        <v>4786</v>
      </c>
      <c r="BV204" s="3" t="str">
        <f>HYPERLINK("https://api.typeform.com/responses/files/2c5e794f733d22a52eb9356ad62502c2a63d74c6975e895f941880470571667c/31633637019_.pic.jpg")</f>
        <v>https://api.typeform.com/responses/files/2c5e794f733d22a52eb9356ad62502c2a63d74c6975e895f941880470571667c/31633637019_.pic.jpg</v>
      </c>
      <c r="BW204" t="b">
        <v>1</v>
      </c>
      <c r="BX204" t="s">
        <v>1394</v>
      </c>
      <c r="BY204" t="s">
        <v>140</v>
      </c>
      <c r="BZ204" t="s">
        <v>4075</v>
      </c>
      <c r="CA204" t="s">
        <v>1395</v>
      </c>
      <c r="CB204" t="s">
        <v>4075</v>
      </c>
      <c r="CC204" t="s">
        <v>4075</v>
      </c>
      <c r="CD204">
        <v>0.0</v>
      </c>
      <c r="CE204" t="s">
        <v>4075</v>
      </c>
      <c r="CF204" t="b">
        <v>0</v>
      </c>
      <c r="CG204" t="b">
        <v>0</v>
      </c>
      <c r="CH204" t="s">
        <v>4787</v>
      </c>
      <c r="CI204" t="s">
        <v>4075</v>
      </c>
      <c r="CJ204" t="b">
        <v>0</v>
      </c>
      <c r="CK204" t="b">
        <v>0</v>
      </c>
      <c r="CL204" t="s">
        <v>362</v>
      </c>
      <c r="CM204" t="s">
        <v>4075</v>
      </c>
      <c r="CN204" t="s">
        <v>4075</v>
      </c>
      <c r="CO204" t="s">
        <v>2325</v>
      </c>
      <c r="CP204" t="s">
        <v>4075</v>
      </c>
      <c r="CQ204" t="s">
        <v>4075</v>
      </c>
      <c r="CR204" t="b">
        <v>1</v>
      </c>
      <c r="CS204" t="s">
        <v>4075</v>
      </c>
      <c r="CT204">
        <v>1.0</v>
      </c>
      <c r="CU204">
        <v>5.0</v>
      </c>
      <c r="CV204" t="s">
        <v>4075</v>
      </c>
      <c r="CW204" t="s">
        <v>4075</v>
      </c>
      <c r="CX204" s="4" t="s">
        <v>4788</v>
      </c>
      <c r="CY204" t="s">
        <v>4075</v>
      </c>
      <c r="CZ204" s="5">
        <v>44476.84275462963</v>
      </c>
      <c r="DA204" t="s">
        <v>4812</v>
      </c>
    </row>
    <row r="205">
      <c r="A205" t="s">
        <v>98</v>
      </c>
      <c r="B205" t="s">
        <v>4075</v>
      </c>
      <c r="C205" t="s">
        <v>4075</v>
      </c>
      <c r="D205" t="s">
        <v>4813</v>
      </c>
      <c r="E205" t="s">
        <v>4814</v>
      </c>
      <c r="F205" s="2">
        <v>38670.0</v>
      </c>
      <c r="G205" t="s">
        <v>1466</v>
      </c>
      <c r="H205" t="s">
        <v>4075</v>
      </c>
      <c r="I205" s="3" t="str">
        <f>HYPERLINK("https://api.typeform.com/responses/files/7b1687d147c1ffbe4846c1ad100aa1bd8ce2f37be61b9d5f52c4cd204e332b33/IMG_20211007_151927.jpg")</f>
        <v>https://api.typeform.com/responses/files/7b1687d147c1ffbe4846c1ad100aa1bd8ce2f37be61b9d5f52c4cd204e332b33/IMG_20211007_151927.jpg</v>
      </c>
      <c r="J205" t="s">
        <v>4815</v>
      </c>
      <c r="K205" t="b">
        <v>1</v>
      </c>
      <c r="L205" s="4" t="s">
        <v>4816</v>
      </c>
      <c r="M205" t="s">
        <v>4817</v>
      </c>
      <c r="N205" t="s">
        <v>149</v>
      </c>
      <c r="O205" t="s">
        <v>4075</v>
      </c>
      <c r="P205" t="s">
        <v>4818</v>
      </c>
      <c r="Q205" t="s">
        <v>189</v>
      </c>
      <c r="R205" t="s">
        <v>4819</v>
      </c>
      <c r="S205" t="s">
        <v>4820</v>
      </c>
      <c r="T205" s="4" t="s">
        <v>4821</v>
      </c>
      <c r="U205" t="s">
        <v>2313</v>
      </c>
      <c r="V205" t="s">
        <v>4822</v>
      </c>
      <c r="W205" t="s">
        <v>2290</v>
      </c>
      <c r="X205" t="s">
        <v>4075</v>
      </c>
      <c r="Y205" t="s">
        <v>158</v>
      </c>
      <c r="Z205" t="s">
        <v>262</v>
      </c>
      <c r="AA205" t="s">
        <v>4075</v>
      </c>
      <c r="AB205" t="s">
        <v>4075</v>
      </c>
      <c r="AC205" s="3" t="str">
        <f>HYPERLINK("https://api.typeform.com/responses/files/6f57b3aa4b2905f3a68740bdceb12d258c9b49138225d875208406ec0c6eff33/Screenshot_2021_10_07_3.40.16_PM.png")</f>
        <v>https://api.typeform.com/responses/files/6f57b3aa4b2905f3a68740bdceb12d258c9b49138225d875208406ec0c6eff33/Screenshot_2021_10_07_3.40.16_PM.png</v>
      </c>
      <c r="AD205" t="s">
        <v>118</v>
      </c>
      <c r="AE205" t="s">
        <v>729</v>
      </c>
      <c r="AF205" t="s">
        <v>2651</v>
      </c>
      <c r="AG205">
        <v>2019.0</v>
      </c>
      <c r="AH205" t="s">
        <v>4823</v>
      </c>
      <c r="AI205" t="s">
        <v>162</v>
      </c>
      <c r="AJ205" t="s">
        <v>4075</v>
      </c>
      <c r="AK205" t="s">
        <v>4823</v>
      </c>
      <c r="AL205" t="s">
        <v>199</v>
      </c>
      <c r="AM205" t="s">
        <v>4075</v>
      </c>
      <c r="AN205" t="s">
        <v>4075</v>
      </c>
      <c r="AO205" t="s">
        <v>125</v>
      </c>
      <c r="AP205">
        <v>5.0</v>
      </c>
      <c r="AQ205" t="s">
        <v>1480</v>
      </c>
      <c r="AR205" t="s">
        <v>4824</v>
      </c>
      <c r="AS205" t="b">
        <v>1</v>
      </c>
      <c r="AT205" t="b">
        <v>0</v>
      </c>
      <c r="AU205" t="s">
        <v>4075</v>
      </c>
      <c r="AV205">
        <v>5.0</v>
      </c>
      <c r="AW205" t="b">
        <v>0</v>
      </c>
      <c r="AX205" t="s">
        <v>4075</v>
      </c>
      <c r="AY205" t="s">
        <v>4075</v>
      </c>
      <c r="AZ205" t="b">
        <v>0</v>
      </c>
      <c r="BA205" t="b">
        <v>1</v>
      </c>
      <c r="BB205" t="b">
        <v>1</v>
      </c>
      <c r="BC205" t="s">
        <v>4825</v>
      </c>
      <c r="BD205" t="s">
        <v>4075</v>
      </c>
      <c r="BE205" t="s">
        <v>4075</v>
      </c>
      <c r="BF205" t="s">
        <v>4075</v>
      </c>
      <c r="BG205" t="s">
        <v>4075</v>
      </c>
      <c r="BH205" t="s">
        <v>132</v>
      </c>
      <c r="BI205">
        <v>1.0</v>
      </c>
      <c r="BJ205" t="s">
        <v>4637</v>
      </c>
      <c r="BK205">
        <v>1.0</v>
      </c>
      <c r="BL205">
        <v>2.0</v>
      </c>
      <c r="BM205" t="s">
        <v>4637</v>
      </c>
      <c r="BN205">
        <v>3.0</v>
      </c>
      <c r="BO205">
        <v>3.0</v>
      </c>
      <c r="BP205" t="s">
        <v>4826</v>
      </c>
      <c r="BQ205" t="s">
        <v>916</v>
      </c>
      <c r="BR205" t="s">
        <v>4827</v>
      </c>
      <c r="BS205" t="s">
        <v>4828</v>
      </c>
      <c r="BT205" t="s">
        <v>4075</v>
      </c>
      <c r="BU205" t="s">
        <v>4829</v>
      </c>
      <c r="BV205" s="3" t="str">
        <f>HYPERLINK("https://api.typeform.com/responses/files/02f545938f17a32229085fad0eff464ccbc4c17c7d597126b81f057e8ab9d34f/IMG_20211007_161337.jpg")</f>
        <v>https://api.typeform.com/responses/files/02f545938f17a32229085fad0eff464ccbc4c17c7d597126b81f057e8ab9d34f/IMG_20211007_161337.jpg</v>
      </c>
      <c r="BW205" t="b">
        <v>1</v>
      </c>
      <c r="BX205" t="s">
        <v>1394</v>
      </c>
      <c r="BY205" t="s">
        <v>140</v>
      </c>
      <c r="BZ205" t="s">
        <v>4075</v>
      </c>
      <c r="CA205" t="s">
        <v>1395</v>
      </c>
      <c r="CB205" t="s">
        <v>4075</v>
      </c>
      <c r="CC205" t="s">
        <v>4075</v>
      </c>
      <c r="CD205">
        <v>0.0</v>
      </c>
      <c r="CE205" t="s">
        <v>4075</v>
      </c>
      <c r="CF205" t="b">
        <v>1</v>
      </c>
      <c r="CG205" t="b">
        <v>1</v>
      </c>
      <c r="CH205" t="s">
        <v>1935</v>
      </c>
      <c r="CI205" t="s">
        <v>4075</v>
      </c>
      <c r="CJ205" t="b">
        <v>1</v>
      </c>
      <c r="CK205" t="b">
        <v>1</v>
      </c>
      <c r="CL205" t="s">
        <v>2301</v>
      </c>
      <c r="CM205" t="s">
        <v>4075</v>
      </c>
      <c r="CN205" t="s">
        <v>4075</v>
      </c>
      <c r="CO205" t="s">
        <v>2888</v>
      </c>
      <c r="CP205" t="s">
        <v>4075</v>
      </c>
      <c r="CQ205" t="s">
        <v>4075</v>
      </c>
      <c r="CR205" t="b">
        <v>1</v>
      </c>
      <c r="CS205" t="s">
        <v>4075</v>
      </c>
      <c r="CT205">
        <v>2.0</v>
      </c>
      <c r="CU205">
        <v>0.0</v>
      </c>
      <c r="CV205" t="s">
        <v>4075</v>
      </c>
      <c r="CW205" t="s">
        <v>4075</v>
      </c>
      <c r="CX205" s="4" t="s">
        <v>734</v>
      </c>
      <c r="CY205" t="s">
        <v>4075</v>
      </c>
      <c r="CZ205" s="5">
        <v>44476.84825231481</v>
      </c>
      <c r="DA205" t="s">
        <v>4830</v>
      </c>
    </row>
    <row r="206">
      <c r="A206" t="s">
        <v>98</v>
      </c>
      <c r="B206" t="s">
        <v>4075</v>
      </c>
      <c r="C206" t="s">
        <v>4075</v>
      </c>
      <c r="D206" t="s">
        <v>4831</v>
      </c>
      <c r="E206" t="s">
        <v>4832</v>
      </c>
      <c r="F206" s="2">
        <v>37838.0</v>
      </c>
      <c r="G206" t="s">
        <v>1360</v>
      </c>
      <c r="H206" t="s">
        <v>4075</v>
      </c>
      <c r="I206" s="3" t="str">
        <f>HYPERLINK("https://api.typeform.com/responses/files/541c6be1ee5ad4f5b16c5135011a20fb255546c33808bf525ff428ae812d7063/IMG_6695.JPG")</f>
        <v>https://api.typeform.com/responses/files/541c6be1ee5ad4f5b16c5135011a20fb255546c33808bf525ff428ae812d7063/IMG_6695.JPG</v>
      </c>
      <c r="J206" t="s">
        <v>4833</v>
      </c>
      <c r="K206" t="b">
        <v>1</v>
      </c>
      <c r="L206" s="4" t="s">
        <v>4834</v>
      </c>
      <c r="M206" t="s">
        <v>4835</v>
      </c>
      <c r="N206" t="s">
        <v>149</v>
      </c>
      <c r="O206" t="s">
        <v>4075</v>
      </c>
      <c r="P206" t="s">
        <v>4836</v>
      </c>
      <c r="Q206" t="s">
        <v>152</v>
      </c>
      <c r="R206" t="s">
        <v>4837</v>
      </c>
      <c r="S206" t="s">
        <v>4838</v>
      </c>
      <c r="T206" s="4" t="s">
        <v>4839</v>
      </c>
      <c r="U206" t="s">
        <v>329</v>
      </c>
      <c r="V206" t="s">
        <v>4840</v>
      </c>
      <c r="W206" t="s">
        <v>261</v>
      </c>
      <c r="X206" t="s">
        <v>4075</v>
      </c>
      <c r="Y206" t="s">
        <v>158</v>
      </c>
      <c r="Z206" t="s">
        <v>159</v>
      </c>
      <c r="AA206" t="s">
        <v>4075</v>
      </c>
      <c r="AB206" t="s">
        <v>4075</v>
      </c>
      <c r="AC206" s="3" t="str">
        <f>HYPERLINK("https://api.typeform.com/responses/files/f9e4fbae9cabb42256377ac432021d7f274a4756b25c111c1baf3c1adf0e607e/Romina_S..pdf")</f>
        <v>https://api.typeform.com/responses/files/f9e4fbae9cabb42256377ac432021d7f274a4756b25c111c1baf3c1adf0e607e/Romina_S..pdf</v>
      </c>
      <c r="AD206" t="s">
        <v>118</v>
      </c>
      <c r="AE206" t="s">
        <v>729</v>
      </c>
      <c r="AF206" t="s">
        <v>4841</v>
      </c>
      <c r="AG206">
        <v>16.0</v>
      </c>
      <c r="AH206" s="4" t="s">
        <v>273</v>
      </c>
      <c r="AI206" t="s">
        <v>162</v>
      </c>
      <c r="AJ206" t="s">
        <v>4075</v>
      </c>
      <c r="AK206" t="s">
        <v>4075</v>
      </c>
      <c r="AL206" t="s">
        <v>857</v>
      </c>
      <c r="AM206" t="s">
        <v>4075</v>
      </c>
      <c r="AN206" t="s">
        <v>4075</v>
      </c>
      <c r="AO206" t="s">
        <v>1479</v>
      </c>
      <c r="AP206">
        <v>4.0</v>
      </c>
      <c r="AQ206" t="s">
        <v>1070</v>
      </c>
      <c r="AR206" t="s">
        <v>4842</v>
      </c>
      <c r="AS206" t="b">
        <v>1</v>
      </c>
      <c r="AT206" t="b">
        <v>1</v>
      </c>
      <c r="AU206" t="s">
        <v>4075</v>
      </c>
      <c r="AV206">
        <v>6.0</v>
      </c>
      <c r="AW206" t="b">
        <v>0</v>
      </c>
      <c r="AX206" t="s">
        <v>4075</v>
      </c>
      <c r="AY206" t="s">
        <v>4075</v>
      </c>
      <c r="AZ206" t="b">
        <v>1</v>
      </c>
      <c r="BA206" t="b">
        <v>1</v>
      </c>
      <c r="BB206" t="b">
        <v>0</v>
      </c>
      <c r="BC206" t="s">
        <v>4843</v>
      </c>
      <c r="BD206" t="s">
        <v>4075</v>
      </c>
      <c r="BE206" t="s">
        <v>4075</v>
      </c>
      <c r="BF206" t="s">
        <v>4075</v>
      </c>
      <c r="BG206" t="s">
        <v>4075</v>
      </c>
      <c r="BH206" t="s">
        <v>132</v>
      </c>
      <c r="BI206">
        <v>1.0</v>
      </c>
      <c r="BJ206" t="s">
        <v>4844</v>
      </c>
      <c r="BK206">
        <v>1.0</v>
      </c>
      <c r="BL206">
        <v>4.0</v>
      </c>
      <c r="BM206" t="s">
        <v>4845</v>
      </c>
      <c r="BN206">
        <v>4.0</v>
      </c>
      <c r="BO206">
        <v>4.0</v>
      </c>
      <c r="BP206" t="s">
        <v>4846</v>
      </c>
      <c r="BQ206" t="s">
        <v>4847</v>
      </c>
      <c r="BR206" t="s">
        <v>4848</v>
      </c>
      <c r="BS206" t="s">
        <v>4849</v>
      </c>
      <c r="BT206" t="s">
        <v>4075</v>
      </c>
      <c r="BU206" t="s">
        <v>4850</v>
      </c>
      <c r="BV206" s="3" t="str">
        <f>HYPERLINK("https://api.typeform.com/responses/files/4b3949eb0cd26adfc6c6e8d6e9dd2e2b7d6c6e1814d5cb585718f718ddf94ba3/SPEAKHIRE_Parent.Guardian_Consent_Form.docx")</f>
        <v>https://api.typeform.com/responses/files/4b3949eb0cd26adfc6c6e8d6e9dd2e2b7d6c6e1814d5cb585718f718ddf94ba3/SPEAKHIRE_Parent.Guardian_Consent_Form.docx</v>
      </c>
      <c r="BW206" t="b">
        <v>1</v>
      </c>
      <c r="BX206" t="s">
        <v>1394</v>
      </c>
      <c r="BY206" t="s">
        <v>140</v>
      </c>
      <c r="BZ206" t="s">
        <v>4075</v>
      </c>
      <c r="CA206" t="s">
        <v>1395</v>
      </c>
      <c r="CB206" t="s">
        <v>4075</v>
      </c>
      <c r="CC206" t="s">
        <v>4075</v>
      </c>
      <c r="CD206">
        <v>0.0</v>
      </c>
      <c r="CE206" t="s">
        <v>4075</v>
      </c>
      <c r="CF206" t="b">
        <v>1</v>
      </c>
      <c r="CG206" t="b">
        <v>1</v>
      </c>
      <c r="CH206" t="s">
        <v>4851</v>
      </c>
      <c r="CI206" t="s">
        <v>4075</v>
      </c>
      <c r="CJ206" t="b">
        <v>1</v>
      </c>
      <c r="CK206" t="b">
        <v>1</v>
      </c>
      <c r="CL206" t="s">
        <v>413</v>
      </c>
      <c r="CM206" t="s">
        <v>4075</v>
      </c>
      <c r="CN206" t="s">
        <v>4075</v>
      </c>
      <c r="CO206" t="s">
        <v>124</v>
      </c>
      <c r="CP206" t="s">
        <v>4075</v>
      </c>
      <c r="CQ206" t="s">
        <v>4075</v>
      </c>
      <c r="CR206" t="b">
        <v>1</v>
      </c>
      <c r="CS206" t="s">
        <v>4075</v>
      </c>
      <c r="CT206">
        <v>2.0</v>
      </c>
      <c r="CU206">
        <v>0.0</v>
      </c>
      <c r="CV206" t="s">
        <v>4075</v>
      </c>
      <c r="CW206" t="s">
        <v>4075</v>
      </c>
      <c r="CX206" s="4" t="s">
        <v>3882</v>
      </c>
      <c r="CY206" t="s">
        <v>4075</v>
      </c>
      <c r="CZ206" s="5">
        <v>44476.97969907407</v>
      </c>
      <c r="DA206" t="s">
        <v>4852</v>
      </c>
    </row>
    <row r="207">
      <c r="A207" t="s">
        <v>98</v>
      </c>
      <c r="B207" t="s">
        <v>4075</v>
      </c>
      <c r="C207" t="s">
        <v>4075</v>
      </c>
      <c r="D207" t="s">
        <v>4853</v>
      </c>
      <c r="E207" t="s">
        <v>4854</v>
      </c>
      <c r="F207" s="2">
        <v>38535.0</v>
      </c>
      <c r="G207" t="s">
        <v>1466</v>
      </c>
      <c r="H207" t="s">
        <v>4075</v>
      </c>
      <c r="I207" s="3" t="str">
        <f>HYPERLINK("https://api.typeform.com/responses/files/0cea05dd8d7d76e9866f824052510f7c52e965450aa27bf272ed2ab08d68d381/微信图片_20211007184124.jpg")</f>
        <v>https://api.typeform.com/responses/files/0cea05dd8d7d76e9866f824052510f7c52e965450aa27bf272ed2ab08d68d381/微信图片_20211007184124.jpg</v>
      </c>
      <c r="J207" t="s">
        <v>4855</v>
      </c>
      <c r="K207" t="b">
        <v>1</v>
      </c>
      <c r="L207" s="4" t="s">
        <v>4856</v>
      </c>
      <c r="M207" t="s">
        <v>4857</v>
      </c>
      <c r="N207" t="s">
        <v>149</v>
      </c>
      <c r="O207" t="s">
        <v>4858</v>
      </c>
      <c r="P207" t="s">
        <v>4859</v>
      </c>
      <c r="Q207" t="s">
        <v>152</v>
      </c>
      <c r="R207" t="s">
        <v>4860</v>
      </c>
      <c r="S207" t="s">
        <v>4857</v>
      </c>
      <c r="T207" s="4" t="s">
        <v>4861</v>
      </c>
      <c r="U207" t="s">
        <v>2313</v>
      </c>
      <c r="V207" t="s">
        <v>2407</v>
      </c>
      <c r="W207" t="s">
        <v>2290</v>
      </c>
      <c r="X207" t="s">
        <v>4075</v>
      </c>
      <c r="Y207" t="s">
        <v>158</v>
      </c>
      <c r="Z207" t="s">
        <v>262</v>
      </c>
      <c r="AA207" t="s">
        <v>4075</v>
      </c>
      <c r="AB207" t="s">
        <v>4075</v>
      </c>
      <c r="AC207" s="3" t="str">
        <f>HYPERLINK("https://api.typeform.com/responses/files/c14250907fb8f449fee3a19d1cf1c8f75c71defb0d0d86a1e68d942b3536e575/微信图片_20211007184144.jpg")</f>
        <v>https://api.typeform.com/responses/files/c14250907fb8f449fee3a19d1cf1c8f75c71defb0d0d86a1e68d942b3536e575/微信图片_20211007184144.jpg</v>
      </c>
      <c r="AD207" t="s">
        <v>118</v>
      </c>
      <c r="AE207" t="s">
        <v>729</v>
      </c>
      <c r="AF207" t="s">
        <v>459</v>
      </c>
      <c r="AG207">
        <v>14.0</v>
      </c>
      <c r="AH207" s="4" t="s">
        <v>273</v>
      </c>
      <c r="AI207" t="s">
        <v>386</v>
      </c>
      <c r="AJ207" t="s">
        <v>4075</v>
      </c>
      <c r="AK207" t="s">
        <v>4075</v>
      </c>
      <c r="AL207" t="s">
        <v>460</v>
      </c>
      <c r="AM207" t="s">
        <v>4075</v>
      </c>
      <c r="AN207" t="s">
        <v>4075</v>
      </c>
      <c r="AO207" t="s">
        <v>125</v>
      </c>
      <c r="AP207">
        <v>4.0</v>
      </c>
      <c r="AQ207" t="s">
        <v>201</v>
      </c>
      <c r="AR207" t="s">
        <v>3300</v>
      </c>
      <c r="AS207" t="b">
        <v>1</v>
      </c>
      <c r="AT207" t="b">
        <v>0</v>
      </c>
      <c r="AU207" t="s">
        <v>4075</v>
      </c>
      <c r="AV207">
        <v>5.0</v>
      </c>
      <c r="AW207" t="b">
        <v>0</v>
      </c>
      <c r="AX207" t="s">
        <v>4075</v>
      </c>
      <c r="AY207" t="s">
        <v>4075</v>
      </c>
      <c r="AZ207" t="b">
        <v>0</v>
      </c>
      <c r="BA207" t="b">
        <v>0</v>
      </c>
      <c r="BB207" t="s">
        <v>4075</v>
      </c>
      <c r="BC207" t="s">
        <v>4075</v>
      </c>
      <c r="BD207" t="s">
        <v>4862</v>
      </c>
      <c r="BE207" t="s">
        <v>4075</v>
      </c>
      <c r="BF207" t="s">
        <v>4075</v>
      </c>
      <c r="BG207" t="s">
        <v>4075</v>
      </c>
      <c r="BH207" t="s">
        <v>132</v>
      </c>
      <c r="BI207">
        <v>4.0</v>
      </c>
      <c r="BJ207" t="s">
        <v>4863</v>
      </c>
      <c r="BK207">
        <v>4.0</v>
      </c>
      <c r="BL207">
        <v>2.0</v>
      </c>
      <c r="BM207" t="s">
        <v>4864</v>
      </c>
      <c r="BN207">
        <v>2.0</v>
      </c>
      <c r="BO207">
        <v>2.0</v>
      </c>
      <c r="BP207" t="s">
        <v>4865</v>
      </c>
      <c r="BQ207" t="s">
        <v>2193</v>
      </c>
      <c r="BR207" t="s">
        <v>4866</v>
      </c>
      <c r="BS207" t="s">
        <v>4867</v>
      </c>
      <c r="BT207" t="s">
        <v>4075</v>
      </c>
      <c r="BU207" t="s">
        <v>4868</v>
      </c>
      <c r="BV207" s="3" t="str">
        <f>HYPERLINK("https://api.typeform.com/responses/files/cf54eae23e82cd748675166a094669e689b232ac8d0d29a8b5982b74907efa71/微信图片_20211007184134.jpg")</f>
        <v>https://api.typeform.com/responses/files/cf54eae23e82cd748675166a094669e689b232ac8d0d29a8b5982b74907efa71/微信图片_20211007184134.jpg</v>
      </c>
      <c r="BW207" t="b">
        <v>1</v>
      </c>
      <c r="BX207" t="s">
        <v>1394</v>
      </c>
      <c r="BY207" t="s">
        <v>140</v>
      </c>
      <c r="BZ207" t="s">
        <v>4075</v>
      </c>
      <c r="CA207" t="s">
        <v>1395</v>
      </c>
      <c r="CB207" t="s">
        <v>4075</v>
      </c>
      <c r="CC207" t="s">
        <v>4075</v>
      </c>
      <c r="CD207">
        <v>0.0</v>
      </c>
      <c r="CE207" t="s">
        <v>4075</v>
      </c>
      <c r="CF207" t="b">
        <v>1</v>
      </c>
      <c r="CG207" t="b">
        <v>1</v>
      </c>
      <c r="CH207" t="s">
        <v>4869</v>
      </c>
      <c r="CI207" t="s">
        <v>4075</v>
      </c>
      <c r="CJ207" t="b">
        <v>1</v>
      </c>
      <c r="CK207" t="b">
        <v>1</v>
      </c>
      <c r="CL207" t="s">
        <v>362</v>
      </c>
      <c r="CM207" t="s">
        <v>4075</v>
      </c>
      <c r="CN207" t="s">
        <v>4075</v>
      </c>
      <c r="CO207" t="s">
        <v>1635</v>
      </c>
      <c r="CP207" t="s">
        <v>4075</v>
      </c>
      <c r="CQ207" t="s">
        <v>4075</v>
      </c>
      <c r="CR207" t="b">
        <v>1</v>
      </c>
      <c r="CS207" t="s">
        <v>4075</v>
      </c>
      <c r="CT207">
        <v>0.0</v>
      </c>
      <c r="CU207">
        <v>0.0</v>
      </c>
      <c r="CV207" t="s">
        <v>4075</v>
      </c>
      <c r="CW207" t="s">
        <v>4075</v>
      </c>
      <c r="CX207" s="4" t="s">
        <v>4870</v>
      </c>
      <c r="CY207" t="s">
        <v>4075</v>
      </c>
      <c r="CZ207" s="5">
        <v>44476.98483796296</v>
      </c>
      <c r="DA207" t="s">
        <v>4871</v>
      </c>
    </row>
    <row r="208">
      <c r="A208" t="s">
        <v>98</v>
      </c>
      <c r="B208" t="s">
        <v>4075</v>
      </c>
      <c r="C208" t="s">
        <v>4075</v>
      </c>
      <c r="D208" t="s">
        <v>4872</v>
      </c>
      <c r="E208" t="s">
        <v>4608</v>
      </c>
      <c r="F208" s="2">
        <v>38383.0</v>
      </c>
      <c r="G208" t="s">
        <v>1466</v>
      </c>
      <c r="H208" t="s">
        <v>4075</v>
      </c>
      <c r="I208" s="3" t="str">
        <f>HYPERLINK("https://api.typeform.com/responses/files/53c08de951ade52ea21e7abfa7d51b57a8941db62a3c42a34a6d82beef1647dc/IMG_3834.jpg")</f>
        <v>https://api.typeform.com/responses/files/53c08de951ade52ea21e7abfa7d51b57a8941db62a3c42a34a6d82beef1647dc/IMG_3834.jpg</v>
      </c>
      <c r="J208" t="s">
        <v>4873</v>
      </c>
      <c r="K208" t="b">
        <v>1</v>
      </c>
      <c r="L208" s="4" t="s">
        <v>4874</v>
      </c>
      <c r="M208" t="s">
        <v>4875</v>
      </c>
      <c r="N208" t="s">
        <v>149</v>
      </c>
      <c r="O208" t="s">
        <v>4075</v>
      </c>
      <c r="P208" t="s">
        <v>4876</v>
      </c>
      <c r="Q208" t="s">
        <v>189</v>
      </c>
      <c r="R208" t="s">
        <v>4877</v>
      </c>
      <c r="S208" t="s">
        <v>4875</v>
      </c>
      <c r="T208" s="4" t="s">
        <v>4878</v>
      </c>
      <c r="U208" t="s">
        <v>4879</v>
      </c>
      <c r="V208" t="s">
        <v>2358</v>
      </c>
      <c r="W208" t="s">
        <v>2290</v>
      </c>
      <c r="X208" t="s">
        <v>4075</v>
      </c>
      <c r="Y208" t="s">
        <v>158</v>
      </c>
      <c r="Z208" t="s">
        <v>262</v>
      </c>
      <c r="AA208" t="s">
        <v>4075</v>
      </c>
      <c r="AB208" t="s">
        <v>4075</v>
      </c>
      <c r="AC208" s="3" t="str">
        <f>HYPERLINK("https://api.typeform.com/responses/files/cbf1184c186aa9fd75d8cfbf83f8ac24b82ac2dd6c09074bd924ac94d3e2d187/微信截图_20211007223738.png")</f>
        <v>https://api.typeform.com/responses/files/cbf1184c186aa9fd75d8cfbf83f8ac24b82ac2dd6c09074bd924ac94d3e2d187/微信截图_20211007223738.png</v>
      </c>
      <c r="AD208" t="s">
        <v>758</v>
      </c>
      <c r="AE208" t="s">
        <v>729</v>
      </c>
      <c r="AF208" t="s">
        <v>4880</v>
      </c>
      <c r="AG208">
        <v>13.0</v>
      </c>
      <c r="AH208" t="s">
        <v>4881</v>
      </c>
      <c r="AI208" t="s">
        <v>386</v>
      </c>
      <c r="AJ208" t="s">
        <v>4075</v>
      </c>
      <c r="AK208" t="s">
        <v>4075</v>
      </c>
      <c r="AL208" t="s">
        <v>460</v>
      </c>
      <c r="AM208" t="s">
        <v>4075</v>
      </c>
      <c r="AN208" t="s">
        <v>4075</v>
      </c>
      <c r="AO208" t="s">
        <v>125</v>
      </c>
      <c r="AP208">
        <v>6.0</v>
      </c>
      <c r="AQ208" t="s">
        <v>4222</v>
      </c>
      <c r="AR208" t="s">
        <v>4882</v>
      </c>
      <c r="AS208" t="b">
        <v>1</v>
      </c>
      <c r="AT208" t="b">
        <v>0</v>
      </c>
      <c r="AU208" t="s">
        <v>4075</v>
      </c>
      <c r="AV208">
        <v>5.0</v>
      </c>
      <c r="AW208" t="b">
        <v>1</v>
      </c>
      <c r="AX208" t="s">
        <v>1902</v>
      </c>
      <c r="AY208" s="4" t="s">
        <v>518</v>
      </c>
      <c r="AZ208" t="b">
        <v>0</v>
      </c>
      <c r="BA208" t="b">
        <v>0</v>
      </c>
      <c r="BB208" t="s">
        <v>4075</v>
      </c>
      <c r="BC208" t="s">
        <v>4075</v>
      </c>
      <c r="BD208" t="s">
        <v>4883</v>
      </c>
      <c r="BE208" t="s">
        <v>4075</v>
      </c>
      <c r="BF208" t="s">
        <v>4075</v>
      </c>
      <c r="BG208" t="s">
        <v>4075</v>
      </c>
      <c r="BH208" t="s">
        <v>132</v>
      </c>
      <c r="BI208">
        <v>6.0</v>
      </c>
      <c r="BJ208" t="s">
        <v>4884</v>
      </c>
      <c r="BK208">
        <v>3.0</v>
      </c>
      <c r="BL208">
        <v>5.0</v>
      </c>
      <c r="BM208" t="s">
        <v>4885</v>
      </c>
      <c r="BN208">
        <v>2.0</v>
      </c>
      <c r="BO208">
        <v>4.0</v>
      </c>
      <c r="BP208" t="s">
        <v>4886</v>
      </c>
      <c r="BQ208" t="s">
        <v>4887</v>
      </c>
      <c r="BR208" t="s">
        <v>4888</v>
      </c>
      <c r="BS208" t="s">
        <v>4889</v>
      </c>
      <c r="BT208" t="s">
        <v>4075</v>
      </c>
      <c r="BU208" t="s">
        <v>4890</v>
      </c>
      <c r="BV208" s="3" t="str">
        <f>HYPERLINK("https://api.typeform.com/responses/files/f5ccea29089ca0ad0215f4f5f5598ea0c03337ade3fa591ee266fedb151f5b3c/微信图片_20211007225714.jpg")</f>
        <v>https://api.typeform.com/responses/files/f5ccea29089ca0ad0215f4f5f5598ea0c03337ade3fa591ee266fedb151f5b3c/微信图片_20211007225714.jpg</v>
      </c>
      <c r="BW208" t="b">
        <v>1</v>
      </c>
      <c r="BX208" t="s">
        <v>1394</v>
      </c>
      <c r="BY208" t="s">
        <v>140</v>
      </c>
      <c r="BZ208" t="s">
        <v>4075</v>
      </c>
      <c r="CA208" t="s">
        <v>1395</v>
      </c>
      <c r="CB208" t="s">
        <v>4075</v>
      </c>
      <c r="CC208" t="s">
        <v>4075</v>
      </c>
      <c r="CD208">
        <v>0.0</v>
      </c>
      <c r="CE208" t="s">
        <v>4075</v>
      </c>
      <c r="CF208" t="b">
        <v>1</v>
      </c>
      <c r="CG208" t="b">
        <v>1</v>
      </c>
      <c r="CH208" t="s">
        <v>4891</v>
      </c>
      <c r="CI208" t="s">
        <v>4075</v>
      </c>
      <c r="CJ208" t="b">
        <v>1</v>
      </c>
      <c r="CK208" t="b">
        <v>1</v>
      </c>
      <c r="CL208" t="s">
        <v>362</v>
      </c>
      <c r="CM208" t="s">
        <v>4075</v>
      </c>
      <c r="CN208" t="s">
        <v>4075</v>
      </c>
      <c r="CO208" t="s">
        <v>200</v>
      </c>
      <c r="CP208" t="s">
        <v>4075</v>
      </c>
      <c r="CQ208" t="s">
        <v>4075</v>
      </c>
      <c r="CR208" t="b">
        <v>1</v>
      </c>
      <c r="CS208" t="s">
        <v>4075</v>
      </c>
      <c r="CT208">
        <v>0.0</v>
      </c>
      <c r="CU208">
        <v>0.0</v>
      </c>
      <c r="CV208" t="s">
        <v>4075</v>
      </c>
      <c r="CW208" t="s">
        <v>4075</v>
      </c>
      <c r="CX208" t="s">
        <v>4892</v>
      </c>
      <c r="CY208" t="s">
        <v>4075</v>
      </c>
      <c r="CZ208" s="5">
        <v>44477.123935185184</v>
      </c>
      <c r="DA208" t="s">
        <v>4893</v>
      </c>
    </row>
    <row r="209">
      <c r="A209" t="s">
        <v>98</v>
      </c>
      <c r="B209" t="s">
        <v>4075</v>
      </c>
      <c r="C209" t="s">
        <v>4075</v>
      </c>
      <c r="D209" t="s">
        <v>4894</v>
      </c>
      <c r="E209" t="s">
        <v>4895</v>
      </c>
      <c r="F209" s="2">
        <v>38695.0</v>
      </c>
      <c r="G209" t="s">
        <v>1466</v>
      </c>
      <c r="H209" t="s">
        <v>4075</v>
      </c>
      <c r="I209" s="3" t="str">
        <f>HYPERLINK("https://api.typeform.com/responses/files/061663ac454caa2f3a319c14ce61679e80a30de6ad0a84438f99a1c99a3d85dd/IMG_7273.jpg")</f>
        <v>https://api.typeform.com/responses/files/061663ac454caa2f3a319c14ce61679e80a30de6ad0a84438f99a1c99a3d85dd/IMG_7273.jpg</v>
      </c>
      <c r="J209" t="s">
        <v>4896</v>
      </c>
      <c r="K209" t="b">
        <v>1</v>
      </c>
      <c r="L209" s="4" t="s">
        <v>4897</v>
      </c>
      <c r="M209" t="s">
        <v>4898</v>
      </c>
      <c r="N209" t="s">
        <v>149</v>
      </c>
      <c r="O209" t="s">
        <v>4899</v>
      </c>
      <c r="P209" t="s">
        <v>4900</v>
      </c>
      <c r="Q209" t="s">
        <v>189</v>
      </c>
      <c r="R209" t="s">
        <v>4901</v>
      </c>
      <c r="S209" t="s">
        <v>4898</v>
      </c>
      <c r="T209" s="4" t="s">
        <v>4902</v>
      </c>
      <c r="U209" t="s">
        <v>4903</v>
      </c>
      <c r="V209" t="s">
        <v>4303</v>
      </c>
      <c r="W209" t="s">
        <v>113</v>
      </c>
      <c r="X209" t="s">
        <v>4075</v>
      </c>
      <c r="Y209" t="s">
        <v>114</v>
      </c>
      <c r="Z209" t="s">
        <v>262</v>
      </c>
      <c r="AA209" t="s">
        <v>4075</v>
      </c>
      <c r="AB209" t="s">
        <v>4075</v>
      </c>
      <c r="AC209" s="3" t="str">
        <f>HYPERLINK("https://api.typeform.com/responses/files/1b026966fdbde1ef802db95cef3597c32c6a3520986a941adf0c4fb46f6bbb09/IMG_7273.jpg")</f>
        <v>https://api.typeform.com/responses/files/1b026966fdbde1ef802db95cef3597c32c6a3520986a941adf0c4fb46f6bbb09/IMG_7273.jpg</v>
      </c>
      <c r="AD209" t="s">
        <v>118</v>
      </c>
      <c r="AE209" t="s">
        <v>729</v>
      </c>
      <c r="AF209" t="s">
        <v>965</v>
      </c>
      <c r="AG209">
        <v>13.0</v>
      </c>
      <c r="AH209" t="s">
        <v>4904</v>
      </c>
      <c r="AI209" t="s">
        <v>162</v>
      </c>
      <c r="AJ209" t="s">
        <v>4075</v>
      </c>
      <c r="AK209" t="s">
        <v>4905</v>
      </c>
      <c r="AL209" t="s">
        <v>199</v>
      </c>
      <c r="AM209" t="s">
        <v>4075</v>
      </c>
      <c r="AN209" t="s">
        <v>4075</v>
      </c>
      <c r="AO209" t="s">
        <v>125</v>
      </c>
      <c r="AP209">
        <v>3.0</v>
      </c>
      <c r="AQ209" t="s">
        <v>2240</v>
      </c>
      <c r="AR209" t="s">
        <v>4906</v>
      </c>
      <c r="AS209" t="b">
        <v>1</v>
      </c>
      <c r="AT209" t="b">
        <v>1</v>
      </c>
      <c r="AU209" t="s">
        <v>4075</v>
      </c>
      <c r="AV209">
        <v>5.0</v>
      </c>
      <c r="AW209" t="b">
        <v>0</v>
      </c>
      <c r="AX209" t="s">
        <v>4075</v>
      </c>
      <c r="AY209" t="s">
        <v>4075</v>
      </c>
      <c r="AZ209" t="b">
        <v>1</v>
      </c>
      <c r="BA209" t="b">
        <v>1</v>
      </c>
      <c r="BB209" t="b">
        <v>0</v>
      </c>
      <c r="BC209" t="s">
        <v>4907</v>
      </c>
      <c r="BD209" t="s">
        <v>4075</v>
      </c>
      <c r="BE209" t="s">
        <v>4075</v>
      </c>
      <c r="BF209" t="s">
        <v>4075</v>
      </c>
      <c r="BG209" t="s">
        <v>4075</v>
      </c>
      <c r="BH209" t="s">
        <v>132</v>
      </c>
      <c r="BI209">
        <v>2.0</v>
      </c>
      <c r="BJ209" t="s">
        <v>4908</v>
      </c>
      <c r="BK209">
        <v>4.0</v>
      </c>
      <c r="BL209">
        <v>4.0</v>
      </c>
      <c r="BM209" t="s">
        <v>4909</v>
      </c>
      <c r="BN209">
        <v>2.0</v>
      </c>
      <c r="BO209">
        <v>3.0</v>
      </c>
      <c r="BP209" t="s">
        <v>4910</v>
      </c>
      <c r="BQ209" t="s">
        <v>916</v>
      </c>
      <c r="BR209" t="s">
        <v>4911</v>
      </c>
      <c r="BS209" t="s">
        <v>4912</v>
      </c>
      <c r="BT209" t="s">
        <v>4075</v>
      </c>
      <c r="BU209" t="s">
        <v>179</v>
      </c>
      <c r="BV209" s="3" t="str">
        <f>HYPERLINK("https://api.typeform.com/responses/files/c38cf69d1f16acb350cddb8235c85608277bfc144809b258f84e376cfc150964/SPEAKHIRE_Parent.Guardian_Consent_Form.pdf")</f>
        <v>https://api.typeform.com/responses/files/c38cf69d1f16acb350cddb8235c85608277bfc144809b258f84e376cfc150964/SPEAKHIRE_Parent.Guardian_Consent_Form.pdf</v>
      </c>
      <c r="BW209" t="b">
        <v>1</v>
      </c>
      <c r="BX209" t="s">
        <v>1394</v>
      </c>
      <c r="BY209" t="s">
        <v>140</v>
      </c>
      <c r="BZ209" t="s">
        <v>4075</v>
      </c>
      <c r="CA209" t="s">
        <v>1395</v>
      </c>
      <c r="CB209" t="s">
        <v>4075</v>
      </c>
      <c r="CC209" t="s">
        <v>4075</v>
      </c>
      <c r="CD209">
        <v>0.0</v>
      </c>
      <c r="CE209" t="s">
        <v>4075</v>
      </c>
      <c r="CF209" t="b">
        <v>1</v>
      </c>
      <c r="CG209" t="b">
        <v>1</v>
      </c>
      <c r="CH209" t="s">
        <v>4913</v>
      </c>
      <c r="CI209" t="s">
        <v>4075</v>
      </c>
      <c r="CJ209" t="b">
        <v>1</v>
      </c>
      <c r="CK209" t="b">
        <v>1</v>
      </c>
      <c r="CL209" t="s">
        <v>387</v>
      </c>
      <c r="CM209" t="s">
        <v>387</v>
      </c>
      <c r="CN209" t="s">
        <v>4075</v>
      </c>
      <c r="CO209" t="s">
        <v>4914</v>
      </c>
      <c r="CP209" t="s">
        <v>4075</v>
      </c>
      <c r="CQ209" t="s">
        <v>387</v>
      </c>
      <c r="CR209" t="b">
        <v>1</v>
      </c>
      <c r="CS209" t="s">
        <v>4075</v>
      </c>
      <c r="CT209">
        <v>0.0</v>
      </c>
      <c r="CU209">
        <v>0.0</v>
      </c>
      <c r="CV209" t="s">
        <v>4075</v>
      </c>
      <c r="CW209" t="s">
        <v>4075</v>
      </c>
      <c r="CX209" s="4" t="s">
        <v>2914</v>
      </c>
      <c r="CY209" t="s">
        <v>4075</v>
      </c>
      <c r="CZ209" s="5">
        <v>44477.523460648146</v>
      </c>
      <c r="DA209" t="s">
        <v>4915</v>
      </c>
    </row>
    <row r="210">
      <c r="A210" t="s">
        <v>98</v>
      </c>
      <c r="B210" t="s">
        <v>4075</v>
      </c>
      <c r="C210" t="s">
        <v>4075</v>
      </c>
      <c r="D210" t="s">
        <v>4916</v>
      </c>
      <c r="E210" t="s">
        <v>4917</v>
      </c>
      <c r="F210" s="2">
        <v>38562.0</v>
      </c>
      <c r="G210" t="s">
        <v>1466</v>
      </c>
      <c r="H210" t="s">
        <v>4075</v>
      </c>
      <c r="I210" s="3" t="str">
        <f>HYPERLINK("https://api.typeform.com/responses/files/b1fa0a5f5c1f972f581303089c5dfceed6247ba8ea5f7e2ba3d3079c0734f6d7/Kaite_photo.jpg")</f>
        <v>https://api.typeform.com/responses/files/b1fa0a5f5c1f972f581303089c5dfceed6247ba8ea5f7e2ba3d3079c0734f6d7/Kaite_photo.jpg</v>
      </c>
      <c r="J210" t="s">
        <v>4918</v>
      </c>
      <c r="K210" t="b">
        <v>1</v>
      </c>
      <c r="L210" s="4" t="s">
        <v>4919</v>
      </c>
      <c r="M210" t="s">
        <v>4920</v>
      </c>
      <c r="N210" t="s">
        <v>149</v>
      </c>
      <c r="O210" t="s">
        <v>4921</v>
      </c>
      <c r="P210" t="s">
        <v>4922</v>
      </c>
      <c r="Q210" t="s">
        <v>108</v>
      </c>
      <c r="R210" t="s">
        <v>4923</v>
      </c>
      <c r="S210" t="s">
        <v>4924</v>
      </c>
      <c r="T210" s="4" t="s">
        <v>4925</v>
      </c>
      <c r="U210" t="s">
        <v>2313</v>
      </c>
      <c r="V210" t="s">
        <v>4926</v>
      </c>
      <c r="W210" t="s">
        <v>2290</v>
      </c>
      <c r="X210" t="s">
        <v>4075</v>
      </c>
      <c r="Y210" t="s">
        <v>158</v>
      </c>
      <c r="Z210" t="s">
        <v>262</v>
      </c>
      <c r="AA210" t="s">
        <v>4075</v>
      </c>
      <c r="AB210" t="s">
        <v>4075</v>
      </c>
      <c r="AC210" s="3" t="str">
        <f>HYPERLINK("https://api.typeform.com/responses/files/8ae976d29251cd1c93ee12adeab529b2da713a6716f85289a971b1a5ce14e18b/Screenshot_2021_10_07_15.19.55.png")</f>
        <v>https://api.typeform.com/responses/files/8ae976d29251cd1c93ee12adeab529b2da713a6716f85289a971b1a5ce14e18b/Screenshot_2021_10_07_15.19.55.png</v>
      </c>
      <c r="AD210" t="s">
        <v>118</v>
      </c>
      <c r="AE210" t="s">
        <v>729</v>
      </c>
      <c r="AF210" t="s">
        <v>459</v>
      </c>
      <c r="AG210">
        <v>12.0</v>
      </c>
      <c r="AH210" t="s">
        <v>4927</v>
      </c>
      <c r="AI210" t="s">
        <v>205</v>
      </c>
      <c r="AJ210" t="s">
        <v>4075</v>
      </c>
      <c r="AK210" t="s">
        <v>528</v>
      </c>
      <c r="AL210" t="s">
        <v>460</v>
      </c>
      <c r="AM210" t="s">
        <v>4075</v>
      </c>
      <c r="AN210" t="s">
        <v>4075</v>
      </c>
      <c r="AO210" t="s">
        <v>335</v>
      </c>
      <c r="AP210">
        <v>5.0</v>
      </c>
      <c r="AQ210" t="s">
        <v>1520</v>
      </c>
      <c r="AR210" t="s">
        <v>4928</v>
      </c>
      <c r="AS210" t="b">
        <v>1</v>
      </c>
      <c r="AT210" t="b">
        <v>1</v>
      </c>
      <c r="AU210" t="s">
        <v>4075</v>
      </c>
      <c r="AV210">
        <v>6.0</v>
      </c>
      <c r="AW210" t="b">
        <v>0</v>
      </c>
      <c r="AX210" t="s">
        <v>4075</v>
      </c>
      <c r="AY210" t="s">
        <v>4075</v>
      </c>
      <c r="AZ210" t="b">
        <v>0</v>
      </c>
      <c r="BA210" t="b">
        <v>0</v>
      </c>
      <c r="BB210" t="s">
        <v>4075</v>
      </c>
      <c r="BC210" t="s">
        <v>4075</v>
      </c>
      <c r="BD210" t="s">
        <v>4928</v>
      </c>
      <c r="BE210" t="s">
        <v>4075</v>
      </c>
      <c r="BF210" t="s">
        <v>4075</v>
      </c>
      <c r="BG210" t="s">
        <v>4075</v>
      </c>
      <c r="BH210" t="s">
        <v>132</v>
      </c>
      <c r="BI210">
        <v>1.0</v>
      </c>
      <c r="BJ210" t="s">
        <v>4929</v>
      </c>
      <c r="BK210">
        <v>4.0</v>
      </c>
      <c r="BL210">
        <v>7.0</v>
      </c>
      <c r="BM210" t="s">
        <v>4930</v>
      </c>
      <c r="BN210">
        <v>4.0</v>
      </c>
      <c r="BO210">
        <v>3.0</v>
      </c>
      <c r="BP210" t="s">
        <v>4931</v>
      </c>
      <c r="BQ210" t="s">
        <v>4932</v>
      </c>
      <c r="BR210" t="s">
        <v>4933</v>
      </c>
      <c r="BS210" t="s">
        <v>4934</v>
      </c>
      <c r="BT210" t="s">
        <v>4075</v>
      </c>
      <c r="BU210" t="s">
        <v>528</v>
      </c>
      <c r="BV210" s="3" t="str">
        <f>HYPERLINK("https://api.typeform.com/responses/files/c81fa7a060343d67d47d3882058cfc93a1c29e913d61b8ba906c433cbbad982f/IMG_4193.jpg")</f>
        <v>https://api.typeform.com/responses/files/c81fa7a060343d67d47d3882058cfc93a1c29e913d61b8ba906c433cbbad982f/IMG_4193.jpg</v>
      </c>
      <c r="BW210" t="b">
        <v>1</v>
      </c>
      <c r="BX210" t="s">
        <v>1394</v>
      </c>
      <c r="BY210" t="s">
        <v>140</v>
      </c>
      <c r="BZ210" t="s">
        <v>4075</v>
      </c>
      <c r="CA210" t="s">
        <v>1395</v>
      </c>
      <c r="CB210" t="s">
        <v>4075</v>
      </c>
      <c r="CC210" t="s">
        <v>4075</v>
      </c>
      <c r="CD210">
        <v>0.0</v>
      </c>
      <c r="CE210" t="s">
        <v>4075</v>
      </c>
      <c r="CF210" t="b">
        <v>1</v>
      </c>
      <c r="CG210" t="b">
        <v>1</v>
      </c>
      <c r="CH210" t="s">
        <v>168</v>
      </c>
      <c r="CI210" t="s">
        <v>4075</v>
      </c>
      <c r="CJ210" t="b">
        <v>1</v>
      </c>
      <c r="CK210" t="b">
        <v>0</v>
      </c>
      <c r="CL210" t="s">
        <v>362</v>
      </c>
      <c r="CM210" t="s">
        <v>4075</v>
      </c>
      <c r="CN210" t="s">
        <v>4075</v>
      </c>
      <c r="CO210" t="s">
        <v>388</v>
      </c>
      <c r="CP210" t="s">
        <v>4075</v>
      </c>
      <c r="CQ210" t="s">
        <v>4075</v>
      </c>
      <c r="CR210" t="b">
        <v>1</v>
      </c>
      <c r="CS210" t="s">
        <v>4075</v>
      </c>
      <c r="CT210">
        <v>0.0</v>
      </c>
      <c r="CU210">
        <v>0.0</v>
      </c>
      <c r="CV210" t="s">
        <v>4075</v>
      </c>
      <c r="CW210" t="s">
        <v>4075</v>
      </c>
      <c r="CX210" t="s">
        <v>679</v>
      </c>
      <c r="CY210" t="s">
        <v>4075</v>
      </c>
      <c r="CZ210" s="5">
        <v>44477.698171296295</v>
      </c>
      <c r="DA210" t="s">
        <v>4935</v>
      </c>
    </row>
    <row r="211">
      <c r="A211" t="s">
        <v>98</v>
      </c>
      <c r="B211" t="s">
        <v>4075</v>
      </c>
      <c r="C211" t="s">
        <v>4075</v>
      </c>
      <c r="D211" t="s">
        <v>4936</v>
      </c>
      <c r="E211" t="s">
        <v>4937</v>
      </c>
      <c r="F211" s="2">
        <v>37980.0</v>
      </c>
      <c r="G211" t="s">
        <v>1360</v>
      </c>
      <c r="H211" t="s">
        <v>4075</v>
      </c>
      <c r="I211" s="3" t="str">
        <f>HYPERLINK("https://api.typeform.com/responses/files/d3ead077e55e25ad01a7ad74f4eec87ec65bfbfae3773b250dbddcb9095b0a63/IMG_4564.jpg")</f>
        <v>https://api.typeform.com/responses/files/d3ead077e55e25ad01a7ad74f4eec87ec65bfbfae3773b250dbddcb9095b0a63/IMG_4564.jpg</v>
      </c>
      <c r="J211" t="s">
        <v>4938</v>
      </c>
      <c r="K211" t="b">
        <v>1</v>
      </c>
      <c r="L211" s="4" t="s">
        <v>4939</v>
      </c>
      <c r="M211" t="s">
        <v>4940</v>
      </c>
      <c r="N211" t="s">
        <v>354</v>
      </c>
      <c r="O211" t="s">
        <v>3543</v>
      </c>
      <c r="P211" t="s">
        <v>4941</v>
      </c>
      <c r="Q211" t="s">
        <v>189</v>
      </c>
      <c r="R211" t="s">
        <v>4942</v>
      </c>
      <c r="S211" t="s">
        <v>4943</v>
      </c>
      <c r="T211" s="4" t="s">
        <v>4944</v>
      </c>
      <c r="U211" t="s">
        <v>933</v>
      </c>
      <c r="V211" t="s">
        <v>4945</v>
      </c>
      <c r="W211" t="s">
        <v>113</v>
      </c>
      <c r="X211" t="s">
        <v>4075</v>
      </c>
      <c r="Y211" t="s">
        <v>158</v>
      </c>
      <c r="Z211" t="s">
        <v>159</v>
      </c>
      <c r="AA211" t="s">
        <v>4075</v>
      </c>
      <c r="AB211" t="s">
        <v>4075</v>
      </c>
      <c r="AC211" s="3" t="str">
        <f>HYPERLINK("https://api.typeform.com/responses/files/d1053edfadddb1ee8675fd69c9a6d2fff863adce67e7cd3672b13ef64e322f57/8b10a466_f20a_4f5d_be36_b81c5e1a2a34__1_.jpg")</f>
        <v>https://api.typeform.com/responses/files/d1053edfadddb1ee8675fd69c9a6d2fff863adce67e7cd3672b13ef64e322f57/8b10a466_f20a_4f5d_be36_b81c5e1a2a34__1_.jpg</v>
      </c>
      <c r="AD211" t="s">
        <v>118</v>
      </c>
      <c r="AE211" t="s">
        <v>729</v>
      </c>
      <c r="AF211" t="s">
        <v>1196</v>
      </c>
      <c r="AG211">
        <v>15.0</v>
      </c>
      <c r="AH211" s="4" t="s">
        <v>4946</v>
      </c>
      <c r="AI211" t="s">
        <v>386</v>
      </c>
      <c r="AJ211" t="s">
        <v>4075</v>
      </c>
      <c r="AK211" t="s">
        <v>139</v>
      </c>
      <c r="AL211" t="s">
        <v>1043</v>
      </c>
      <c r="AM211" t="s">
        <v>4075</v>
      </c>
      <c r="AN211" t="s">
        <v>4075</v>
      </c>
      <c r="AO211" t="s">
        <v>335</v>
      </c>
      <c r="AP211">
        <v>5.0</v>
      </c>
      <c r="AQ211" t="s">
        <v>126</v>
      </c>
      <c r="AR211" t="s">
        <v>1954</v>
      </c>
      <c r="AS211" t="b">
        <v>0</v>
      </c>
      <c r="AT211" t="s">
        <v>4075</v>
      </c>
      <c r="AU211" t="s">
        <v>4075</v>
      </c>
      <c r="AV211">
        <v>7.0</v>
      </c>
      <c r="AW211" t="b">
        <v>0</v>
      </c>
      <c r="AX211" t="s">
        <v>4075</v>
      </c>
      <c r="AY211" t="s">
        <v>4075</v>
      </c>
      <c r="AZ211" t="b">
        <v>0</v>
      </c>
      <c r="BA211" t="b">
        <v>0</v>
      </c>
      <c r="BB211" t="s">
        <v>4075</v>
      </c>
      <c r="BC211" t="s">
        <v>4075</v>
      </c>
      <c r="BD211" t="s">
        <v>1954</v>
      </c>
      <c r="BE211" t="s">
        <v>4075</v>
      </c>
      <c r="BF211" t="s">
        <v>4075</v>
      </c>
      <c r="BG211" t="s">
        <v>4075</v>
      </c>
      <c r="BH211" t="s">
        <v>132</v>
      </c>
      <c r="BI211">
        <v>2.0</v>
      </c>
      <c r="BJ211" t="s">
        <v>4947</v>
      </c>
      <c r="BK211">
        <v>4.0</v>
      </c>
      <c r="BL211">
        <v>7.0</v>
      </c>
      <c r="BM211" t="s">
        <v>4948</v>
      </c>
      <c r="BN211">
        <v>1.0</v>
      </c>
      <c r="BO211">
        <v>7.0</v>
      </c>
      <c r="BP211" t="s">
        <v>4949</v>
      </c>
      <c r="BQ211" t="s">
        <v>916</v>
      </c>
      <c r="BR211" t="s">
        <v>4950</v>
      </c>
      <c r="BS211" t="s">
        <v>4951</v>
      </c>
      <c r="BT211" t="s">
        <v>4075</v>
      </c>
      <c r="BU211" t="s">
        <v>139</v>
      </c>
      <c r="BV211" s="3" t="str">
        <f>HYPERLINK("https://api.typeform.com/responses/files/6f3756369aade247a490be7e1971230c7a8487bb07d889291156587bc5b6b014/SPEAKHIRE_Parent.Guardian_Consent_Form__1_.pdf")</f>
        <v>https://api.typeform.com/responses/files/6f3756369aade247a490be7e1971230c7a8487bb07d889291156587bc5b6b014/SPEAKHIRE_Parent.Guardian_Consent_Form__1_.pdf</v>
      </c>
      <c r="BW211" t="b">
        <v>1</v>
      </c>
      <c r="BX211" t="s">
        <v>1394</v>
      </c>
      <c r="BY211" t="s">
        <v>140</v>
      </c>
      <c r="BZ211" t="s">
        <v>4075</v>
      </c>
      <c r="CA211" t="s">
        <v>1395</v>
      </c>
      <c r="CB211" t="s">
        <v>4075</v>
      </c>
      <c r="CC211" t="s">
        <v>4075</v>
      </c>
      <c r="CD211">
        <v>0.0</v>
      </c>
      <c r="CE211" t="s">
        <v>4075</v>
      </c>
      <c r="CF211" t="b">
        <v>1</v>
      </c>
      <c r="CG211" t="b">
        <v>1</v>
      </c>
      <c r="CH211" t="s">
        <v>4188</v>
      </c>
      <c r="CI211" t="s">
        <v>4075</v>
      </c>
      <c r="CJ211" t="b">
        <v>1</v>
      </c>
      <c r="CK211" t="b">
        <v>1</v>
      </c>
      <c r="CL211" t="s">
        <v>387</v>
      </c>
      <c r="CM211" t="s">
        <v>387</v>
      </c>
      <c r="CN211" t="s">
        <v>4075</v>
      </c>
      <c r="CO211" t="s">
        <v>4952</v>
      </c>
      <c r="CP211" t="s">
        <v>4075</v>
      </c>
      <c r="CQ211" t="s">
        <v>387</v>
      </c>
      <c r="CR211" t="b">
        <v>1</v>
      </c>
      <c r="CS211" t="s">
        <v>4075</v>
      </c>
      <c r="CT211">
        <v>0.0</v>
      </c>
      <c r="CU211">
        <v>2.0</v>
      </c>
      <c r="CV211" t="s">
        <v>4075</v>
      </c>
      <c r="CW211" t="s">
        <v>4075</v>
      </c>
      <c r="CX211" s="4" t="s">
        <v>3862</v>
      </c>
      <c r="CY211" t="s">
        <v>4075</v>
      </c>
      <c r="CZ211" s="5">
        <v>44477.69914351852</v>
      </c>
      <c r="DA211" t="s">
        <v>4953</v>
      </c>
    </row>
    <row r="212">
      <c r="A212" t="s">
        <v>98</v>
      </c>
      <c r="B212" t="s">
        <v>4075</v>
      </c>
      <c r="C212" t="s">
        <v>4075</v>
      </c>
      <c r="D212" t="s">
        <v>4954</v>
      </c>
      <c r="E212" t="s">
        <v>4955</v>
      </c>
      <c r="F212" s="2">
        <v>37903.0</v>
      </c>
      <c r="G212" t="s">
        <v>1466</v>
      </c>
      <c r="H212" t="s">
        <v>4075</v>
      </c>
      <c r="I212" s="3" t="str">
        <f>HYPERLINK("https://api.typeform.com/responses/files/22a606730ecb402ccd71b6bd2eecdc21b75d6d7aa508617d56a419fc7e764e4f/image.jpg")</f>
        <v>https://api.typeform.com/responses/files/22a606730ecb402ccd71b6bd2eecdc21b75d6d7aa508617d56a419fc7e764e4f/image.jpg</v>
      </c>
      <c r="J212" t="s">
        <v>4956</v>
      </c>
      <c r="K212" t="b">
        <v>1</v>
      </c>
      <c r="L212" s="4" t="s">
        <v>4957</v>
      </c>
      <c r="M212" t="s">
        <v>4958</v>
      </c>
      <c r="N212" t="s">
        <v>354</v>
      </c>
      <c r="O212" t="s">
        <v>4959</v>
      </c>
      <c r="P212" t="s">
        <v>4960</v>
      </c>
      <c r="Q212" t="s">
        <v>1510</v>
      </c>
      <c r="R212" t="s">
        <v>4961</v>
      </c>
      <c r="S212" t="s">
        <v>4958</v>
      </c>
      <c r="T212" s="4" t="s">
        <v>4962</v>
      </c>
      <c r="U212" t="s">
        <v>4963</v>
      </c>
      <c r="V212" t="s">
        <v>4964</v>
      </c>
      <c r="W212" t="s">
        <v>2290</v>
      </c>
      <c r="X212" t="s">
        <v>4075</v>
      </c>
      <c r="Y212" t="s">
        <v>158</v>
      </c>
      <c r="Z212" t="s">
        <v>262</v>
      </c>
      <c r="AA212" t="s">
        <v>4075</v>
      </c>
      <c r="AB212" t="s">
        <v>4075</v>
      </c>
      <c r="AC212" s="3" t="str">
        <f>HYPERLINK("https://api.typeform.com/responses/files/d2cfd8fd2ca8b47c825f92ce97161c60a8d1de992d3a53142d5855fabb9650c7/image.jpg")</f>
        <v>https://api.typeform.com/responses/files/d2cfd8fd2ca8b47c825f92ce97161c60a8d1de992d3a53142d5855fabb9650c7/image.jpg</v>
      </c>
      <c r="AD212" t="s">
        <v>118</v>
      </c>
      <c r="AE212" t="s">
        <v>729</v>
      </c>
      <c r="AF212" t="s">
        <v>459</v>
      </c>
      <c r="AG212">
        <v>16.0</v>
      </c>
      <c r="AH212" t="s">
        <v>139</v>
      </c>
      <c r="AI212" t="s">
        <v>386</v>
      </c>
      <c r="AJ212" t="s">
        <v>4075</v>
      </c>
      <c r="AK212" t="s">
        <v>2724</v>
      </c>
      <c r="AL212" t="s">
        <v>4965</v>
      </c>
      <c r="AM212" t="s">
        <v>4075</v>
      </c>
      <c r="AN212" t="s">
        <v>4075</v>
      </c>
      <c r="AO212" t="s">
        <v>125</v>
      </c>
      <c r="AP212">
        <v>4.0</v>
      </c>
      <c r="AQ212" t="s">
        <v>4222</v>
      </c>
      <c r="AR212" t="s">
        <v>4966</v>
      </c>
      <c r="AS212" t="b">
        <v>1</v>
      </c>
      <c r="AT212" t="b">
        <v>1</v>
      </c>
      <c r="AU212" t="s">
        <v>4075</v>
      </c>
      <c r="AV212">
        <v>4.0</v>
      </c>
      <c r="AW212" t="b">
        <v>0</v>
      </c>
      <c r="AX212" t="s">
        <v>4075</v>
      </c>
      <c r="AY212" t="s">
        <v>4075</v>
      </c>
      <c r="AZ212" t="b">
        <v>1</v>
      </c>
      <c r="BA212" t="b">
        <v>1</v>
      </c>
      <c r="BB212" t="b">
        <v>1</v>
      </c>
      <c r="BC212" t="s">
        <v>4967</v>
      </c>
      <c r="BD212" t="s">
        <v>4075</v>
      </c>
      <c r="BE212" t="s">
        <v>4075</v>
      </c>
      <c r="BF212" t="s">
        <v>4075</v>
      </c>
      <c r="BG212" t="s">
        <v>4075</v>
      </c>
      <c r="BH212" t="s">
        <v>132</v>
      </c>
      <c r="BI212">
        <v>1.0</v>
      </c>
      <c r="BJ212" t="s">
        <v>3630</v>
      </c>
      <c r="BK212">
        <v>4.0</v>
      </c>
      <c r="BL212">
        <v>1.0</v>
      </c>
      <c r="BM212" t="s">
        <v>3630</v>
      </c>
      <c r="BN212">
        <v>4.0</v>
      </c>
      <c r="BO212">
        <v>4.0</v>
      </c>
      <c r="BP212" t="s">
        <v>4968</v>
      </c>
      <c r="BQ212" t="s">
        <v>626</v>
      </c>
      <c r="BR212" t="s">
        <v>3630</v>
      </c>
      <c r="BS212" t="s">
        <v>3630</v>
      </c>
      <c r="BT212" t="s">
        <v>4075</v>
      </c>
      <c r="BU212" t="s">
        <v>139</v>
      </c>
      <c r="BV212" s="3" t="str">
        <f>HYPERLINK("https://api.typeform.com/responses/files/29639a9a7080a41ddfa4d4fd378301a904726ff8acc4cafd139a7b2a25d7b5d4/image.jpg")</f>
        <v>https://api.typeform.com/responses/files/29639a9a7080a41ddfa4d4fd378301a904726ff8acc4cafd139a7b2a25d7b5d4/image.jpg</v>
      </c>
      <c r="BW212" t="b">
        <v>1</v>
      </c>
      <c r="BX212" t="s">
        <v>1394</v>
      </c>
      <c r="BY212" t="s">
        <v>140</v>
      </c>
      <c r="BZ212" t="s">
        <v>4075</v>
      </c>
      <c r="CA212" t="s">
        <v>1395</v>
      </c>
      <c r="CB212" t="s">
        <v>4075</v>
      </c>
      <c r="CC212" t="s">
        <v>4075</v>
      </c>
      <c r="CD212">
        <v>0.0</v>
      </c>
      <c r="CE212" t="s">
        <v>4075</v>
      </c>
      <c r="CF212" t="b">
        <v>0</v>
      </c>
      <c r="CG212" t="b">
        <v>1</v>
      </c>
      <c r="CH212" t="s">
        <v>1935</v>
      </c>
      <c r="CI212" t="s">
        <v>4075</v>
      </c>
      <c r="CJ212" t="b">
        <v>1</v>
      </c>
      <c r="CK212" t="b">
        <v>1</v>
      </c>
      <c r="CL212" t="s">
        <v>413</v>
      </c>
      <c r="CM212" t="s">
        <v>4075</v>
      </c>
      <c r="CN212" t="s">
        <v>4075</v>
      </c>
      <c r="CO212" t="s">
        <v>3491</v>
      </c>
      <c r="CP212" t="s">
        <v>4075</v>
      </c>
      <c r="CQ212" t="s">
        <v>4075</v>
      </c>
      <c r="CR212" t="b">
        <v>1</v>
      </c>
      <c r="CS212" t="s">
        <v>4075</v>
      </c>
      <c r="CT212">
        <v>0.0</v>
      </c>
      <c r="CU212">
        <v>0.0</v>
      </c>
      <c r="CV212" t="s">
        <v>4075</v>
      </c>
      <c r="CW212" t="s">
        <v>4075</v>
      </c>
      <c r="CX212" s="4" t="s">
        <v>392</v>
      </c>
      <c r="CY212" t="s">
        <v>4075</v>
      </c>
      <c r="CZ212" s="5">
        <v>44477.700949074075</v>
      </c>
      <c r="DA212" t="s">
        <v>4969</v>
      </c>
    </row>
    <row r="213">
      <c r="A213" t="s">
        <v>98</v>
      </c>
      <c r="B213" t="s">
        <v>4075</v>
      </c>
      <c r="C213" t="s">
        <v>4075</v>
      </c>
      <c r="D213" t="s">
        <v>4970</v>
      </c>
      <c r="E213" t="s">
        <v>4971</v>
      </c>
      <c r="F213" s="2">
        <v>38149.0</v>
      </c>
      <c r="G213" t="s">
        <v>1466</v>
      </c>
      <c r="H213" t="s">
        <v>4075</v>
      </c>
      <c r="I213" s="3" t="str">
        <f>HYPERLINK("https://api.typeform.com/responses/files/219ac0f196d9ee2cbdcc78d0e7df3880234343d246e012debdf2bc3e62da5c9f/IMG_0133.JPG")</f>
        <v>https://api.typeform.com/responses/files/219ac0f196d9ee2cbdcc78d0e7df3880234343d246e012debdf2bc3e62da5c9f/IMG_0133.JPG</v>
      </c>
      <c r="J213" t="s">
        <v>4972</v>
      </c>
      <c r="K213" t="b">
        <v>1</v>
      </c>
      <c r="L213" s="4" t="s">
        <v>4973</v>
      </c>
      <c r="M213" t="s">
        <v>4974</v>
      </c>
      <c r="N213" t="s">
        <v>149</v>
      </c>
      <c r="O213" t="s">
        <v>4075</v>
      </c>
      <c r="P213" t="s">
        <v>4975</v>
      </c>
      <c r="Q213" t="s">
        <v>152</v>
      </c>
      <c r="R213" t="s">
        <v>4976</v>
      </c>
      <c r="S213" t="s">
        <v>4974</v>
      </c>
      <c r="T213" s="4" t="s">
        <v>4977</v>
      </c>
      <c r="U213" t="s">
        <v>2722</v>
      </c>
      <c r="V213" t="s">
        <v>4978</v>
      </c>
      <c r="W213" t="s">
        <v>2290</v>
      </c>
      <c r="X213" t="s">
        <v>4075</v>
      </c>
      <c r="Y213" t="s">
        <v>158</v>
      </c>
      <c r="Z213" t="s">
        <v>262</v>
      </c>
      <c r="AA213" t="s">
        <v>4075</v>
      </c>
      <c r="AB213" t="s">
        <v>4075</v>
      </c>
      <c r="AC213" s="3" t="str">
        <f>HYPERLINK("https://api.typeform.com/responses/files/67e4a517eb0db70b40005c9c235d9ee00e95e5bbacfd3b33247758160e0eec3b/Screenshot_2021_10_07_3.23.27_PM.png")</f>
        <v>https://api.typeform.com/responses/files/67e4a517eb0db70b40005c9c235d9ee00e95e5bbacfd3b33247758160e0eec3b/Screenshot_2021_10_07_3.23.27_PM.png</v>
      </c>
      <c r="AD213" t="s">
        <v>118</v>
      </c>
      <c r="AE213" t="s">
        <v>729</v>
      </c>
      <c r="AF213" t="s">
        <v>4979</v>
      </c>
      <c r="AG213">
        <v>14.0</v>
      </c>
      <c r="AH213" t="s">
        <v>4980</v>
      </c>
      <c r="AI213" t="s">
        <v>386</v>
      </c>
      <c r="AJ213" t="s">
        <v>4075</v>
      </c>
      <c r="AK213" t="s">
        <v>606</v>
      </c>
      <c r="AL213" t="s">
        <v>1043</v>
      </c>
      <c r="AM213" t="s">
        <v>4075</v>
      </c>
      <c r="AN213" t="s">
        <v>4075</v>
      </c>
      <c r="AO213" t="s">
        <v>335</v>
      </c>
      <c r="AP213">
        <v>5.0</v>
      </c>
      <c r="AQ213" t="s">
        <v>303</v>
      </c>
      <c r="AR213" t="s">
        <v>4981</v>
      </c>
      <c r="AS213" t="b">
        <v>0</v>
      </c>
      <c r="AT213" t="s">
        <v>4075</v>
      </c>
      <c r="AU213" t="s">
        <v>4075</v>
      </c>
      <c r="AV213">
        <v>7.0</v>
      </c>
      <c r="AW213" t="b">
        <v>0</v>
      </c>
      <c r="AX213" t="s">
        <v>4075</v>
      </c>
      <c r="AY213" t="s">
        <v>4075</v>
      </c>
      <c r="AZ213" t="b">
        <v>0</v>
      </c>
      <c r="BA213" t="b">
        <v>1</v>
      </c>
      <c r="BB213" t="b">
        <v>0</v>
      </c>
      <c r="BC213" t="s">
        <v>4982</v>
      </c>
      <c r="BD213" t="s">
        <v>4075</v>
      </c>
      <c r="BE213" t="s">
        <v>4075</v>
      </c>
      <c r="BF213" t="s">
        <v>4075</v>
      </c>
      <c r="BG213" t="s">
        <v>4075</v>
      </c>
      <c r="BH213" t="s">
        <v>132</v>
      </c>
      <c r="BI213">
        <v>3.0</v>
      </c>
      <c r="BJ213" s="4" t="s">
        <v>339</v>
      </c>
      <c r="BK213">
        <v>1.0</v>
      </c>
      <c r="BL213">
        <v>2.0</v>
      </c>
      <c r="BM213" s="4" t="s">
        <v>339</v>
      </c>
      <c r="BN213">
        <v>1.0</v>
      </c>
      <c r="BO213">
        <v>2.0</v>
      </c>
      <c r="BP213" t="s">
        <v>4983</v>
      </c>
      <c r="BQ213" t="s">
        <v>4618</v>
      </c>
      <c r="BR213" t="s">
        <v>4983</v>
      </c>
      <c r="BS213" t="s">
        <v>4984</v>
      </c>
      <c r="BT213" t="s">
        <v>4075</v>
      </c>
      <c r="BU213" t="s">
        <v>4985</v>
      </c>
      <c r="BV213" s="3" t="str">
        <f>HYPERLINK("https://api.typeform.com/responses/files/46da1cea57e0a3c62944a85dad9f7f4296e772b1f12bfe52551df68c449fb1e6/IMG_9651.jpg")</f>
        <v>https://api.typeform.com/responses/files/46da1cea57e0a3c62944a85dad9f7f4296e772b1f12bfe52551df68c449fb1e6/IMG_9651.jpg</v>
      </c>
      <c r="BW213" t="b">
        <v>1</v>
      </c>
      <c r="BX213" t="s">
        <v>1394</v>
      </c>
      <c r="BY213" t="s">
        <v>140</v>
      </c>
      <c r="BZ213" t="s">
        <v>4075</v>
      </c>
      <c r="CA213" t="s">
        <v>1395</v>
      </c>
      <c r="CB213" t="s">
        <v>4075</v>
      </c>
      <c r="CC213" t="s">
        <v>4075</v>
      </c>
      <c r="CD213">
        <v>0.0</v>
      </c>
      <c r="CE213" t="s">
        <v>4075</v>
      </c>
      <c r="CF213" t="b">
        <v>0</v>
      </c>
      <c r="CG213" t="b">
        <v>0</v>
      </c>
      <c r="CH213" t="s">
        <v>4029</v>
      </c>
      <c r="CI213" t="s">
        <v>4075</v>
      </c>
      <c r="CJ213" t="b">
        <v>0</v>
      </c>
      <c r="CK213" t="b">
        <v>0</v>
      </c>
      <c r="CL213" t="s">
        <v>541</v>
      </c>
      <c r="CM213" t="s">
        <v>541</v>
      </c>
      <c r="CN213" t="s">
        <v>4075</v>
      </c>
      <c r="CO213" t="s">
        <v>4986</v>
      </c>
      <c r="CP213" t="s">
        <v>4075</v>
      </c>
      <c r="CQ213" t="s">
        <v>541</v>
      </c>
      <c r="CR213" t="b">
        <v>1</v>
      </c>
      <c r="CS213" t="s">
        <v>4075</v>
      </c>
      <c r="CT213">
        <v>2.0</v>
      </c>
      <c r="CU213">
        <v>1.0</v>
      </c>
      <c r="CV213" t="s">
        <v>4075</v>
      </c>
      <c r="CW213" t="s">
        <v>4075</v>
      </c>
      <c r="CX213" s="4" t="s">
        <v>4987</v>
      </c>
      <c r="CY213" t="s">
        <v>4075</v>
      </c>
      <c r="CZ213" s="5">
        <v>44477.703101851854</v>
      </c>
      <c r="DA213" t="s">
        <v>4988</v>
      </c>
    </row>
    <row r="214">
      <c r="A214" t="s">
        <v>98</v>
      </c>
      <c r="B214" t="s">
        <v>4075</v>
      </c>
      <c r="C214" t="s">
        <v>4075</v>
      </c>
      <c r="D214" t="s">
        <v>4989</v>
      </c>
      <c r="E214" t="s">
        <v>4990</v>
      </c>
      <c r="F214" s="2">
        <v>37090.0</v>
      </c>
      <c r="G214" t="s">
        <v>1360</v>
      </c>
      <c r="H214" t="s">
        <v>4075</v>
      </c>
      <c r="I214" s="3" t="str">
        <f>HYPERLINK("https://api.typeform.com/responses/files/76cf6dfecbad2e2a0bb8480a6eaab19406c89a64fbb2201a5fa5026f47a708c9/IMG_7968.jpg")</f>
        <v>https://api.typeform.com/responses/files/76cf6dfecbad2e2a0bb8480a6eaab19406c89a64fbb2201a5fa5026f47a708c9/IMG_7968.jpg</v>
      </c>
      <c r="J214" t="s">
        <v>4991</v>
      </c>
      <c r="K214" t="b">
        <v>1</v>
      </c>
      <c r="L214" s="4" t="s">
        <v>4992</v>
      </c>
      <c r="M214" t="s">
        <v>4993</v>
      </c>
      <c r="N214" t="s">
        <v>354</v>
      </c>
      <c r="O214" t="s">
        <v>4994</v>
      </c>
      <c r="P214" t="s">
        <v>4995</v>
      </c>
      <c r="Q214" t="s">
        <v>1510</v>
      </c>
      <c r="R214" t="s">
        <v>4996</v>
      </c>
      <c r="S214" t="s">
        <v>4993</v>
      </c>
      <c r="T214" s="4" t="s">
        <v>4997</v>
      </c>
      <c r="U214" t="s">
        <v>4998</v>
      </c>
      <c r="V214" t="s">
        <v>4999</v>
      </c>
      <c r="W214" t="s">
        <v>2290</v>
      </c>
      <c r="X214" t="s">
        <v>4075</v>
      </c>
      <c r="Y214" t="s">
        <v>158</v>
      </c>
      <c r="Z214" t="s">
        <v>262</v>
      </c>
      <c r="AA214" t="s">
        <v>4075</v>
      </c>
      <c r="AB214" t="s">
        <v>4075</v>
      </c>
      <c r="AC214" s="3" t="str">
        <f>HYPERLINK("https://api.typeform.com/responses/files/58a8a867c9314368c4acab4eb48e71c52ee9ad25c31c8ba42d66199d1935f015/Screenshot_2021_10_07_3.26.03_PM.png")</f>
        <v>https://api.typeform.com/responses/files/58a8a867c9314368c4acab4eb48e71c52ee9ad25c31c8ba42d66199d1935f015/Screenshot_2021_10_07_3.26.03_PM.png</v>
      </c>
      <c r="AD214" t="s">
        <v>118</v>
      </c>
      <c r="AE214" t="s">
        <v>729</v>
      </c>
      <c r="AF214" t="s">
        <v>4450</v>
      </c>
      <c r="AG214">
        <v>17.0</v>
      </c>
      <c r="AH214" t="s">
        <v>5000</v>
      </c>
      <c r="AI214" t="s">
        <v>386</v>
      </c>
      <c r="AJ214" t="s">
        <v>4075</v>
      </c>
      <c r="AK214" t="s">
        <v>5001</v>
      </c>
      <c r="AL214" t="s">
        <v>199</v>
      </c>
      <c r="AM214" t="s">
        <v>4075</v>
      </c>
      <c r="AN214" t="s">
        <v>4075</v>
      </c>
      <c r="AO214" t="s">
        <v>125</v>
      </c>
      <c r="AP214">
        <v>4.0</v>
      </c>
      <c r="AQ214" t="s">
        <v>201</v>
      </c>
      <c r="AR214" t="s">
        <v>5002</v>
      </c>
      <c r="AS214" t="b">
        <v>1</v>
      </c>
      <c r="AT214" t="b">
        <v>1</v>
      </c>
      <c r="AU214" t="s">
        <v>4075</v>
      </c>
      <c r="AV214">
        <v>4.0</v>
      </c>
      <c r="AW214" t="b">
        <v>0</v>
      </c>
      <c r="AX214" t="s">
        <v>4075</v>
      </c>
      <c r="AY214" t="s">
        <v>4075</v>
      </c>
      <c r="AZ214" t="b">
        <v>0</v>
      </c>
      <c r="BA214" t="b">
        <v>1</v>
      </c>
      <c r="BB214" t="b">
        <v>0</v>
      </c>
      <c r="BC214" t="s">
        <v>5003</v>
      </c>
      <c r="BD214" t="s">
        <v>4075</v>
      </c>
      <c r="BE214" t="s">
        <v>4075</v>
      </c>
      <c r="BF214" t="s">
        <v>4075</v>
      </c>
      <c r="BG214" t="s">
        <v>4075</v>
      </c>
      <c r="BH214" t="s">
        <v>132</v>
      </c>
      <c r="BI214">
        <v>1.0</v>
      </c>
      <c r="BJ214" t="s">
        <v>5004</v>
      </c>
      <c r="BK214">
        <v>1.0</v>
      </c>
      <c r="BL214">
        <v>4.0</v>
      </c>
      <c r="BM214" t="s">
        <v>5005</v>
      </c>
      <c r="BN214">
        <v>3.0</v>
      </c>
      <c r="BO214">
        <v>4.0</v>
      </c>
      <c r="BP214" t="s">
        <v>5006</v>
      </c>
      <c r="BQ214" t="s">
        <v>1050</v>
      </c>
      <c r="BR214" t="s">
        <v>5007</v>
      </c>
      <c r="BS214" t="s">
        <v>5008</v>
      </c>
      <c r="BT214" t="s">
        <v>4075</v>
      </c>
      <c r="BU214" t="s">
        <v>139</v>
      </c>
      <c r="BV214" s="3" t="str">
        <f>HYPERLINK("https://api.typeform.com/responses/files/f7df6407e0c523d48bb3b2e5f49187fa998662edbefee690272e233f06ac3839/IMG_7972.jpg")</f>
        <v>https://api.typeform.com/responses/files/f7df6407e0c523d48bb3b2e5f49187fa998662edbefee690272e233f06ac3839/IMG_7972.jpg</v>
      </c>
      <c r="BW214" t="b">
        <v>1</v>
      </c>
      <c r="BX214" t="s">
        <v>1394</v>
      </c>
      <c r="BY214" t="s">
        <v>140</v>
      </c>
      <c r="BZ214" t="s">
        <v>4075</v>
      </c>
      <c r="CA214" t="s">
        <v>1395</v>
      </c>
      <c r="CB214" t="s">
        <v>4075</v>
      </c>
      <c r="CC214" t="s">
        <v>4075</v>
      </c>
      <c r="CD214">
        <v>0.0</v>
      </c>
      <c r="CE214" t="s">
        <v>4075</v>
      </c>
      <c r="CF214" t="b">
        <v>1</v>
      </c>
      <c r="CG214" t="b">
        <v>1</v>
      </c>
      <c r="CH214" t="s">
        <v>5009</v>
      </c>
      <c r="CI214" t="s">
        <v>4075</v>
      </c>
      <c r="CJ214" t="b">
        <v>1</v>
      </c>
      <c r="CK214" t="b">
        <v>1</v>
      </c>
      <c r="CL214" t="s">
        <v>387</v>
      </c>
      <c r="CM214" t="s">
        <v>387</v>
      </c>
      <c r="CN214" t="s">
        <v>4075</v>
      </c>
      <c r="CO214" t="s">
        <v>4952</v>
      </c>
      <c r="CP214" t="s">
        <v>4075</v>
      </c>
      <c r="CQ214" t="s">
        <v>387</v>
      </c>
      <c r="CR214" t="b">
        <v>1</v>
      </c>
      <c r="CS214" t="s">
        <v>4075</v>
      </c>
      <c r="CT214">
        <v>1.0</v>
      </c>
      <c r="CU214">
        <v>3.0</v>
      </c>
      <c r="CV214" t="s">
        <v>4075</v>
      </c>
      <c r="CW214" t="s">
        <v>4075</v>
      </c>
      <c r="CX214" t="s">
        <v>4637</v>
      </c>
      <c r="CY214" t="s">
        <v>4075</v>
      </c>
      <c r="CZ214" s="5">
        <v>44477.705729166664</v>
      </c>
      <c r="DA214" t="s">
        <v>5010</v>
      </c>
    </row>
    <row r="215">
      <c r="A215" t="s">
        <v>98</v>
      </c>
      <c r="B215" t="s">
        <v>4075</v>
      </c>
      <c r="C215" t="s">
        <v>4075</v>
      </c>
      <c r="D215" t="s">
        <v>5011</v>
      </c>
      <c r="E215" t="s">
        <v>2304</v>
      </c>
      <c r="F215" s="2">
        <v>38458.0</v>
      </c>
      <c r="G215" t="s">
        <v>1360</v>
      </c>
      <c r="H215" t="s">
        <v>4075</v>
      </c>
      <c r="I215" s="3" t="str">
        <f>HYPERLINK("https://api.typeform.com/responses/files/811a741b56f663f1cff77ec73178c4a12c33e5ba2b491684fddeee3aa3b75eb3/D8F48363_0E49_4A0D_958D_0070BFA264F4.jpeg")</f>
        <v>https://api.typeform.com/responses/files/811a741b56f663f1cff77ec73178c4a12c33e5ba2b491684fddeee3aa3b75eb3/D8F48363_0E49_4A0D_958D_0070BFA264F4.jpeg</v>
      </c>
      <c r="J215" t="s">
        <v>5012</v>
      </c>
      <c r="K215" t="b">
        <v>1</v>
      </c>
      <c r="L215" s="4" t="s">
        <v>5013</v>
      </c>
      <c r="M215" t="s">
        <v>5014</v>
      </c>
      <c r="N215" t="s">
        <v>354</v>
      </c>
      <c r="O215" t="s">
        <v>4075</v>
      </c>
      <c r="P215" t="s">
        <v>5015</v>
      </c>
      <c r="Q215" t="s">
        <v>152</v>
      </c>
      <c r="R215" t="s">
        <v>5016</v>
      </c>
      <c r="S215" t="s">
        <v>5017</v>
      </c>
      <c r="T215" s="4" t="s">
        <v>5018</v>
      </c>
      <c r="U215" t="s">
        <v>2313</v>
      </c>
      <c r="V215" t="s">
        <v>4664</v>
      </c>
      <c r="W215" t="s">
        <v>2290</v>
      </c>
      <c r="X215" t="s">
        <v>4075</v>
      </c>
      <c r="Y215" t="s">
        <v>158</v>
      </c>
      <c r="Z215" t="s">
        <v>262</v>
      </c>
      <c r="AA215" t="s">
        <v>4075</v>
      </c>
      <c r="AB215" t="s">
        <v>4075</v>
      </c>
      <c r="AC215" s="3" t="str">
        <f>HYPERLINK("https://api.typeform.com/responses/files/d54656fd5cbda48bfee8cd54ccdfee9bbea62c3a3665b075cb4ca75e1c386bcd/image.jpg")</f>
        <v>https://api.typeform.com/responses/files/d54656fd5cbda48bfee8cd54ccdfee9bbea62c3a3665b075cb4ca75e1c386bcd/image.jpg</v>
      </c>
      <c r="AD215" t="s">
        <v>118</v>
      </c>
      <c r="AE215" t="s">
        <v>729</v>
      </c>
      <c r="AF215" t="s">
        <v>5019</v>
      </c>
      <c r="AG215">
        <v>14.0</v>
      </c>
      <c r="AH215" t="s">
        <v>5020</v>
      </c>
      <c r="AI215" t="s">
        <v>205</v>
      </c>
      <c r="AJ215" t="s">
        <v>4075</v>
      </c>
      <c r="AK215" t="s">
        <v>4075</v>
      </c>
      <c r="AL215" t="s">
        <v>460</v>
      </c>
      <c r="AM215" t="s">
        <v>4075</v>
      </c>
      <c r="AN215" t="s">
        <v>4075</v>
      </c>
      <c r="AO215" t="s">
        <v>335</v>
      </c>
      <c r="AP215">
        <v>4.0</v>
      </c>
      <c r="AQ215" t="s">
        <v>268</v>
      </c>
      <c r="AR215" t="s">
        <v>5021</v>
      </c>
      <c r="AS215" t="b">
        <v>1</v>
      </c>
      <c r="AT215" t="b">
        <v>0</v>
      </c>
      <c r="AU215" t="s">
        <v>4075</v>
      </c>
      <c r="AV215">
        <v>3.0</v>
      </c>
      <c r="AW215" t="b">
        <v>0</v>
      </c>
      <c r="AX215" t="s">
        <v>4075</v>
      </c>
      <c r="AY215" t="s">
        <v>4075</v>
      </c>
      <c r="AZ215" t="b">
        <v>0</v>
      </c>
      <c r="BA215" t="b">
        <v>1</v>
      </c>
      <c r="BB215" t="b">
        <v>0</v>
      </c>
      <c r="BC215" t="s">
        <v>5022</v>
      </c>
      <c r="BD215" t="s">
        <v>4075</v>
      </c>
      <c r="BE215" t="s">
        <v>4075</v>
      </c>
      <c r="BF215" t="s">
        <v>4075</v>
      </c>
      <c r="BG215" t="s">
        <v>4075</v>
      </c>
      <c r="BH215" t="s">
        <v>132</v>
      </c>
      <c r="BI215">
        <v>2.0</v>
      </c>
      <c r="BJ215" t="s">
        <v>5023</v>
      </c>
      <c r="BK215">
        <v>1.0</v>
      </c>
      <c r="BL215">
        <v>4.0</v>
      </c>
      <c r="BM215" t="s">
        <v>5024</v>
      </c>
      <c r="BN215">
        <v>1.0</v>
      </c>
      <c r="BO215">
        <v>1.0</v>
      </c>
      <c r="BP215" t="s">
        <v>5025</v>
      </c>
      <c r="BQ215" t="s">
        <v>2964</v>
      </c>
      <c r="BR215" t="s">
        <v>5026</v>
      </c>
      <c r="BS215" t="s">
        <v>5027</v>
      </c>
      <c r="BT215" t="s">
        <v>4075</v>
      </c>
      <c r="BU215" t="s">
        <v>179</v>
      </c>
      <c r="BV215" s="3" t="str">
        <f>HYPERLINK("https://api.typeform.com/responses/files/b8ce88e0bc1d012dc83df7b5e966844a505d91d8d58f6737fec3bbe5f372c438/image.jpg")</f>
        <v>https://api.typeform.com/responses/files/b8ce88e0bc1d012dc83df7b5e966844a505d91d8d58f6737fec3bbe5f372c438/image.jpg</v>
      </c>
      <c r="BW215" t="b">
        <v>1</v>
      </c>
      <c r="BX215" t="s">
        <v>1394</v>
      </c>
      <c r="BY215" t="s">
        <v>140</v>
      </c>
      <c r="BZ215" t="s">
        <v>4075</v>
      </c>
      <c r="CA215" t="s">
        <v>1395</v>
      </c>
      <c r="CB215" t="s">
        <v>4075</v>
      </c>
      <c r="CC215" t="s">
        <v>4075</v>
      </c>
      <c r="CD215">
        <v>0.0</v>
      </c>
      <c r="CE215" t="s">
        <v>4075</v>
      </c>
      <c r="CF215" t="b">
        <v>1</v>
      </c>
      <c r="CG215" t="b">
        <v>1</v>
      </c>
      <c r="CH215" t="s">
        <v>1935</v>
      </c>
      <c r="CI215" t="s">
        <v>4075</v>
      </c>
      <c r="CJ215" t="b">
        <v>1</v>
      </c>
      <c r="CK215" t="b">
        <v>1</v>
      </c>
      <c r="CL215" t="s">
        <v>362</v>
      </c>
      <c r="CM215" t="s">
        <v>4075</v>
      </c>
      <c r="CN215" t="s">
        <v>4075</v>
      </c>
      <c r="CO215" t="s">
        <v>5028</v>
      </c>
      <c r="CP215" t="s">
        <v>4075</v>
      </c>
      <c r="CQ215" t="s">
        <v>4075</v>
      </c>
      <c r="CR215" t="b">
        <v>1</v>
      </c>
      <c r="CS215" t="s">
        <v>4075</v>
      </c>
      <c r="CT215">
        <v>0.0</v>
      </c>
      <c r="CU215">
        <v>5.0</v>
      </c>
      <c r="CV215" t="s">
        <v>4075</v>
      </c>
      <c r="CW215" t="s">
        <v>4075</v>
      </c>
      <c r="CX215" t="s">
        <v>5029</v>
      </c>
      <c r="CY215" t="s">
        <v>4075</v>
      </c>
      <c r="CZ215" s="5">
        <v>44477.70915509259</v>
      </c>
      <c r="DA215" t="s">
        <v>5030</v>
      </c>
    </row>
    <row r="216">
      <c r="A216" t="s">
        <v>98</v>
      </c>
      <c r="B216" t="s">
        <v>4075</v>
      </c>
      <c r="C216" t="s">
        <v>4075</v>
      </c>
      <c r="D216" t="s">
        <v>4853</v>
      </c>
      <c r="E216" t="s">
        <v>4854</v>
      </c>
      <c r="F216" s="2">
        <v>38535.0</v>
      </c>
      <c r="G216" t="s">
        <v>1466</v>
      </c>
      <c r="H216" t="s">
        <v>4075</v>
      </c>
      <c r="I216" s="3" t="str">
        <f>HYPERLINK("https://api.typeform.com/responses/files/b2b2242249b122953f735adc7989a2171d7fafdb89a7472fbecd56c58739d12c/BE350FB4_1DDA_4BDF_B2F7_98BB1079A2EE.jpeg")</f>
        <v>https://api.typeform.com/responses/files/b2b2242249b122953f735adc7989a2171d7fafdb89a7472fbecd56c58739d12c/BE350FB4_1DDA_4BDF_B2F7_98BB1079A2EE.jpeg</v>
      </c>
      <c r="J216" t="s">
        <v>4855</v>
      </c>
      <c r="K216" t="b">
        <v>1</v>
      </c>
      <c r="L216" s="4" t="s">
        <v>4856</v>
      </c>
      <c r="M216" t="s">
        <v>5031</v>
      </c>
      <c r="N216" t="s">
        <v>149</v>
      </c>
      <c r="O216" t="s">
        <v>4858</v>
      </c>
      <c r="P216" t="s">
        <v>4859</v>
      </c>
      <c r="Q216" t="s">
        <v>152</v>
      </c>
      <c r="R216" t="s">
        <v>4860</v>
      </c>
      <c r="S216" t="s">
        <v>5031</v>
      </c>
      <c r="T216" s="4" t="s">
        <v>4861</v>
      </c>
      <c r="U216" t="s">
        <v>2313</v>
      </c>
      <c r="V216" t="s">
        <v>2407</v>
      </c>
      <c r="W216" t="s">
        <v>2290</v>
      </c>
      <c r="X216" t="s">
        <v>4075</v>
      </c>
      <c r="Y216" t="s">
        <v>158</v>
      </c>
      <c r="Z216" t="s">
        <v>262</v>
      </c>
      <c r="AA216" t="s">
        <v>4075</v>
      </c>
      <c r="AB216" t="s">
        <v>4075</v>
      </c>
      <c r="AC216" s="3" t="str">
        <f>HYPERLINK("https://api.typeform.com/responses/files/92307ce142f1553c5ce83bbd2fd46e15dfa79c0ab1e8284bc3dc0fdec83169df/6B189340_CB0C_496A_AE1D_D56AEA26BE17.jpeg")</f>
        <v>https://api.typeform.com/responses/files/92307ce142f1553c5ce83bbd2fd46e15dfa79c0ab1e8284bc3dc0fdec83169df/6B189340_CB0C_496A_AE1D_D56AEA26BE17.jpeg</v>
      </c>
      <c r="AD216" t="s">
        <v>118</v>
      </c>
      <c r="AE216" t="s">
        <v>729</v>
      </c>
      <c r="AF216" t="s">
        <v>459</v>
      </c>
      <c r="AG216">
        <v>14.0</v>
      </c>
      <c r="AH216" s="4" t="s">
        <v>273</v>
      </c>
      <c r="AI216" t="s">
        <v>386</v>
      </c>
      <c r="AJ216" t="s">
        <v>4075</v>
      </c>
      <c r="AK216" t="s">
        <v>4075</v>
      </c>
      <c r="AL216" t="s">
        <v>460</v>
      </c>
      <c r="AM216" t="s">
        <v>4075</v>
      </c>
      <c r="AN216" t="s">
        <v>4075</v>
      </c>
      <c r="AO216" t="s">
        <v>125</v>
      </c>
      <c r="AP216">
        <v>5.0</v>
      </c>
      <c r="AQ216" t="s">
        <v>201</v>
      </c>
      <c r="AR216" t="s">
        <v>3300</v>
      </c>
      <c r="AS216" t="b">
        <v>1</v>
      </c>
      <c r="AT216" t="b">
        <v>0</v>
      </c>
      <c r="AU216" t="s">
        <v>4075</v>
      </c>
      <c r="AV216">
        <v>6.0</v>
      </c>
      <c r="AW216" t="b">
        <v>0</v>
      </c>
      <c r="AX216" t="s">
        <v>4075</v>
      </c>
      <c r="AY216" t="s">
        <v>4075</v>
      </c>
      <c r="AZ216" t="b">
        <v>0</v>
      </c>
      <c r="BA216" t="b">
        <v>0</v>
      </c>
      <c r="BB216" t="s">
        <v>4075</v>
      </c>
      <c r="BC216" t="s">
        <v>4075</v>
      </c>
      <c r="BD216" t="s">
        <v>5032</v>
      </c>
      <c r="BE216" t="s">
        <v>4075</v>
      </c>
      <c r="BF216" t="s">
        <v>4075</v>
      </c>
      <c r="BG216" t="s">
        <v>4075</v>
      </c>
      <c r="BH216" t="s">
        <v>132</v>
      </c>
      <c r="BI216">
        <v>3.0</v>
      </c>
      <c r="BJ216" t="s">
        <v>5033</v>
      </c>
      <c r="BK216">
        <v>5.0</v>
      </c>
      <c r="BL216">
        <v>4.0</v>
      </c>
      <c r="BM216" t="s">
        <v>5034</v>
      </c>
      <c r="BN216">
        <v>3.0</v>
      </c>
      <c r="BO216">
        <v>4.0</v>
      </c>
      <c r="BP216" t="s">
        <v>5035</v>
      </c>
      <c r="BQ216" t="s">
        <v>5036</v>
      </c>
      <c r="BR216" t="s">
        <v>5037</v>
      </c>
      <c r="BS216" t="s">
        <v>5038</v>
      </c>
      <c r="BT216" t="s">
        <v>4075</v>
      </c>
      <c r="BU216" t="s">
        <v>5039</v>
      </c>
      <c r="BV216" s="3" t="str">
        <f>HYPERLINK("https://api.typeform.com/responses/files/57883fe8af0214a1159fbb3cb94c414eb76e475719817b87cb2f50e372b56db7/AD6E739D_9E0D_4DE9_90F8_5C23CA367E9E.jpeg")</f>
        <v>https://api.typeform.com/responses/files/57883fe8af0214a1159fbb3cb94c414eb76e475719817b87cb2f50e372b56db7/AD6E739D_9E0D_4DE9_90F8_5C23CA367E9E.jpeg</v>
      </c>
      <c r="BW216" t="b">
        <v>1</v>
      </c>
      <c r="BX216" t="s">
        <v>1394</v>
      </c>
      <c r="BY216" t="s">
        <v>140</v>
      </c>
      <c r="BZ216" t="s">
        <v>4075</v>
      </c>
      <c r="CA216" t="s">
        <v>1395</v>
      </c>
      <c r="CB216" t="s">
        <v>4075</v>
      </c>
      <c r="CC216" t="s">
        <v>4075</v>
      </c>
      <c r="CD216">
        <v>0.0</v>
      </c>
      <c r="CE216" t="s">
        <v>4075</v>
      </c>
      <c r="CF216" t="b">
        <v>1</v>
      </c>
      <c r="CG216" t="b">
        <v>1</v>
      </c>
      <c r="CH216" t="s">
        <v>5040</v>
      </c>
      <c r="CI216" t="s">
        <v>4075</v>
      </c>
      <c r="CJ216" t="b">
        <v>1</v>
      </c>
      <c r="CK216" t="b">
        <v>1</v>
      </c>
      <c r="CL216" t="s">
        <v>362</v>
      </c>
      <c r="CM216" t="s">
        <v>4075</v>
      </c>
      <c r="CN216" t="s">
        <v>4075</v>
      </c>
      <c r="CO216" t="s">
        <v>1635</v>
      </c>
      <c r="CP216" t="s">
        <v>4075</v>
      </c>
      <c r="CQ216" t="s">
        <v>4075</v>
      </c>
      <c r="CR216" t="b">
        <v>1</v>
      </c>
      <c r="CS216" t="s">
        <v>4075</v>
      </c>
      <c r="CT216">
        <v>0.0</v>
      </c>
      <c r="CU216">
        <v>0.0</v>
      </c>
      <c r="CV216" t="s">
        <v>4075</v>
      </c>
      <c r="CW216" t="s">
        <v>4075</v>
      </c>
      <c r="CX216" s="4" t="s">
        <v>5041</v>
      </c>
      <c r="CY216" t="s">
        <v>4075</v>
      </c>
      <c r="CZ216" s="5">
        <v>44477.710185185184</v>
      </c>
      <c r="DA216" t="s">
        <v>5042</v>
      </c>
    </row>
    <row r="217">
      <c r="A217" t="s">
        <v>98</v>
      </c>
      <c r="B217" t="s">
        <v>4075</v>
      </c>
      <c r="C217" t="s">
        <v>4075</v>
      </c>
      <c r="D217" t="s">
        <v>5043</v>
      </c>
      <c r="E217" t="s">
        <v>5044</v>
      </c>
      <c r="F217" s="2">
        <v>38476.0</v>
      </c>
      <c r="G217" t="s">
        <v>1466</v>
      </c>
      <c r="H217" t="s">
        <v>4075</v>
      </c>
      <c r="I217" s="3" t="str">
        <f>HYPERLINK("https://api.typeform.com/responses/files/6a260585137b08783a34d64165a0e2402801694cf40d21e51362a5e5db604d0f/image.jpg")</f>
        <v>https://api.typeform.com/responses/files/6a260585137b08783a34d64165a0e2402801694cf40d21e51362a5e5db604d0f/image.jpg</v>
      </c>
      <c r="J217" t="s">
        <v>5045</v>
      </c>
      <c r="K217" t="b">
        <v>1</v>
      </c>
      <c r="L217" s="4" t="s">
        <v>5046</v>
      </c>
      <c r="M217" t="s">
        <v>5047</v>
      </c>
      <c r="N217" t="s">
        <v>255</v>
      </c>
      <c r="O217" t="s">
        <v>5048</v>
      </c>
      <c r="P217" t="s">
        <v>5049</v>
      </c>
      <c r="Q217" t="s">
        <v>152</v>
      </c>
      <c r="R217" t="s">
        <v>5050</v>
      </c>
      <c r="S217" t="s">
        <v>5051</v>
      </c>
      <c r="T217" s="4" t="s">
        <v>5046</v>
      </c>
      <c r="U217" t="s">
        <v>2313</v>
      </c>
      <c r="V217" t="s">
        <v>5052</v>
      </c>
      <c r="W217" t="s">
        <v>2290</v>
      </c>
      <c r="X217" t="s">
        <v>4075</v>
      </c>
      <c r="Y217" t="s">
        <v>158</v>
      </c>
      <c r="Z217" t="s">
        <v>262</v>
      </c>
      <c r="AA217" t="s">
        <v>4075</v>
      </c>
      <c r="AB217" t="s">
        <v>4075</v>
      </c>
      <c r="AC217" s="3" t="str">
        <f>HYPERLINK("https://api.typeform.com/responses/files/3aa47609deb8a977974919049edaad6d5486d844e6f9fdf7f915fbc72ef18365/image.jpg")</f>
        <v>https://api.typeform.com/responses/files/3aa47609deb8a977974919049edaad6d5486d844e6f9fdf7f915fbc72ef18365/image.jpg</v>
      </c>
      <c r="AD217" t="s">
        <v>118</v>
      </c>
      <c r="AE217" t="s">
        <v>1220</v>
      </c>
      <c r="AF217" t="s">
        <v>4374</v>
      </c>
      <c r="AG217">
        <v>13.0</v>
      </c>
      <c r="AH217" s="4" t="s">
        <v>5053</v>
      </c>
      <c r="AI217" t="s">
        <v>121</v>
      </c>
      <c r="AJ217" t="s">
        <v>4075</v>
      </c>
      <c r="AK217" t="s">
        <v>179</v>
      </c>
      <c r="AL217" t="s">
        <v>199</v>
      </c>
      <c r="AM217" t="s">
        <v>4075</v>
      </c>
      <c r="AN217" t="s">
        <v>4075</v>
      </c>
      <c r="AO217" t="s">
        <v>1479</v>
      </c>
      <c r="AP217">
        <v>4.0</v>
      </c>
      <c r="AQ217" t="s">
        <v>126</v>
      </c>
      <c r="AR217" t="s">
        <v>5054</v>
      </c>
      <c r="AS217" t="b">
        <v>1</v>
      </c>
      <c r="AT217" t="b">
        <v>1</v>
      </c>
      <c r="AU217" t="s">
        <v>4075</v>
      </c>
      <c r="AV217">
        <v>7.0</v>
      </c>
      <c r="AW217" t="b">
        <v>0</v>
      </c>
      <c r="AX217" t="s">
        <v>4075</v>
      </c>
      <c r="AY217" t="s">
        <v>4075</v>
      </c>
      <c r="AZ217" t="b">
        <v>0</v>
      </c>
      <c r="BA217" t="b">
        <v>1</v>
      </c>
      <c r="BB217" t="b">
        <v>0</v>
      </c>
      <c r="BC217" t="s">
        <v>5055</v>
      </c>
      <c r="BD217" t="s">
        <v>4075</v>
      </c>
      <c r="BE217" t="s">
        <v>4075</v>
      </c>
      <c r="BF217" t="s">
        <v>4075</v>
      </c>
      <c r="BG217" t="s">
        <v>4075</v>
      </c>
      <c r="BH217" t="s">
        <v>132</v>
      </c>
      <c r="BI217">
        <v>7.0</v>
      </c>
      <c r="BJ217" t="s">
        <v>5056</v>
      </c>
      <c r="BK217">
        <v>5.0</v>
      </c>
      <c r="BL217">
        <v>6.0</v>
      </c>
      <c r="BM217" t="s">
        <v>5057</v>
      </c>
      <c r="BN217">
        <v>4.0</v>
      </c>
      <c r="BO217">
        <v>6.0</v>
      </c>
      <c r="BP217" t="s">
        <v>5058</v>
      </c>
      <c r="BQ217" t="s">
        <v>916</v>
      </c>
      <c r="BR217" t="s">
        <v>5059</v>
      </c>
      <c r="BS217" t="s">
        <v>5060</v>
      </c>
      <c r="BT217" t="s">
        <v>4075</v>
      </c>
      <c r="BU217" t="s">
        <v>179</v>
      </c>
      <c r="BV217" s="3" t="str">
        <f>HYPERLINK("https://api.typeform.com/responses/files/aaef2dd31ddc29b7e64dffd5c7e258c3cd7eec2485f3414acda4beac211c17d6/image.jpg")</f>
        <v>https://api.typeform.com/responses/files/aaef2dd31ddc29b7e64dffd5c7e258c3cd7eec2485f3414acda4beac211c17d6/image.jpg</v>
      </c>
      <c r="BW217" t="b">
        <v>1</v>
      </c>
      <c r="BX217" t="s">
        <v>1394</v>
      </c>
      <c r="BY217" t="s">
        <v>140</v>
      </c>
      <c r="BZ217" t="s">
        <v>4075</v>
      </c>
      <c r="CA217" t="s">
        <v>1395</v>
      </c>
      <c r="CB217" t="s">
        <v>4075</v>
      </c>
      <c r="CC217" t="s">
        <v>4075</v>
      </c>
      <c r="CD217">
        <v>0.0</v>
      </c>
      <c r="CE217" t="s">
        <v>4075</v>
      </c>
      <c r="CF217" t="b">
        <v>1</v>
      </c>
      <c r="CG217" t="b">
        <v>1</v>
      </c>
      <c r="CH217" t="s">
        <v>5061</v>
      </c>
      <c r="CI217" t="s">
        <v>4075</v>
      </c>
      <c r="CJ217" t="b">
        <v>1</v>
      </c>
      <c r="CK217" t="b">
        <v>1</v>
      </c>
      <c r="CL217" t="s">
        <v>387</v>
      </c>
      <c r="CM217" t="s">
        <v>541</v>
      </c>
      <c r="CN217" t="s">
        <v>4075</v>
      </c>
      <c r="CO217" t="s">
        <v>1635</v>
      </c>
      <c r="CP217" t="s">
        <v>4075</v>
      </c>
      <c r="CQ217" t="s">
        <v>4075</v>
      </c>
      <c r="CR217" t="b">
        <v>1</v>
      </c>
      <c r="CS217" t="s">
        <v>4075</v>
      </c>
      <c r="CT217">
        <v>1.0</v>
      </c>
      <c r="CU217">
        <v>3.0</v>
      </c>
      <c r="CV217" t="s">
        <v>4075</v>
      </c>
      <c r="CW217" t="s">
        <v>4075</v>
      </c>
      <c r="CX217" s="4" t="s">
        <v>5062</v>
      </c>
      <c r="CY217" t="s">
        <v>4075</v>
      </c>
      <c r="CZ217" s="5">
        <v>44477.711331018516</v>
      </c>
      <c r="DA217" t="s">
        <v>5063</v>
      </c>
    </row>
    <row r="218">
      <c r="A218" t="s">
        <v>98</v>
      </c>
      <c r="B218" t="s">
        <v>4075</v>
      </c>
      <c r="C218" t="s">
        <v>4075</v>
      </c>
      <c r="D218" t="s">
        <v>5064</v>
      </c>
      <c r="E218" t="s">
        <v>5065</v>
      </c>
      <c r="F218" s="2">
        <v>37294.0</v>
      </c>
      <c r="G218" t="s">
        <v>1360</v>
      </c>
      <c r="H218" t="s">
        <v>4075</v>
      </c>
      <c r="I218" s="3" t="str">
        <f>HYPERLINK("https://api.typeform.com/responses/files/b3c1f2751f6eaf7eb5513f7f06f4b77c565a4d9856e6b2cf257d6661034f2530/79E7B712_34F6_42C3_879D_874AD1448D7C.jpeg")</f>
        <v>https://api.typeform.com/responses/files/b3c1f2751f6eaf7eb5513f7f06f4b77c565a4d9856e6b2cf257d6661034f2530/79E7B712_34F6_42C3_879D_874AD1448D7C.jpeg</v>
      </c>
      <c r="J218" t="s">
        <v>5066</v>
      </c>
      <c r="K218" t="b">
        <v>1</v>
      </c>
      <c r="L218" s="4" t="s">
        <v>5067</v>
      </c>
      <c r="M218" t="s">
        <v>5068</v>
      </c>
      <c r="N218" t="s">
        <v>149</v>
      </c>
      <c r="O218" t="s">
        <v>5069</v>
      </c>
      <c r="P218" t="s">
        <v>5070</v>
      </c>
      <c r="Q218" t="s">
        <v>189</v>
      </c>
      <c r="R218" t="s">
        <v>5071</v>
      </c>
      <c r="S218" t="s">
        <v>5068</v>
      </c>
      <c r="T218" s="4" t="s">
        <v>5072</v>
      </c>
      <c r="U218" t="s">
        <v>2313</v>
      </c>
      <c r="V218" t="s">
        <v>5073</v>
      </c>
      <c r="W218" t="s">
        <v>2290</v>
      </c>
      <c r="X218" t="s">
        <v>4075</v>
      </c>
      <c r="Y218" t="s">
        <v>158</v>
      </c>
      <c r="Z218" t="s">
        <v>262</v>
      </c>
      <c r="AA218" t="s">
        <v>4075</v>
      </c>
      <c r="AB218" t="s">
        <v>4075</v>
      </c>
      <c r="AC218" s="3" t="str">
        <f>HYPERLINK("https://api.typeform.com/responses/files/78f085d5444bfde17f792cb08043f1353f8688d37e6063b1d6b7605f0da2fb29/2D9171AA_78C0_406E_A80F_C8BEBD036F22.png")</f>
        <v>https://api.typeform.com/responses/files/78f085d5444bfde17f792cb08043f1353f8688d37e6063b1d6b7605f0da2fb29/2D9171AA_78C0_406E_A80F_C8BEBD036F22.png</v>
      </c>
      <c r="AD218" t="s">
        <v>118</v>
      </c>
      <c r="AE218" t="s">
        <v>729</v>
      </c>
      <c r="AF218" t="s">
        <v>4450</v>
      </c>
      <c r="AG218">
        <v>17.0</v>
      </c>
      <c r="AH218" t="s">
        <v>5074</v>
      </c>
      <c r="AI218" t="s">
        <v>386</v>
      </c>
      <c r="AJ218" t="s">
        <v>4075</v>
      </c>
      <c r="AK218" t="s">
        <v>528</v>
      </c>
      <c r="AL218" t="s">
        <v>199</v>
      </c>
      <c r="AM218" t="s">
        <v>4075</v>
      </c>
      <c r="AN218" t="s">
        <v>4075</v>
      </c>
      <c r="AO218" t="s">
        <v>335</v>
      </c>
      <c r="AP218">
        <v>3.0</v>
      </c>
      <c r="AQ218" t="s">
        <v>303</v>
      </c>
      <c r="AR218" t="s">
        <v>5075</v>
      </c>
      <c r="AS218" t="b">
        <v>1</v>
      </c>
      <c r="AT218" t="b">
        <v>1</v>
      </c>
      <c r="AU218" t="s">
        <v>4075</v>
      </c>
      <c r="AV218">
        <v>3.0</v>
      </c>
      <c r="AW218" t="b">
        <v>0</v>
      </c>
      <c r="AX218" t="s">
        <v>4075</v>
      </c>
      <c r="AY218" t="s">
        <v>4075</v>
      </c>
      <c r="AZ218" t="b">
        <v>0</v>
      </c>
      <c r="BA218" t="b">
        <v>0</v>
      </c>
      <c r="BB218" t="s">
        <v>4075</v>
      </c>
      <c r="BC218" t="s">
        <v>4075</v>
      </c>
      <c r="BD218" t="s">
        <v>127</v>
      </c>
      <c r="BE218" t="s">
        <v>4075</v>
      </c>
      <c r="BF218" t="s">
        <v>4075</v>
      </c>
      <c r="BG218" t="s">
        <v>4075</v>
      </c>
      <c r="BH218" t="s">
        <v>132</v>
      </c>
      <c r="BI218">
        <v>3.0</v>
      </c>
      <c r="BJ218" t="s">
        <v>575</v>
      </c>
      <c r="BK218">
        <v>4.0</v>
      </c>
      <c r="BL218">
        <v>4.0</v>
      </c>
      <c r="BM218" t="s">
        <v>5076</v>
      </c>
      <c r="BN218">
        <v>2.0</v>
      </c>
      <c r="BO218">
        <v>4.0</v>
      </c>
      <c r="BP218" t="s">
        <v>5077</v>
      </c>
      <c r="BQ218" t="s">
        <v>1050</v>
      </c>
      <c r="BR218" t="s">
        <v>5078</v>
      </c>
      <c r="BS218" t="s">
        <v>5079</v>
      </c>
      <c r="BT218" t="s">
        <v>4075</v>
      </c>
      <c r="BU218" t="s">
        <v>528</v>
      </c>
      <c r="BV218" s="3" t="str">
        <f>HYPERLINK("https://api.typeform.com/responses/files/ecf85fec66b15714e53080b454bba357b6ec9e389c843e29df448ec4aae996fd/DCBB5647_D896_4989_98A8_95A80927B3EE.jpeg")</f>
        <v>https://api.typeform.com/responses/files/ecf85fec66b15714e53080b454bba357b6ec9e389c843e29df448ec4aae996fd/DCBB5647_D896_4989_98A8_95A80927B3EE.jpeg</v>
      </c>
      <c r="BW218" t="b">
        <v>1</v>
      </c>
      <c r="BX218" t="s">
        <v>1394</v>
      </c>
      <c r="BY218" t="s">
        <v>140</v>
      </c>
      <c r="BZ218" t="s">
        <v>4075</v>
      </c>
      <c r="CA218" t="s">
        <v>1395</v>
      </c>
      <c r="CB218" t="s">
        <v>4075</v>
      </c>
      <c r="CC218" t="s">
        <v>4075</v>
      </c>
      <c r="CD218">
        <v>0.0</v>
      </c>
      <c r="CE218" t="s">
        <v>4075</v>
      </c>
      <c r="CF218" t="b">
        <v>0</v>
      </c>
      <c r="CG218" t="b">
        <v>1</v>
      </c>
      <c r="CH218" t="s">
        <v>1420</v>
      </c>
      <c r="CI218" t="s">
        <v>4075</v>
      </c>
      <c r="CJ218" t="b">
        <v>0</v>
      </c>
      <c r="CK218" t="b">
        <v>1</v>
      </c>
      <c r="CL218" t="s">
        <v>387</v>
      </c>
      <c r="CM218" t="s">
        <v>4075</v>
      </c>
      <c r="CN218" t="s">
        <v>4075</v>
      </c>
      <c r="CO218" t="s">
        <v>1635</v>
      </c>
      <c r="CP218" t="s">
        <v>4075</v>
      </c>
      <c r="CQ218" t="s">
        <v>4075</v>
      </c>
      <c r="CR218" t="b">
        <v>1</v>
      </c>
      <c r="CS218" t="s">
        <v>4075</v>
      </c>
      <c r="CT218">
        <v>0.0</v>
      </c>
      <c r="CU218">
        <v>2.0</v>
      </c>
      <c r="CV218" t="s">
        <v>4075</v>
      </c>
      <c r="CW218" t="s">
        <v>4075</v>
      </c>
      <c r="CX218" s="4" t="s">
        <v>5080</v>
      </c>
      <c r="CY218" t="s">
        <v>4075</v>
      </c>
      <c r="CZ218" s="5">
        <v>44477.711493055554</v>
      </c>
      <c r="DA218" t="s">
        <v>5081</v>
      </c>
    </row>
    <row r="219">
      <c r="A219" t="s">
        <v>98</v>
      </c>
      <c r="B219" t="s">
        <v>4075</v>
      </c>
      <c r="C219" t="s">
        <v>4075</v>
      </c>
      <c r="D219" t="s">
        <v>5082</v>
      </c>
      <c r="E219" t="s">
        <v>5083</v>
      </c>
      <c r="F219" s="2">
        <v>38572.0</v>
      </c>
      <c r="G219" t="s">
        <v>1360</v>
      </c>
      <c r="H219" t="s">
        <v>4075</v>
      </c>
      <c r="I219" s="3" t="str">
        <f>HYPERLINK("https://api.typeform.com/responses/files/c3967e52612fb385634dcf463b6a2051864f9b949e7ff268ad60807e91d310ec/image_6483441_2.JPG")</f>
        <v>https://api.typeform.com/responses/files/c3967e52612fb385634dcf463b6a2051864f9b949e7ff268ad60807e91d310ec/image_6483441_2.JPG</v>
      </c>
      <c r="J219" t="s">
        <v>5084</v>
      </c>
      <c r="K219" t="b">
        <v>1</v>
      </c>
      <c r="L219" s="4" t="s">
        <v>5085</v>
      </c>
      <c r="M219" t="s">
        <v>5086</v>
      </c>
      <c r="N219" t="s">
        <v>149</v>
      </c>
      <c r="O219" t="s">
        <v>5087</v>
      </c>
      <c r="P219" t="s">
        <v>5088</v>
      </c>
      <c r="Q219" t="s">
        <v>189</v>
      </c>
      <c r="R219" t="s">
        <v>5089</v>
      </c>
      <c r="S219" t="s">
        <v>5090</v>
      </c>
      <c r="T219" s="4" t="s">
        <v>5091</v>
      </c>
      <c r="U219" t="s">
        <v>2313</v>
      </c>
      <c r="V219" t="s">
        <v>5092</v>
      </c>
      <c r="W219" t="s">
        <v>2290</v>
      </c>
      <c r="X219" t="s">
        <v>4075</v>
      </c>
      <c r="Y219" t="s">
        <v>158</v>
      </c>
      <c r="Z219" t="s">
        <v>262</v>
      </c>
      <c r="AA219" t="s">
        <v>4075</v>
      </c>
      <c r="AB219" t="s">
        <v>4075</v>
      </c>
      <c r="AC219" s="3" t="str">
        <f>HYPERLINK("https://api.typeform.com/responses/files/feed80b1261c11f544add42373f6af3b450ab1b35b05185becff38ad80417a75/image_123986672.JPG")</f>
        <v>https://api.typeform.com/responses/files/feed80b1261c11f544add42373f6af3b450ab1b35b05185becff38ad80417a75/image_123986672.JPG</v>
      </c>
      <c r="AD219" t="s">
        <v>118</v>
      </c>
      <c r="AE219" t="s">
        <v>729</v>
      </c>
      <c r="AF219" t="s">
        <v>2292</v>
      </c>
      <c r="AG219">
        <v>13.0</v>
      </c>
      <c r="AH219" t="s">
        <v>5093</v>
      </c>
      <c r="AI219" t="s">
        <v>386</v>
      </c>
      <c r="AJ219" t="s">
        <v>4075</v>
      </c>
      <c r="AK219" t="s">
        <v>4075</v>
      </c>
      <c r="AL219" t="s">
        <v>199</v>
      </c>
      <c r="AM219" t="s">
        <v>4075</v>
      </c>
      <c r="AN219" t="s">
        <v>4075</v>
      </c>
      <c r="AO219" t="s">
        <v>335</v>
      </c>
      <c r="AP219">
        <v>4.0</v>
      </c>
      <c r="AQ219" t="s">
        <v>2462</v>
      </c>
      <c r="AR219" t="s">
        <v>5094</v>
      </c>
      <c r="AS219" t="b">
        <v>1</v>
      </c>
      <c r="AT219" t="b">
        <v>0</v>
      </c>
      <c r="AU219" t="s">
        <v>4075</v>
      </c>
      <c r="AV219">
        <v>3.0</v>
      </c>
      <c r="AW219" t="b">
        <v>0</v>
      </c>
      <c r="AX219" t="s">
        <v>4075</v>
      </c>
      <c r="AY219" t="s">
        <v>4075</v>
      </c>
      <c r="AZ219" t="b">
        <v>0</v>
      </c>
      <c r="BA219" t="b">
        <v>0</v>
      </c>
      <c r="BB219" t="s">
        <v>4075</v>
      </c>
      <c r="BC219" t="s">
        <v>4075</v>
      </c>
      <c r="BD219" t="s">
        <v>5095</v>
      </c>
      <c r="BE219" t="s">
        <v>4075</v>
      </c>
      <c r="BF219" t="s">
        <v>4075</v>
      </c>
      <c r="BG219" t="s">
        <v>4075</v>
      </c>
      <c r="BH219" t="s">
        <v>132</v>
      </c>
      <c r="BI219">
        <v>1.0</v>
      </c>
      <c r="BJ219" s="4" t="s">
        <v>547</v>
      </c>
      <c r="BK219">
        <v>2.0</v>
      </c>
      <c r="BL219">
        <v>2.0</v>
      </c>
      <c r="BM219" t="s">
        <v>5096</v>
      </c>
      <c r="BN219">
        <v>3.0</v>
      </c>
      <c r="BO219">
        <v>5.0</v>
      </c>
      <c r="BP219" t="s">
        <v>5097</v>
      </c>
      <c r="BQ219" t="s">
        <v>5098</v>
      </c>
      <c r="BR219" t="s">
        <v>5099</v>
      </c>
      <c r="BS219" t="s">
        <v>5100</v>
      </c>
      <c r="BT219" t="s">
        <v>4075</v>
      </c>
      <c r="BU219" t="s">
        <v>179</v>
      </c>
      <c r="BV219" s="3" t="str">
        <f>HYPERLINK("https://api.typeform.com/responses/files/8502c351e318f8c99a18c295d7aacca9229498f7df182ddf4fdc486dec582f1c/image_55415491.JPG")</f>
        <v>https://api.typeform.com/responses/files/8502c351e318f8c99a18c295d7aacca9229498f7df182ddf4fdc486dec582f1c/image_55415491.JPG</v>
      </c>
      <c r="BW219" t="b">
        <v>1</v>
      </c>
      <c r="BX219" t="s">
        <v>1394</v>
      </c>
      <c r="BY219" t="s">
        <v>140</v>
      </c>
      <c r="BZ219" t="s">
        <v>4075</v>
      </c>
      <c r="CA219" t="s">
        <v>1395</v>
      </c>
      <c r="CB219" t="s">
        <v>4075</v>
      </c>
      <c r="CC219" t="s">
        <v>4075</v>
      </c>
      <c r="CD219">
        <v>0.0</v>
      </c>
      <c r="CE219" t="s">
        <v>4075</v>
      </c>
      <c r="CF219" t="b">
        <v>1</v>
      </c>
      <c r="CG219" t="b">
        <v>1</v>
      </c>
      <c r="CH219" t="s">
        <v>168</v>
      </c>
      <c r="CI219" t="s">
        <v>4075</v>
      </c>
      <c r="CJ219" t="b">
        <v>1</v>
      </c>
      <c r="CK219" t="b">
        <v>1</v>
      </c>
      <c r="CL219" t="s">
        <v>2301</v>
      </c>
      <c r="CM219" t="s">
        <v>2301</v>
      </c>
      <c r="CN219" t="s">
        <v>4075</v>
      </c>
      <c r="CO219" t="s">
        <v>200</v>
      </c>
      <c r="CP219" t="s">
        <v>4075</v>
      </c>
      <c r="CQ219" t="s">
        <v>2301</v>
      </c>
      <c r="CR219" t="b">
        <v>1</v>
      </c>
      <c r="CS219" t="s">
        <v>4075</v>
      </c>
      <c r="CT219">
        <v>0.0</v>
      </c>
      <c r="CU219">
        <v>0.0</v>
      </c>
      <c r="CV219" t="s">
        <v>4075</v>
      </c>
      <c r="CW219" t="s">
        <v>4075</v>
      </c>
      <c r="CX219" s="4" t="s">
        <v>5101</v>
      </c>
      <c r="CY219" t="s">
        <v>4075</v>
      </c>
      <c r="CZ219" s="5">
        <v>44477.711539351854</v>
      </c>
      <c r="DA219" t="s">
        <v>5102</v>
      </c>
    </row>
    <row r="220">
      <c r="A220" t="s">
        <v>98</v>
      </c>
      <c r="B220" t="s">
        <v>4075</v>
      </c>
      <c r="C220" t="s">
        <v>4075</v>
      </c>
      <c r="D220" t="s">
        <v>4872</v>
      </c>
      <c r="E220" t="s">
        <v>4608</v>
      </c>
      <c r="F220" s="2">
        <v>38383.0</v>
      </c>
      <c r="G220" t="s">
        <v>1466</v>
      </c>
      <c r="H220" t="s">
        <v>4075</v>
      </c>
      <c r="I220" s="3" t="str">
        <f>HYPERLINK("https://api.typeform.com/responses/files/cd2908d4277d1a7532761f8f4b7b996f6c71925e6aece3c97ccae60f74781a6d/IMG_3834.jpg")</f>
        <v>https://api.typeform.com/responses/files/cd2908d4277d1a7532761f8f4b7b996f6c71925e6aece3c97ccae60f74781a6d/IMG_3834.jpg</v>
      </c>
      <c r="J220" t="s">
        <v>4877</v>
      </c>
      <c r="K220" t="b">
        <v>1</v>
      </c>
      <c r="L220" s="4" t="s">
        <v>4874</v>
      </c>
      <c r="M220" t="s">
        <v>5103</v>
      </c>
      <c r="N220" t="s">
        <v>149</v>
      </c>
      <c r="O220" t="s">
        <v>4075</v>
      </c>
      <c r="P220" t="s">
        <v>5104</v>
      </c>
      <c r="Q220" t="s">
        <v>189</v>
      </c>
      <c r="R220" t="s">
        <v>4877</v>
      </c>
      <c r="S220" t="s">
        <v>5103</v>
      </c>
      <c r="T220" s="4" t="s">
        <v>5105</v>
      </c>
      <c r="U220" t="s">
        <v>4555</v>
      </c>
      <c r="V220" t="s">
        <v>5106</v>
      </c>
      <c r="W220" t="s">
        <v>2290</v>
      </c>
      <c r="X220" t="s">
        <v>4075</v>
      </c>
      <c r="Y220" t="s">
        <v>158</v>
      </c>
      <c r="Z220" t="s">
        <v>262</v>
      </c>
      <c r="AA220" t="s">
        <v>4075</v>
      </c>
      <c r="AB220" t="s">
        <v>4075</v>
      </c>
      <c r="AC220" s="3" t="str">
        <f>HYPERLINK("https://api.typeform.com/responses/files/53f618a7e24a86f56afa5b2375d118adb5763cdd42d3e156672afafd9efbda77/Screenshot_2021_10_08_12.54.23_PM.png")</f>
        <v>https://api.typeform.com/responses/files/53f618a7e24a86f56afa5b2375d118adb5763cdd42d3e156672afafd9efbda77/Screenshot_2021_10_08_12.54.23_PM.png</v>
      </c>
      <c r="AD220" t="s">
        <v>758</v>
      </c>
      <c r="AE220" t="s">
        <v>729</v>
      </c>
      <c r="AF220" t="s">
        <v>4880</v>
      </c>
      <c r="AG220">
        <v>13.0</v>
      </c>
      <c r="AH220" t="s">
        <v>4881</v>
      </c>
      <c r="AI220" t="s">
        <v>386</v>
      </c>
      <c r="AJ220" t="s">
        <v>4075</v>
      </c>
      <c r="AK220" t="s">
        <v>4075</v>
      </c>
      <c r="AL220" t="s">
        <v>5107</v>
      </c>
      <c r="AM220" t="s">
        <v>4075</v>
      </c>
      <c r="AN220" t="s">
        <v>4075</v>
      </c>
      <c r="AO220" t="s">
        <v>125</v>
      </c>
      <c r="AP220">
        <v>5.0</v>
      </c>
      <c r="AQ220" t="s">
        <v>4222</v>
      </c>
      <c r="AR220" t="s">
        <v>4882</v>
      </c>
      <c r="AS220" t="b">
        <v>1</v>
      </c>
      <c r="AT220" t="b">
        <v>0</v>
      </c>
      <c r="AU220" t="s">
        <v>4075</v>
      </c>
      <c r="AV220">
        <v>5.0</v>
      </c>
      <c r="AW220" t="b">
        <v>0</v>
      </c>
      <c r="AX220" t="s">
        <v>4075</v>
      </c>
      <c r="AY220" t="s">
        <v>4075</v>
      </c>
      <c r="AZ220" t="b">
        <v>0</v>
      </c>
      <c r="BA220" t="b">
        <v>0</v>
      </c>
      <c r="BB220" t="s">
        <v>4075</v>
      </c>
      <c r="BC220" t="s">
        <v>4075</v>
      </c>
      <c r="BD220" t="s">
        <v>4882</v>
      </c>
      <c r="BE220" t="s">
        <v>4075</v>
      </c>
      <c r="BF220" t="s">
        <v>4075</v>
      </c>
      <c r="BG220" t="s">
        <v>4075</v>
      </c>
      <c r="BH220" t="s">
        <v>132</v>
      </c>
      <c r="BI220">
        <v>6.0</v>
      </c>
      <c r="BJ220" t="s">
        <v>5108</v>
      </c>
      <c r="BK220">
        <v>2.0</v>
      </c>
      <c r="BL220">
        <v>4.0</v>
      </c>
      <c r="BM220" t="s">
        <v>5109</v>
      </c>
      <c r="BN220">
        <v>4.0</v>
      </c>
      <c r="BO220">
        <v>4.0</v>
      </c>
      <c r="BP220" t="s">
        <v>5110</v>
      </c>
      <c r="BQ220" t="s">
        <v>5111</v>
      </c>
      <c r="BR220" t="s">
        <v>5112</v>
      </c>
      <c r="BS220" t="s">
        <v>5113</v>
      </c>
      <c r="BT220" t="s">
        <v>4075</v>
      </c>
      <c r="BU220" t="s">
        <v>5114</v>
      </c>
      <c r="BV220" s="3" t="str">
        <f>HYPERLINK("https://api.typeform.com/responses/files/6568fdd3a89dd2a51a66192f20d22ebbd6ae0f3752e41c2b4e973c1028d53545/IMG_3840.JPG")</f>
        <v>https://api.typeform.com/responses/files/6568fdd3a89dd2a51a66192f20d22ebbd6ae0f3752e41c2b4e973c1028d53545/IMG_3840.JPG</v>
      </c>
      <c r="BW220" t="b">
        <v>1</v>
      </c>
      <c r="BX220" t="s">
        <v>1394</v>
      </c>
      <c r="BY220" t="s">
        <v>140</v>
      </c>
      <c r="BZ220" t="s">
        <v>4075</v>
      </c>
      <c r="CA220" t="s">
        <v>1395</v>
      </c>
      <c r="CB220" t="s">
        <v>4075</v>
      </c>
      <c r="CC220" t="s">
        <v>4075</v>
      </c>
      <c r="CD220">
        <v>0.0</v>
      </c>
      <c r="CE220" t="s">
        <v>4075</v>
      </c>
      <c r="CF220" t="b">
        <v>0</v>
      </c>
      <c r="CG220" t="b">
        <v>1</v>
      </c>
      <c r="CH220" t="s">
        <v>5115</v>
      </c>
      <c r="CI220" t="s">
        <v>4075</v>
      </c>
      <c r="CJ220" t="b">
        <v>1</v>
      </c>
      <c r="CK220" t="b">
        <v>1</v>
      </c>
      <c r="CL220" t="s">
        <v>362</v>
      </c>
      <c r="CM220" t="s">
        <v>4075</v>
      </c>
      <c r="CN220" t="s">
        <v>4075</v>
      </c>
      <c r="CO220" t="s">
        <v>200</v>
      </c>
      <c r="CP220" t="s">
        <v>4075</v>
      </c>
      <c r="CQ220" t="s">
        <v>4075</v>
      </c>
      <c r="CR220" t="b">
        <v>1</v>
      </c>
      <c r="CS220" t="s">
        <v>4075</v>
      </c>
      <c r="CT220">
        <v>0.0</v>
      </c>
      <c r="CU220">
        <v>0.0</v>
      </c>
      <c r="CV220" t="s">
        <v>4075</v>
      </c>
      <c r="CW220" t="s">
        <v>4075</v>
      </c>
      <c r="CX220" s="4" t="s">
        <v>5116</v>
      </c>
      <c r="CY220" t="s">
        <v>4075</v>
      </c>
      <c r="CZ220" s="5">
        <v>44477.71451388889</v>
      </c>
      <c r="DA220" t="s">
        <v>5117</v>
      </c>
    </row>
    <row r="221">
      <c r="A221" t="s">
        <v>98</v>
      </c>
      <c r="B221" t="s">
        <v>4075</v>
      </c>
      <c r="C221" t="s">
        <v>4075</v>
      </c>
      <c r="D221" t="s">
        <v>5118</v>
      </c>
      <c r="E221" t="s">
        <v>5119</v>
      </c>
      <c r="F221" s="2">
        <v>37488.0</v>
      </c>
      <c r="G221" t="s">
        <v>1360</v>
      </c>
      <c r="H221" t="s">
        <v>4075</v>
      </c>
      <c r="I221" s="3" t="str">
        <f>HYPERLINK("https://api.typeform.com/responses/files/f139edbf2f94a08fdee2a43544fcf58fcb694151f653863a81c2055362992a45/IMG_2499.jpg")</f>
        <v>https://api.typeform.com/responses/files/f139edbf2f94a08fdee2a43544fcf58fcb694151f653863a81c2055362992a45/IMG_2499.jpg</v>
      </c>
      <c r="J221" t="s">
        <v>5120</v>
      </c>
      <c r="K221" t="b">
        <v>1</v>
      </c>
      <c r="L221" s="4" t="s">
        <v>5121</v>
      </c>
      <c r="M221" t="s">
        <v>5122</v>
      </c>
      <c r="N221" t="s">
        <v>149</v>
      </c>
      <c r="O221" t="s">
        <v>5123</v>
      </c>
      <c r="P221" t="s">
        <v>5124</v>
      </c>
      <c r="Q221" t="s">
        <v>189</v>
      </c>
      <c r="R221" t="s">
        <v>5125</v>
      </c>
      <c r="S221" t="s">
        <v>5122</v>
      </c>
      <c r="T221" s="4" t="s">
        <v>5126</v>
      </c>
      <c r="U221" t="s">
        <v>5127</v>
      </c>
      <c r="V221" t="s">
        <v>5128</v>
      </c>
      <c r="W221" t="s">
        <v>2290</v>
      </c>
      <c r="X221" t="s">
        <v>4075</v>
      </c>
      <c r="Y221" t="s">
        <v>158</v>
      </c>
      <c r="Z221" t="s">
        <v>262</v>
      </c>
      <c r="AA221" t="s">
        <v>4075</v>
      </c>
      <c r="AB221" t="s">
        <v>4075</v>
      </c>
      <c r="AC221" s="3" t="str">
        <f>HYPERLINK("https://api.typeform.com/responses/files/4381e1e6b2fbcc8e7f8116aba1f55c4fdf2d4512313e1a17c0ae1bb367764ef6/Screenshot_2021_10_07_3.17.49_PM.png")</f>
        <v>https://api.typeform.com/responses/files/4381e1e6b2fbcc8e7f8116aba1f55c4fdf2d4512313e1a17c0ae1bb367764ef6/Screenshot_2021_10_07_3.17.49_PM.png</v>
      </c>
      <c r="AD221" t="s">
        <v>118</v>
      </c>
      <c r="AE221" t="s">
        <v>729</v>
      </c>
      <c r="AF221" t="s">
        <v>4450</v>
      </c>
      <c r="AG221">
        <v>16.0</v>
      </c>
      <c r="AH221" s="4" t="s">
        <v>4356</v>
      </c>
      <c r="AI221" t="s">
        <v>386</v>
      </c>
      <c r="AJ221" t="s">
        <v>4075</v>
      </c>
      <c r="AK221" t="s">
        <v>139</v>
      </c>
      <c r="AL221" t="s">
        <v>199</v>
      </c>
      <c r="AM221" t="s">
        <v>4075</v>
      </c>
      <c r="AN221" t="s">
        <v>4075</v>
      </c>
      <c r="AO221" t="s">
        <v>335</v>
      </c>
      <c r="AP221">
        <v>5.0</v>
      </c>
      <c r="AQ221" t="s">
        <v>303</v>
      </c>
      <c r="AR221" t="s">
        <v>5129</v>
      </c>
      <c r="AS221" t="b">
        <v>1</v>
      </c>
      <c r="AT221" t="b">
        <v>0</v>
      </c>
      <c r="AU221" t="s">
        <v>4075</v>
      </c>
      <c r="AV221">
        <v>4.0</v>
      </c>
      <c r="AW221" t="b">
        <v>0</v>
      </c>
      <c r="AX221" t="s">
        <v>4075</v>
      </c>
      <c r="AY221" t="s">
        <v>4075</v>
      </c>
      <c r="AZ221" t="b">
        <v>0</v>
      </c>
      <c r="BA221" t="b">
        <v>0</v>
      </c>
      <c r="BB221" t="s">
        <v>4075</v>
      </c>
      <c r="BC221" t="s">
        <v>4075</v>
      </c>
      <c r="BD221" t="s">
        <v>1172</v>
      </c>
      <c r="BE221" t="s">
        <v>4075</v>
      </c>
      <c r="BF221" t="s">
        <v>4075</v>
      </c>
      <c r="BG221" t="s">
        <v>4075</v>
      </c>
      <c r="BH221" t="s">
        <v>132</v>
      </c>
      <c r="BI221">
        <v>4.0</v>
      </c>
      <c r="BJ221" t="s">
        <v>5130</v>
      </c>
      <c r="BK221">
        <v>1.0</v>
      </c>
      <c r="BL221">
        <v>2.0</v>
      </c>
      <c r="BM221" t="s">
        <v>5131</v>
      </c>
      <c r="BN221">
        <v>1.0</v>
      </c>
      <c r="BO221">
        <v>1.0</v>
      </c>
      <c r="BP221" t="s">
        <v>1201</v>
      </c>
      <c r="BQ221" t="s">
        <v>626</v>
      </c>
      <c r="BR221" t="s">
        <v>5132</v>
      </c>
      <c r="BS221" t="s">
        <v>5133</v>
      </c>
      <c r="BT221" t="s">
        <v>4075</v>
      </c>
      <c r="BU221" t="s">
        <v>139</v>
      </c>
      <c r="BV221" s="3" t="str">
        <f>HYPERLINK("https://api.typeform.com/responses/files/fa14bb58bc4b2d660218c859c46f843f51a75803d9552554438167c2f32d56b4/Untitled_document.docx")</f>
        <v>https://api.typeform.com/responses/files/fa14bb58bc4b2d660218c859c46f843f51a75803d9552554438167c2f32d56b4/Untitled_document.docx</v>
      </c>
      <c r="BW221" t="b">
        <v>1</v>
      </c>
      <c r="BX221" t="s">
        <v>1394</v>
      </c>
      <c r="BY221" t="s">
        <v>140</v>
      </c>
      <c r="BZ221" t="s">
        <v>4075</v>
      </c>
      <c r="CA221" t="s">
        <v>1395</v>
      </c>
      <c r="CB221" t="s">
        <v>4075</v>
      </c>
      <c r="CC221" t="s">
        <v>4075</v>
      </c>
      <c r="CD221">
        <v>0.0</v>
      </c>
      <c r="CE221" t="s">
        <v>4075</v>
      </c>
      <c r="CF221" t="b">
        <v>1</v>
      </c>
      <c r="CG221" t="b">
        <v>1</v>
      </c>
      <c r="CH221" t="s">
        <v>2553</v>
      </c>
      <c r="CI221" t="s">
        <v>4075</v>
      </c>
      <c r="CJ221" t="b">
        <v>1</v>
      </c>
      <c r="CK221" t="b">
        <v>1</v>
      </c>
      <c r="CL221" t="s">
        <v>387</v>
      </c>
      <c r="CM221" t="s">
        <v>4075</v>
      </c>
      <c r="CN221" t="s">
        <v>4075</v>
      </c>
      <c r="CO221" t="s">
        <v>1635</v>
      </c>
      <c r="CP221" t="s">
        <v>4075</v>
      </c>
      <c r="CQ221" t="s">
        <v>4075</v>
      </c>
      <c r="CR221" t="b">
        <v>1</v>
      </c>
      <c r="CS221" t="s">
        <v>4075</v>
      </c>
      <c r="CT221">
        <v>0.0</v>
      </c>
      <c r="CU221">
        <v>0.0</v>
      </c>
      <c r="CV221" t="s">
        <v>4075</v>
      </c>
      <c r="CW221" t="s">
        <v>4075</v>
      </c>
      <c r="CX221" s="4" t="s">
        <v>5134</v>
      </c>
      <c r="CY221" t="s">
        <v>4075</v>
      </c>
      <c r="CZ221" s="5">
        <v>44477.71460648148</v>
      </c>
      <c r="DA221" t="s">
        <v>5135</v>
      </c>
    </row>
    <row r="222">
      <c r="A222" t="s">
        <v>98</v>
      </c>
      <c r="B222" t="s">
        <v>4075</v>
      </c>
      <c r="C222" t="s">
        <v>4075</v>
      </c>
      <c r="D222" t="s">
        <v>5136</v>
      </c>
      <c r="E222" t="s">
        <v>4608</v>
      </c>
      <c r="F222" s="2">
        <v>38428.0</v>
      </c>
      <c r="G222" t="s">
        <v>1360</v>
      </c>
      <c r="H222" t="s">
        <v>4075</v>
      </c>
      <c r="I222" s="3" t="str">
        <f>HYPERLINK("https://api.typeform.com/responses/files/d1480e4d45931f8892844017c0235feec9d95b1a495dd2ab73a12e9aa7ce8c08/42F9C468_4C78_4CD6_AE8D_E44C96F49C39.png")</f>
        <v>https://api.typeform.com/responses/files/d1480e4d45931f8892844017c0235feec9d95b1a495dd2ab73a12e9aa7ce8c08/42F9C468_4C78_4CD6_AE8D_E44C96F49C39.png</v>
      </c>
      <c r="J222" t="s">
        <v>5137</v>
      </c>
      <c r="K222" t="b">
        <v>1</v>
      </c>
      <c r="L222" s="4" t="s">
        <v>5138</v>
      </c>
      <c r="M222" t="s">
        <v>5139</v>
      </c>
      <c r="N222" t="s">
        <v>149</v>
      </c>
      <c r="O222" t="s">
        <v>4075</v>
      </c>
      <c r="P222" t="s">
        <v>5140</v>
      </c>
      <c r="Q222" t="s">
        <v>189</v>
      </c>
      <c r="R222" t="s">
        <v>5141</v>
      </c>
      <c r="S222" t="s">
        <v>5142</v>
      </c>
      <c r="T222" s="4" t="s">
        <v>5143</v>
      </c>
      <c r="U222" t="s">
        <v>2313</v>
      </c>
      <c r="V222" t="s">
        <v>5144</v>
      </c>
      <c r="W222" t="s">
        <v>2290</v>
      </c>
      <c r="X222" t="s">
        <v>4075</v>
      </c>
      <c r="Y222" t="s">
        <v>158</v>
      </c>
      <c r="Z222" t="s">
        <v>262</v>
      </c>
      <c r="AA222" t="s">
        <v>4075</v>
      </c>
      <c r="AB222" t="s">
        <v>4075</v>
      </c>
      <c r="AC222" s="3" t="str">
        <f>HYPERLINK("https://api.typeform.com/responses/files/e12c44ad64bca06c4e80424f59f862518b93d79727ab065e4f6bd8b64e7a61b4/C74D3053_1CC4_499C_A72A_8A102713C67C.png")</f>
        <v>https://api.typeform.com/responses/files/e12c44ad64bca06c4e80424f59f862518b93d79727ab065e4f6bd8b64e7a61b4/C74D3053_1CC4_499C_A72A_8A102713C67C.png</v>
      </c>
      <c r="AD222" t="s">
        <v>118</v>
      </c>
      <c r="AE222" t="s">
        <v>729</v>
      </c>
      <c r="AF222" t="s">
        <v>459</v>
      </c>
      <c r="AG222">
        <v>12.0</v>
      </c>
      <c r="AH222" t="s">
        <v>5145</v>
      </c>
      <c r="AI222" t="s">
        <v>386</v>
      </c>
      <c r="AJ222" t="s">
        <v>4075</v>
      </c>
      <c r="AK222" t="s">
        <v>4075</v>
      </c>
      <c r="AL222" t="s">
        <v>460</v>
      </c>
      <c r="AM222" t="s">
        <v>4075</v>
      </c>
      <c r="AN222" t="s">
        <v>4075</v>
      </c>
      <c r="AO222" t="s">
        <v>125</v>
      </c>
      <c r="AP222">
        <v>4.0</v>
      </c>
      <c r="AQ222" t="s">
        <v>461</v>
      </c>
      <c r="AR222" t="s">
        <v>5146</v>
      </c>
      <c r="AS222" t="b">
        <v>1</v>
      </c>
      <c r="AT222" t="b">
        <v>0</v>
      </c>
      <c r="AU222" t="s">
        <v>4075</v>
      </c>
      <c r="AV222">
        <v>4.0</v>
      </c>
      <c r="AW222" t="b">
        <v>1</v>
      </c>
      <c r="AX222" t="s">
        <v>1902</v>
      </c>
      <c r="AY222" s="4" t="s">
        <v>518</v>
      </c>
      <c r="AZ222" t="b">
        <v>0</v>
      </c>
      <c r="BA222" t="b">
        <v>1</v>
      </c>
      <c r="BB222" t="b">
        <v>0</v>
      </c>
      <c r="BC222" t="s">
        <v>5147</v>
      </c>
      <c r="BD222" t="s">
        <v>4075</v>
      </c>
      <c r="BE222" t="s">
        <v>4075</v>
      </c>
      <c r="BF222" t="s">
        <v>4075</v>
      </c>
      <c r="BG222" t="s">
        <v>4075</v>
      </c>
      <c r="BH222" t="s">
        <v>132</v>
      </c>
      <c r="BI222">
        <v>2.0</v>
      </c>
      <c r="BJ222" s="4" t="s">
        <v>130</v>
      </c>
      <c r="BK222">
        <v>1.0</v>
      </c>
      <c r="BL222">
        <v>3.0</v>
      </c>
      <c r="BM222" s="4" t="s">
        <v>130</v>
      </c>
      <c r="BN222">
        <v>3.0</v>
      </c>
      <c r="BO222">
        <v>5.0</v>
      </c>
      <c r="BP222" t="s">
        <v>5148</v>
      </c>
      <c r="BQ222" t="s">
        <v>5149</v>
      </c>
      <c r="BR222" t="s">
        <v>5150</v>
      </c>
      <c r="BS222" t="s">
        <v>5151</v>
      </c>
      <c r="BT222" t="s">
        <v>4075</v>
      </c>
      <c r="BU222" t="s">
        <v>5152</v>
      </c>
      <c r="BV222" s="3" t="str">
        <f>HYPERLINK("https://api.typeform.com/responses/files/10bca431af0dd96339635c158e711db1a267f851af2fc4ce148cc2e40e30be58/D1323446_318F_4A4E_8176_629C6DA702DC.jpeg")</f>
        <v>https://api.typeform.com/responses/files/10bca431af0dd96339635c158e711db1a267f851af2fc4ce148cc2e40e30be58/D1323446_318F_4A4E_8176_629C6DA702DC.jpeg</v>
      </c>
      <c r="BW222" t="b">
        <v>1</v>
      </c>
      <c r="BX222" t="s">
        <v>1394</v>
      </c>
      <c r="BY222" t="s">
        <v>140</v>
      </c>
      <c r="BZ222" t="s">
        <v>4075</v>
      </c>
      <c r="CA222" t="s">
        <v>1395</v>
      </c>
      <c r="CB222" t="s">
        <v>4075</v>
      </c>
      <c r="CC222" t="s">
        <v>4075</v>
      </c>
      <c r="CD222">
        <v>0.0</v>
      </c>
      <c r="CE222" t="s">
        <v>4075</v>
      </c>
      <c r="CF222" t="b">
        <v>1</v>
      </c>
      <c r="CG222" t="b">
        <v>1</v>
      </c>
      <c r="CH222" t="s">
        <v>168</v>
      </c>
      <c r="CI222" t="s">
        <v>4075</v>
      </c>
      <c r="CJ222" t="b">
        <v>1</v>
      </c>
      <c r="CK222" t="b">
        <v>1</v>
      </c>
      <c r="CL222" t="s">
        <v>636</v>
      </c>
      <c r="CM222" t="s">
        <v>4075</v>
      </c>
      <c r="CN222" t="s">
        <v>4075</v>
      </c>
      <c r="CO222" t="s">
        <v>1688</v>
      </c>
      <c r="CP222" t="s">
        <v>4075</v>
      </c>
      <c r="CQ222" t="s">
        <v>4075</v>
      </c>
      <c r="CR222" t="b">
        <v>1</v>
      </c>
      <c r="CS222" t="s">
        <v>4075</v>
      </c>
      <c r="CT222">
        <v>0.0</v>
      </c>
      <c r="CU222">
        <v>2.0</v>
      </c>
      <c r="CV222" t="s">
        <v>4075</v>
      </c>
      <c r="CW222" t="s">
        <v>4075</v>
      </c>
      <c r="CX222" t="s">
        <v>1098</v>
      </c>
      <c r="CY222" t="s">
        <v>4075</v>
      </c>
      <c r="CZ222" s="5">
        <v>44477.71503472222</v>
      </c>
      <c r="DA222" t="s">
        <v>5153</v>
      </c>
    </row>
    <row r="223">
      <c r="A223" t="s">
        <v>98</v>
      </c>
      <c r="B223" t="s">
        <v>4075</v>
      </c>
      <c r="C223" t="s">
        <v>4075</v>
      </c>
      <c r="D223" t="s">
        <v>5154</v>
      </c>
      <c r="E223" t="s">
        <v>5155</v>
      </c>
      <c r="F223" s="2">
        <v>38155.0</v>
      </c>
      <c r="G223" t="s">
        <v>1491</v>
      </c>
      <c r="H223" t="s">
        <v>4075</v>
      </c>
      <c r="I223" s="3" t="str">
        <f>HYPERLINK("https://api.typeform.com/responses/files/5a5560f9de7c3c91f210d2421fc8d2602e4c4e8b8b605805fe25e5a749c1eaac/A625CCEC_7260_40BE_850F_D8884DA72910.jpeg")</f>
        <v>https://api.typeform.com/responses/files/5a5560f9de7c3c91f210d2421fc8d2602e4c4e8b8b605805fe25e5a749c1eaac/A625CCEC_7260_40BE_850F_D8884DA72910.jpeg</v>
      </c>
      <c r="J223" t="s">
        <v>5156</v>
      </c>
      <c r="K223" t="b">
        <v>1</v>
      </c>
      <c r="L223" s="4" t="s">
        <v>5157</v>
      </c>
      <c r="M223" t="s">
        <v>5158</v>
      </c>
      <c r="N223" t="s">
        <v>354</v>
      </c>
      <c r="O223" t="s">
        <v>5159</v>
      </c>
      <c r="P223" t="s">
        <v>5160</v>
      </c>
      <c r="Q223" t="s">
        <v>563</v>
      </c>
      <c r="R223" t="s">
        <v>5161</v>
      </c>
      <c r="S223" t="s">
        <v>5158</v>
      </c>
      <c r="T223" s="4" t="s">
        <v>5162</v>
      </c>
      <c r="U223" t="s">
        <v>2313</v>
      </c>
      <c r="V223" t="s">
        <v>2407</v>
      </c>
      <c r="W223" t="s">
        <v>2290</v>
      </c>
      <c r="X223" t="s">
        <v>4075</v>
      </c>
      <c r="Y223" t="s">
        <v>158</v>
      </c>
      <c r="Z223" t="s">
        <v>262</v>
      </c>
      <c r="AA223" t="s">
        <v>4075</v>
      </c>
      <c r="AB223" t="s">
        <v>4075</v>
      </c>
      <c r="AC223" s="3" t="str">
        <f>HYPERLINK("https://api.typeform.com/responses/files/fe8dbb9e77061ad8bbe1770312e68747fbdfc67159469820922940f34d991ebd/8ABE49DA_6A0A_49E8_AC52_695EC040CAE1.png")</f>
        <v>https://api.typeform.com/responses/files/fe8dbb9e77061ad8bbe1770312e68747fbdfc67159469820922940f34d991ebd/8ABE49DA_6A0A_49E8_AC52_695EC040CAE1.png</v>
      </c>
      <c r="AD223" t="s">
        <v>118</v>
      </c>
      <c r="AE223" t="s">
        <v>729</v>
      </c>
      <c r="AF223" t="s">
        <v>4450</v>
      </c>
      <c r="AG223">
        <v>14.0</v>
      </c>
      <c r="AH223" t="s">
        <v>4927</v>
      </c>
      <c r="AI223" t="s">
        <v>386</v>
      </c>
      <c r="AJ223" t="s">
        <v>4075</v>
      </c>
      <c r="AK223" t="s">
        <v>5163</v>
      </c>
      <c r="AL223" t="s">
        <v>199</v>
      </c>
      <c r="AM223" t="s">
        <v>4075</v>
      </c>
      <c r="AN223" t="s">
        <v>4075</v>
      </c>
      <c r="AO223" t="s">
        <v>335</v>
      </c>
      <c r="AP223">
        <v>6.0</v>
      </c>
      <c r="AQ223" t="s">
        <v>2625</v>
      </c>
      <c r="AR223" t="s">
        <v>5164</v>
      </c>
      <c r="AS223" t="b">
        <v>1</v>
      </c>
      <c r="AT223" t="b">
        <v>0</v>
      </c>
      <c r="AU223" t="s">
        <v>4075</v>
      </c>
      <c r="AV223">
        <v>5.0</v>
      </c>
      <c r="AW223" t="b">
        <v>0</v>
      </c>
      <c r="AX223" t="s">
        <v>4075</v>
      </c>
      <c r="AY223" t="s">
        <v>4075</v>
      </c>
      <c r="AZ223" t="b">
        <v>0</v>
      </c>
      <c r="BA223" t="b">
        <v>0</v>
      </c>
      <c r="BB223" t="s">
        <v>4075</v>
      </c>
      <c r="BC223" t="s">
        <v>4075</v>
      </c>
      <c r="BD223" t="s">
        <v>5165</v>
      </c>
      <c r="BE223" t="s">
        <v>4075</v>
      </c>
      <c r="BF223" t="s">
        <v>4075</v>
      </c>
      <c r="BG223" t="s">
        <v>4075</v>
      </c>
      <c r="BH223" t="s">
        <v>132</v>
      </c>
      <c r="BI223">
        <v>4.0</v>
      </c>
      <c r="BJ223" t="s">
        <v>5166</v>
      </c>
      <c r="BK223">
        <v>4.0</v>
      </c>
      <c r="BL223">
        <v>4.0</v>
      </c>
      <c r="BM223" t="s">
        <v>5167</v>
      </c>
      <c r="BN223">
        <v>3.0</v>
      </c>
      <c r="BO223">
        <v>4.0</v>
      </c>
      <c r="BP223" t="s">
        <v>5168</v>
      </c>
      <c r="BQ223" t="s">
        <v>916</v>
      </c>
      <c r="BR223" t="s">
        <v>5169</v>
      </c>
      <c r="BS223" t="s">
        <v>5170</v>
      </c>
      <c r="BT223" t="s">
        <v>4075</v>
      </c>
      <c r="BU223" t="s">
        <v>5171</v>
      </c>
      <c r="BV223" s="3" t="str">
        <f>HYPERLINK("https://api.typeform.com/responses/files/df4985ebf5528ba9b28844e829f86e5a9dc920b72070468e513a8ab6a2452621/image.jpg")</f>
        <v>https://api.typeform.com/responses/files/df4985ebf5528ba9b28844e829f86e5a9dc920b72070468e513a8ab6a2452621/image.jpg</v>
      </c>
      <c r="BW223" t="b">
        <v>1</v>
      </c>
      <c r="BX223" t="s">
        <v>1394</v>
      </c>
      <c r="BY223" t="s">
        <v>140</v>
      </c>
      <c r="BZ223" t="s">
        <v>4075</v>
      </c>
      <c r="CA223" t="s">
        <v>1395</v>
      </c>
      <c r="CB223" t="s">
        <v>4075</v>
      </c>
      <c r="CC223" t="s">
        <v>4075</v>
      </c>
      <c r="CD223">
        <v>0.0</v>
      </c>
      <c r="CE223" t="s">
        <v>4075</v>
      </c>
      <c r="CF223" t="b">
        <v>1</v>
      </c>
      <c r="CG223" t="b">
        <v>1</v>
      </c>
      <c r="CH223" t="s">
        <v>5172</v>
      </c>
      <c r="CI223" t="s">
        <v>4075</v>
      </c>
      <c r="CJ223" t="b">
        <v>1</v>
      </c>
      <c r="CK223" t="b">
        <v>1</v>
      </c>
      <c r="CL223" t="s">
        <v>387</v>
      </c>
      <c r="CM223" t="s">
        <v>387</v>
      </c>
      <c r="CN223" t="s">
        <v>4075</v>
      </c>
      <c r="CO223" t="s">
        <v>1688</v>
      </c>
      <c r="CP223" t="s">
        <v>4075</v>
      </c>
      <c r="CQ223" t="s">
        <v>4075</v>
      </c>
      <c r="CR223" t="b">
        <v>1</v>
      </c>
      <c r="CS223" t="s">
        <v>4075</v>
      </c>
      <c r="CT223">
        <v>1.0</v>
      </c>
      <c r="CU223">
        <v>0.0</v>
      </c>
      <c r="CV223" t="s">
        <v>4075</v>
      </c>
      <c r="CW223" t="s">
        <v>4075</v>
      </c>
      <c r="CX223" s="4" t="s">
        <v>5173</v>
      </c>
      <c r="CY223" t="s">
        <v>4075</v>
      </c>
      <c r="CZ223" s="5">
        <v>44477.7175462963</v>
      </c>
      <c r="DA223" t="s">
        <v>5174</v>
      </c>
    </row>
    <row r="224">
      <c r="A224" t="s">
        <v>98</v>
      </c>
      <c r="B224" t="s">
        <v>4075</v>
      </c>
      <c r="C224" t="s">
        <v>4075</v>
      </c>
      <c r="D224" t="s">
        <v>5175</v>
      </c>
      <c r="E224" t="s">
        <v>4608</v>
      </c>
      <c r="F224" s="2">
        <v>38327.0</v>
      </c>
      <c r="G224" t="s">
        <v>1466</v>
      </c>
      <c r="H224" t="s">
        <v>4075</v>
      </c>
      <c r="I224" s="3" t="str">
        <f>HYPERLINK("https://api.typeform.com/responses/files/11b44b68cabf1780333c4626e2b73243c03da19ad6af56b52fa0ae6834f460e9/IMG_0020.JPG")</f>
        <v>https://api.typeform.com/responses/files/11b44b68cabf1780333c4626e2b73243c03da19ad6af56b52fa0ae6834f460e9/IMG_0020.JPG</v>
      </c>
      <c r="J224" t="s">
        <v>5176</v>
      </c>
      <c r="K224" t="b">
        <v>1</v>
      </c>
      <c r="L224" s="4" t="s">
        <v>5177</v>
      </c>
      <c r="M224" t="s">
        <v>5178</v>
      </c>
      <c r="N224" t="s">
        <v>149</v>
      </c>
      <c r="O224" t="s">
        <v>5179</v>
      </c>
      <c r="P224" t="s">
        <v>5180</v>
      </c>
      <c r="Q224" t="s">
        <v>152</v>
      </c>
      <c r="R224" t="s">
        <v>5181</v>
      </c>
      <c r="S224" t="s">
        <v>5178</v>
      </c>
      <c r="T224" s="4" t="s">
        <v>5182</v>
      </c>
      <c r="U224" t="s">
        <v>2313</v>
      </c>
      <c r="V224" t="s">
        <v>5183</v>
      </c>
      <c r="W224" t="s">
        <v>2290</v>
      </c>
      <c r="X224" t="s">
        <v>4075</v>
      </c>
      <c r="Y224" t="s">
        <v>158</v>
      </c>
      <c r="Z224" t="s">
        <v>262</v>
      </c>
      <c r="AA224" t="s">
        <v>4075</v>
      </c>
      <c r="AB224" t="s">
        <v>4075</v>
      </c>
      <c r="AC224" s="3" t="str">
        <f>HYPERLINK("https://api.typeform.com/responses/files/3f5a0cad78246092aba7251a67e30f70936696fbf87582ec3ae2dfd214b6eada/20211008_124757.jpg")</f>
        <v>https://api.typeform.com/responses/files/3f5a0cad78246092aba7251a67e30f70936696fbf87582ec3ae2dfd214b6eada/20211008_124757.jpg</v>
      </c>
      <c r="AD224" t="s">
        <v>118</v>
      </c>
      <c r="AE224" t="s">
        <v>729</v>
      </c>
      <c r="AF224" t="s">
        <v>459</v>
      </c>
      <c r="AG224">
        <v>15.0</v>
      </c>
      <c r="AH224" t="s">
        <v>3387</v>
      </c>
      <c r="AI224" t="s">
        <v>162</v>
      </c>
      <c r="AJ224" t="s">
        <v>4075</v>
      </c>
      <c r="AK224" t="s">
        <v>4075</v>
      </c>
      <c r="AL224" t="s">
        <v>460</v>
      </c>
      <c r="AM224" t="s">
        <v>4075</v>
      </c>
      <c r="AN224" t="s">
        <v>4075</v>
      </c>
      <c r="AO224" t="s">
        <v>335</v>
      </c>
      <c r="AP224">
        <v>4.0</v>
      </c>
      <c r="AQ224" t="s">
        <v>4222</v>
      </c>
      <c r="AR224" t="s">
        <v>5184</v>
      </c>
      <c r="AS224" t="b">
        <v>1</v>
      </c>
      <c r="AT224" t="b">
        <v>1</v>
      </c>
      <c r="AU224" t="s">
        <v>4075</v>
      </c>
      <c r="AV224">
        <v>4.0</v>
      </c>
      <c r="AW224" t="b">
        <v>1</v>
      </c>
      <c r="AX224" s="4" t="s">
        <v>130</v>
      </c>
      <c r="AY224" s="4" t="s">
        <v>518</v>
      </c>
      <c r="AZ224" t="b">
        <v>0</v>
      </c>
      <c r="BA224" t="b">
        <v>1</v>
      </c>
      <c r="BB224" t="b">
        <v>0</v>
      </c>
      <c r="BC224" t="s">
        <v>5185</v>
      </c>
      <c r="BD224" t="s">
        <v>4075</v>
      </c>
      <c r="BE224" t="s">
        <v>4075</v>
      </c>
      <c r="BF224" t="s">
        <v>4075</v>
      </c>
      <c r="BG224" t="s">
        <v>4075</v>
      </c>
      <c r="BH224" t="s">
        <v>132</v>
      </c>
      <c r="BI224">
        <v>4.0</v>
      </c>
      <c r="BJ224" t="s">
        <v>5186</v>
      </c>
      <c r="BK224">
        <v>4.0</v>
      </c>
      <c r="BL224">
        <v>3.0</v>
      </c>
      <c r="BM224" t="s">
        <v>5187</v>
      </c>
      <c r="BN224">
        <v>3.0</v>
      </c>
      <c r="BO224">
        <v>4.0</v>
      </c>
      <c r="BP224" t="s">
        <v>5188</v>
      </c>
      <c r="BQ224" t="s">
        <v>1807</v>
      </c>
      <c r="BR224" t="s">
        <v>5189</v>
      </c>
      <c r="BS224" t="s">
        <v>5190</v>
      </c>
      <c r="BT224" t="s">
        <v>4075</v>
      </c>
      <c r="BU224" t="s">
        <v>5191</v>
      </c>
      <c r="BV224" s="3" t="str">
        <f>HYPERLINK("https://api.typeform.com/responses/files/a626070ba99c9b5e0851f5bc981445068e7fbabf2233c595854f669a50004e3d/image_50386945.JPG")</f>
        <v>https://api.typeform.com/responses/files/a626070ba99c9b5e0851f5bc981445068e7fbabf2233c595854f669a50004e3d/image_50386945.JPG</v>
      </c>
      <c r="BW224" t="b">
        <v>1</v>
      </c>
      <c r="BX224" t="s">
        <v>1394</v>
      </c>
      <c r="BY224" t="s">
        <v>140</v>
      </c>
      <c r="BZ224" t="s">
        <v>4075</v>
      </c>
      <c r="CA224" t="s">
        <v>1395</v>
      </c>
      <c r="CB224" t="s">
        <v>4075</v>
      </c>
      <c r="CC224" t="s">
        <v>4075</v>
      </c>
      <c r="CD224">
        <v>0.0</v>
      </c>
      <c r="CE224" t="s">
        <v>4075</v>
      </c>
      <c r="CF224" t="b">
        <v>0</v>
      </c>
      <c r="CG224" t="b">
        <v>1</v>
      </c>
      <c r="CH224" t="s">
        <v>168</v>
      </c>
      <c r="CI224" t="s">
        <v>4075</v>
      </c>
      <c r="CJ224" t="b">
        <v>1</v>
      </c>
      <c r="CK224" t="b">
        <v>1</v>
      </c>
      <c r="CL224" t="s">
        <v>362</v>
      </c>
      <c r="CM224" t="s">
        <v>4075</v>
      </c>
      <c r="CN224" t="s">
        <v>4075</v>
      </c>
      <c r="CO224" t="s">
        <v>388</v>
      </c>
      <c r="CP224" t="s">
        <v>4075</v>
      </c>
      <c r="CQ224" t="s">
        <v>4075</v>
      </c>
      <c r="CR224" t="b">
        <v>1</v>
      </c>
      <c r="CS224" t="s">
        <v>4075</v>
      </c>
      <c r="CT224">
        <v>0.0</v>
      </c>
      <c r="CU224">
        <v>1.0</v>
      </c>
      <c r="CV224" t="s">
        <v>4075</v>
      </c>
      <c r="CW224" t="s">
        <v>4075</v>
      </c>
      <c r="CX224" s="4" t="s">
        <v>5192</v>
      </c>
      <c r="CY224" t="s">
        <v>4075</v>
      </c>
      <c r="CZ224" s="5">
        <v>44477.71774305555</v>
      </c>
      <c r="DA224" t="s">
        <v>5193</v>
      </c>
    </row>
    <row r="225">
      <c r="A225" t="s">
        <v>98</v>
      </c>
      <c r="B225" t="s">
        <v>4075</v>
      </c>
      <c r="C225" t="s">
        <v>4075</v>
      </c>
      <c r="D225" t="s">
        <v>5194</v>
      </c>
      <c r="E225" t="s">
        <v>5195</v>
      </c>
      <c r="F225" s="2">
        <v>38671.0</v>
      </c>
      <c r="G225" t="s">
        <v>1466</v>
      </c>
      <c r="H225" t="s">
        <v>4075</v>
      </c>
      <c r="I225" s="3" t="str">
        <f>HYPERLINK("https://api.typeform.com/responses/files/deecca8f22bb0578bd3b4004e300f5e1086aa6a0a4c55b173d025726bc68b536/WhatsApp_Image_2021_10_08_at_12.45.43_PM.jpeg")</f>
        <v>https://api.typeform.com/responses/files/deecca8f22bb0578bd3b4004e300f5e1086aa6a0a4c55b173d025726bc68b536/WhatsApp_Image_2021_10_08_at_12.45.43_PM.jpeg</v>
      </c>
      <c r="J225" t="s">
        <v>5196</v>
      </c>
      <c r="K225" t="b">
        <v>1</v>
      </c>
      <c r="L225" s="4" t="s">
        <v>5197</v>
      </c>
      <c r="M225" t="s">
        <v>5198</v>
      </c>
      <c r="N225" t="s">
        <v>255</v>
      </c>
      <c r="O225" t="s">
        <v>5199</v>
      </c>
      <c r="P225" t="s">
        <v>5200</v>
      </c>
      <c r="Q225" t="s">
        <v>189</v>
      </c>
      <c r="R225" t="s">
        <v>5201</v>
      </c>
      <c r="S225" t="s">
        <v>5202</v>
      </c>
      <c r="T225" s="4" t="s">
        <v>5203</v>
      </c>
      <c r="U225" t="s">
        <v>2722</v>
      </c>
      <c r="V225" t="s">
        <v>4664</v>
      </c>
      <c r="W225" t="s">
        <v>2290</v>
      </c>
      <c r="X225" t="s">
        <v>4075</v>
      </c>
      <c r="Y225" t="s">
        <v>158</v>
      </c>
      <c r="Z225" t="s">
        <v>262</v>
      </c>
      <c r="AA225" t="s">
        <v>4075</v>
      </c>
      <c r="AB225" t="s">
        <v>4075</v>
      </c>
      <c r="AC225" s="3" t="str">
        <f>HYPERLINK("https://api.typeform.com/responses/files/1d31341319435e825a25597928c72fa83125f73fbef9b1d2a27e6b913a39d25a/Screenshot_2021_10_08_12.52.03_PM.png")</f>
        <v>https://api.typeform.com/responses/files/1d31341319435e825a25597928c72fa83125f73fbef9b1d2a27e6b913a39d25a/Screenshot_2021_10_08_12.52.03_PM.png</v>
      </c>
      <c r="AD225" t="s">
        <v>118</v>
      </c>
      <c r="AE225" t="s">
        <v>729</v>
      </c>
      <c r="AF225" t="s">
        <v>197</v>
      </c>
      <c r="AG225">
        <v>11.0</v>
      </c>
      <c r="AH225" s="4" t="s">
        <v>547</v>
      </c>
      <c r="AI225" t="s">
        <v>162</v>
      </c>
      <c r="AJ225" t="s">
        <v>4075</v>
      </c>
      <c r="AK225" t="s">
        <v>5204</v>
      </c>
      <c r="AL225" t="s">
        <v>5205</v>
      </c>
      <c r="AM225" t="s">
        <v>4075</v>
      </c>
      <c r="AN225" t="s">
        <v>4075</v>
      </c>
      <c r="AO225" t="s">
        <v>1479</v>
      </c>
      <c r="AP225">
        <v>6.0</v>
      </c>
      <c r="AQ225" t="s">
        <v>2240</v>
      </c>
      <c r="AR225" t="s">
        <v>5206</v>
      </c>
      <c r="AS225" t="b">
        <v>1</v>
      </c>
      <c r="AT225" t="b">
        <v>1</v>
      </c>
      <c r="AU225" t="s">
        <v>4075</v>
      </c>
      <c r="AV225">
        <v>5.0</v>
      </c>
      <c r="AW225" t="b">
        <v>1</v>
      </c>
      <c r="AX225" t="s">
        <v>1902</v>
      </c>
      <c r="AY225" s="4" t="s">
        <v>518</v>
      </c>
      <c r="AZ225" t="b">
        <v>0</v>
      </c>
      <c r="BA225" t="b">
        <v>0</v>
      </c>
      <c r="BB225" t="s">
        <v>4075</v>
      </c>
      <c r="BC225" t="s">
        <v>4075</v>
      </c>
      <c r="BD225" t="s">
        <v>5207</v>
      </c>
      <c r="BE225" t="s">
        <v>4075</v>
      </c>
      <c r="BF225" t="s">
        <v>4075</v>
      </c>
      <c r="BG225" t="s">
        <v>4075</v>
      </c>
      <c r="BH225" t="s">
        <v>132</v>
      </c>
      <c r="BI225">
        <v>6.0</v>
      </c>
      <c r="BJ225" t="s">
        <v>5208</v>
      </c>
      <c r="BK225">
        <v>6.0</v>
      </c>
      <c r="BL225">
        <v>5.0</v>
      </c>
      <c r="BM225" t="s">
        <v>5209</v>
      </c>
      <c r="BN225">
        <v>5.0</v>
      </c>
      <c r="BO225">
        <v>6.0</v>
      </c>
      <c r="BP225" t="s">
        <v>5210</v>
      </c>
      <c r="BQ225" t="s">
        <v>5211</v>
      </c>
      <c r="BR225" t="s">
        <v>5212</v>
      </c>
      <c r="BS225" t="s">
        <v>5213</v>
      </c>
      <c r="BT225" t="s">
        <v>4075</v>
      </c>
      <c r="BU225" t="s">
        <v>5214</v>
      </c>
      <c r="BV225" s="3" t="str">
        <f>HYPERLINK("https://api.typeform.com/responses/files/aa9fe01edfe5f0078a30b6386a5d6f64b45df9d2d94054fdbfb16fe5ce61c1eb/WhatsApp_Image_2021_10_08_at_1.11.31_PM.jpeg")</f>
        <v>https://api.typeform.com/responses/files/aa9fe01edfe5f0078a30b6386a5d6f64b45df9d2d94054fdbfb16fe5ce61c1eb/WhatsApp_Image_2021_10_08_at_1.11.31_PM.jpeg</v>
      </c>
      <c r="BW225" t="b">
        <v>1</v>
      </c>
      <c r="BX225" t="s">
        <v>1394</v>
      </c>
      <c r="BY225" t="s">
        <v>140</v>
      </c>
      <c r="BZ225" t="s">
        <v>4075</v>
      </c>
      <c r="CA225" t="s">
        <v>1395</v>
      </c>
      <c r="CB225" t="s">
        <v>4075</v>
      </c>
      <c r="CC225" t="s">
        <v>4075</v>
      </c>
      <c r="CD225">
        <v>0.0</v>
      </c>
      <c r="CE225" t="s">
        <v>4075</v>
      </c>
      <c r="CF225" t="b">
        <v>1</v>
      </c>
      <c r="CG225" t="b">
        <v>1</v>
      </c>
      <c r="CH225" t="s">
        <v>4188</v>
      </c>
      <c r="CI225" t="s">
        <v>4075</v>
      </c>
      <c r="CJ225" t="b">
        <v>0</v>
      </c>
      <c r="CK225" t="b">
        <v>0</v>
      </c>
      <c r="CL225" t="s">
        <v>1462</v>
      </c>
      <c r="CM225" t="s">
        <v>1462</v>
      </c>
      <c r="CN225" t="s">
        <v>4075</v>
      </c>
      <c r="CO225" t="s">
        <v>3491</v>
      </c>
      <c r="CP225" t="s">
        <v>4075</v>
      </c>
      <c r="CQ225" t="s">
        <v>1462</v>
      </c>
      <c r="CR225" t="b">
        <v>1</v>
      </c>
      <c r="CS225" t="s">
        <v>4075</v>
      </c>
      <c r="CT225">
        <v>3.0</v>
      </c>
      <c r="CU225">
        <v>3.0</v>
      </c>
      <c r="CV225" t="s">
        <v>4075</v>
      </c>
      <c r="CW225" t="s">
        <v>4075</v>
      </c>
      <c r="CX225" t="s">
        <v>5215</v>
      </c>
      <c r="CY225" t="s">
        <v>4075</v>
      </c>
      <c r="CZ225" s="5">
        <v>44477.717939814815</v>
      </c>
      <c r="DA225" t="s">
        <v>5216</v>
      </c>
    </row>
    <row r="226">
      <c r="A226" t="s">
        <v>98</v>
      </c>
      <c r="B226" t="s">
        <v>4075</v>
      </c>
      <c r="C226" t="s">
        <v>4075</v>
      </c>
      <c r="D226" t="s">
        <v>5217</v>
      </c>
      <c r="E226" t="s">
        <v>5218</v>
      </c>
      <c r="F226" s="2">
        <v>38184.0</v>
      </c>
      <c r="G226" t="s">
        <v>1466</v>
      </c>
      <c r="H226" t="s">
        <v>4075</v>
      </c>
      <c r="I226" s="3" t="str">
        <f>HYPERLINK("https://api.typeform.com/responses/files/82c76a18d206554c386be93ecee16cc6f7cf586dd0b6e3d2594bc072475774bb/image.jpg")</f>
        <v>https://api.typeform.com/responses/files/82c76a18d206554c386be93ecee16cc6f7cf586dd0b6e3d2594bc072475774bb/image.jpg</v>
      </c>
      <c r="J226" t="s">
        <v>5219</v>
      </c>
      <c r="K226" t="b">
        <v>1</v>
      </c>
      <c r="L226" s="4" t="s">
        <v>5220</v>
      </c>
      <c r="M226" t="s">
        <v>5221</v>
      </c>
      <c r="N226" t="s">
        <v>149</v>
      </c>
      <c r="O226" t="s">
        <v>5222</v>
      </c>
      <c r="P226" t="s">
        <v>5223</v>
      </c>
      <c r="Q226" t="s">
        <v>152</v>
      </c>
      <c r="R226" t="s">
        <v>5219</v>
      </c>
      <c r="S226" t="s">
        <v>5221</v>
      </c>
      <c r="T226" s="4" t="s">
        <v>5224</v>
      </c>
      <c r="U226" t="s">
        <v>3028</v>
      </c>
      <c r="V226" t="s">
        <v>5225</v>
      </c>
      <c r="W226" t="s">
        <v>2290</v>
      </c>
      <c r="X226" t="s">
        <v>4075</v>
      </c>
      <c r="Y226" t="s">
        <v>158</v>
      </c>
      <c r="Z226" t="s">
        <v>262</v>
      </c>
      <c r="AA226" t="s">
        <v>4075</v>
      </c>
      <c r="AB226" t="s">
        <v>4075</v>
      </c>
      <c r="AC226" s="3" t="str">
        <f>HYPERLINK("https://api.typeform.com/responses/files/d2163842399bda2176e0b383b1ef9b6f28d4f56c47677f200d03d4c663ed1238/2CCBFCDA_88D3_4227_9D0E_5DCB422DEF6B.png")</f>
        <v>https://api.typeform.com/responses/files/d2163842399bda2176e0b383b1ef9b6f28d4f56c47677f200d03d4c663ed1238/2CCBFCDA_88D3_4227_9D0E_5DCB422DEF6B.png</v>
      </c>
      <c r="AD226" t="s">
        <v>118</v>
      </c>
      <c r="AE226" t="s">
        <v>729</v>
      </c>
      <c r="AF226" t="s">
        <v>5226</v>
      </c>
      <c r="AG226">
        <v>14.0</v>
      </c>
      <c r="AH226" s="4" t="s">
        <v>5053</v>
      </c>
      <c r="AI226" t="s">
        <v>162</v>
      </c>
      <c r="AJ226" t="s">
        <v>4075</v>
      </c>
      <c r="AK226" t="s">
        <v>5227</v>
      </c>
      <c r="AL226" t="s">
        <v>199</v>
      </c>
      <c r="AM226" t="s">
        <v>4075</v>
      </c>
      <c r="AN226" t="s">
        <v>4075</v>
      </c>
      <c r="AO226" t="s">
        <v>486</v>
      </c>
      <c r="AP226">
        <v>7.0</v>
      </c>
      <c r="AQ226" t="s">
        <v>4222</v>
      </c>
      <c r="AR226" t="s">
        <v>5228</v>
      </c>
      <c r="AS226" t="b">
        <v>1</v>
      </c>
      <c r="AT226" t="b">
        <v>0</v>
      </c>
      <c r="AU226" t="s">
        <v>4075</v>
      </c>
      <c r="AV226">
        <v>6.0</v>
      </c>
      <c r="AW226" t="b">
        <v>0</v>
      </c>
      <c r="AX226" t="s">
        <v>4075</v>
      </c>
      <c r="AY226" t="s">
        <v>4075</v>
      </c>
      <c r="AZ226" t="b">
        <v>0</v>
      </c>
      <c r="BA226" t="b">
        <v>0</v>
      </c>
      <c r="BB226" t="s">
        <v>4075</v>
      </c>
      <c r="BC226" t="s">
        <v>4075</v>
      </c>
      <c r="BD226" t="s">
        <v>5229</v>
      </c>
      <c r="BE226" t="s">
        <v>4075</v>
      </c>
      <c r="BF226" t="s">
        <v>4075</v>
      </c>
      <c r="BG226" t="s">
        <v>4075</v>
      </c>
      <c r="BH226" t="s">
        <v>132</v>
      </c>
      <c r="BI226">
        <v>2.0</v>
      </c>
      <c r="BJ226" t="s">
        <v>5230</v>
      </c>
      <c r="BK226">
        <v>2.0</v>
      </c>
      <c r="BL226">
        <v>7.0</v>
      </c>
      <c r="BM226" t="s">
        <v>5231</v>
      </c>
      <c r="BN226">
        <v>2.0</v>
      </c>
      <c r="BO226">
        <v>3.0</v>
      </c>
      <c r="BP226" t="s">
        <v>5232</v>
      </c>
      <c r="BQ226" t="s">
        <v>5233</v>
      </c>
      <c r="BR226" t="s">
        <v>5234</v>
      </c>
      <c r="BS226" t="s">
        <v>5235</v>
      </c>
      <c r="BT226" t="s">
        <v>4075</v>
      </c>
      <c r="BU226" t="s">
        <v>5236</v>
      </c>
      <c r="BV226" s="3" t="str">
        <f>HYPERLINK("https://api.typeform.com/responses/files/10f689cc7e59422d47d8af152f9525eb145a7e72daeec8eeafcf74fbe3d797c4/image.jpg")</f>
        <v>https://api.typeform.com/responses/files/10f689cc7e59422d47d8af152f9525eb145a7e72daeec8eeafcf74fbe3d797c4/image.jpg</v>
      </c>
      <c r="BW226" t="b">
        <v>1</v>
      </c>
      <c r="BX226" t="s">
        <v>1394</v>
      </c>
      <c r="BY226" t="s">
        <v>140</v>
      </c>
      <c r="BZ226" t="s">
        <v>4075</v>
      </c>
      <c r="CA226" t="s">
        <v>1395</v>
      </c>
      <c r="CB226" t="s">
        <v>4075</v>
      </c>
      <c r="CC226" t="s">
        <v>4075</v>
      </c>
      <c r="CD226">
        <v>0.0</v>
      </c>
      <c r="CE226" t="s">
        <v>4075</v>
      </c>
      <c r="CF226" t="b">
        <v>1</v>
      </c>
      <c r="CG226" t="b">
        <v>1</v>
      </c>
      <c r="CH226" t="s">
        <v>168</v>
      </c>
      <c r="CI226" t="s">
        <v>4075</v>
      </c>
      <c r="CJ226" t="b">
        <v>1</v>
      </c>
      <c r="CK226" t="b">
        <v>1</v>
      </c>
      <c r="CL226" t="s">
        <v>387</v>
      </c>
      <c r="CM226" t="s">
        <v>387</v>
      </c>
      <c r="CN226" t="s">
        <v>4075</v>
      </c>
      <c r="CO226" t="s">
        <v>200</v>
      </c>
      <c r="CP226" t="s">
        <v>4075</v>
      </c>
      <c r="CQ226" t="s">
        <v>387</v>
      </c>
      <c r="CR226" t="b">
        <v>1</v>
      </c>
      <c r="CS226" t="s">
        <v>4075</v>
      </c>
      <c r="CT226">
        <v>0.0</v>
      </c>
      <c r="CU226">
        <v>3.0</v>
      </c>
      <c r="CV226" t="s">
        <v>4075</v>
      </c>
      <c r="CW226" t="s">
        <v>4075</v>
      </c>
      <c r="CX226" s="4" t="s">
        <v>5237</v>
      </c>
      <c r="CY226" t="s">
        <v>4075</v>
      </c>
      <c r="CZ226" s="5">
        <v>44477.7181712963</v>
      </c>
      <c r="DA226" t="s">
        <v>5238</v>
      </c>
    </row>
    <row r="227">
      <c r="A227" t="s">
        <v>98</v>
      </c>
      <c r="B227" t="s">
        <v>4075</v>
      </c>
      <c r="C227" t="s">
        <v>4075</v>
      </c>
      <c r="D227" t="s">
        <v>5239</v>
      </c>
      <c r="E227" t="s">
        <v>5240</v>
      </c>
      <c r="F227" s="2">
        <v>37853.0</v>
      </c>
      <c r="G227" t="s">
        <v>1466</v>
      </c>
      <c r="H227" t="s">
        <v>4075</v>
      </c>
      <c r="I227" s="3" t="str">
        <f>HYPERLINK("https://api.typeform.com/responses/files/dfa4fbffaf9634514d241833768a45792f387799e5bdd71c08e431db4098ad15/IMG_6458.jpg")</f>
        <v>https://api.typeform.com/responses/files/dfa4fbffaf9634514d241833768a45792f387799e5bdd71c08e431db4098ad15/IMG_6458.jpg</v>
      </c>
      <c r="J227" t="s">
        <v>5241</v>
      </c>
      <c r="K227" t="b">
        <v>1</v>
      </c>
      <c r="L227" s="4" t="s">
        <v>5242</v>
      </c>
      <c r="M227" t="s">
        <v>5243</v>
      </c>
      <c r="N227" t="s">
        <v>255</v>
      </c>
      <c r="O227" t="s">
        <v>5244</v>
      </c>
      <c r="P227" t="s">
        <v>5245</v>
      </c>
      <c r="Q227" t="s">
        <v>563</v>
      </c>
      <c r="R227" t="s">
        <v>5241</v>
      </c>
      <c r="S227" t="s">
        <v>5246</v>
      </c>
      <c r="T227" s="4" t="s">
        <v>5247</v>
      </c>
      <c r="U227" t="s">
        <v>2313</v>
      </c>
      <c r="V227" t="s">
        <v>5248</v>
      </c>
      <c r="W227" t="s">
        <v>2290</v>
      </c>
      <c r="X227" t="s">
        <v>4075</v>
      </c>
      <c r="Y227" t="s">
        <v>158</v>
      </c>
      <c r="Z227" t="s">
        <v>262</v>
      </c>
      <c r="AA227" t="s">
        <v>4075</v>
      </c>
      <c r="AB227" t="s">
        <v>4075</v>
      </c>
      <c r="AC227" s="3" t="str">
        <f>HYPERLINK("https://api.typeform.com/responses/files/6c5cac3e614767d66b56a35012c1cd64049486e5627bef0e3992c62443439883/Screenshot_2021_10_07_at_3.33.15_PM.png")</f>
        <v>https://api.typeform.com/responses/files/6c5cac3e614767d66b56a35012c1cd64049486e5627bef0e3992c62443439883/Screenshot_2021_10_07_at_3.33.15_PM.png</v>
      </c>
      <c r="AD227" t="s">
        <v>118</v>
      </c>
      <c r="AE227" t="s">
        <v>729</v>
      </c>
      <c r="AF227" t="s">
        <v>4450</v>
      </c>
      <c r="AG227">
        <v>2019.0</v>
      </c>
      <c r="AH227" s="4" t="s">
        <v>273</v>
      </c>
      <c r="AI227" t="s">
        <v>386</v>
      </c>
      <c r="AJ227" t="s">
        <v>4075</v>
      </c>
      <c r="AK227" t="s">
        <v>139</v>
      </c>
      <c r="AL227" t="s">
        <v>1043</v>
      </c>
      <c r="AM227" t="s">
        <v>4075</v>
      </c>
      <c r="AN227" t="s">
        <v>4075</v>
      </c>
      <c r="AO227" t="s">
        <v>335</v>
      </c>
      <c r="AP227">
        <v>3.0</v>
      </c>
      <c r="AQ227" t="s">
        <v>4222</v>
      </c>
      <c r="AR227" t="s">
        <v>5249</v>
      </c>
      <c r="AS227" t="b">
        <v>1</v>
      </c>
      <c r="AT227" t="b">
        <v>0</v>
      </c>
      <c r="AU227" t="s">
        <v>4075</v>
      </c>
      <c r="AV227">
        <v>7.0</v>
      </c>
      <c r="AW227" t="b">
        <v>1</v>
      </c>
      <c r="AX227" t="s">
        <v>1902</v>
      </c>
      <c r="AY227" s="4" t="s">
        <v>518</v>
      </c>
      <c r="AZ227" t="b">
        <v>1</v>
      </c>
      <c r="BA227" t="b">
        <v>1</v>
      </c>
      <c r="BB227" t="b">
        <v>1</v>
      </c>
      <c r="BC227" t="s">
        <v>5249</v>
      </c>
      <c r="BD227" t="s">
        <v>4075</v>
      </c>
      <c r="BE227" t="s">
        <v>4075</v>
      </c>
      <c r="BF227" t="s">
        <v>4075</v>
      </c>
      <c r="BG227" t="s">
        <v>4075</v>
      </c>
      <c r="BH227" t="s">
        <v>132</v>
      </c>
      <c r="BI227">
        <v>1.0</v>
      </c>
      <c r="BJ227" t="s">
        <v>5023</v>
      </c>
      <c r="BK227">
        <v>6.0</v>
      </c>
      <c r="BL227">
        <v>3.0</v>
      </c>
      <c r="BM227" t="s">
        <v>5250</v>
      </c>
      <c r="BN227">
        <v>4.0</v>
      </c>
      <c r="BO227">
        <v>5.0</v>
      </c>
      <c r="BP227" t="s">
        <v>5251</v>
      </c>
      <c r="BQ227" t="s">
        <v>5252</v>
      </c>
      <c r="BR227" t="s">
        <v>5253</v>
      </c>
      <c r="BS227" t="s">
        <v>5254</v>
      </c>
      <c r="BT227" t="s">
        <v>4075</v>
      </c>
      <c r="BU227" t="s">
        <v>139</v>
      </c>
      <c r="BV227" s="3" t="str">
        <f>HYPERLINK("https://api.typeform.com/responses/files/9a104c331d26daf3b56460051ac222bd2370560477125cd3e5bee083fcba7759/Screenshot_2021_10_07_at_3.33.15_PM.png")</f>
        <v>https://api.typeform.com/responses/files/9a104c331d26daf3b56460051ac222bd2370560477125cd3e5bee083fcba7759/Screenshot_2021_10_07_at_3.33.15_PM.png</v>
      </c>
      <c r="BW227" t="b">
        <v>1</v>
      </c>
      <c r="BX227" t="s">
        <v>1394</v>
      </c>
      <c r="BY227" t="s">
        <v>140</v>
      </c>
      <c r="BZ227" t="s">
        <v>4075</v>
      </c>
      <c r="CA227" t="s">
        <v>1395</v>
      </c>
      <c r="CB227" t="s">
        <v>4075</v>
      </c>
      <c r="CC227" t="s">
        <v>4075</v>
      </c>
      <c r="CD227">
        <v>0.0</v>
      </c>
      <c r="CE227" t="s">
        <v>4075</v>
      </c>
      <c r="CF227" t="b">
        <v>1</v>
      </c>
      <c r="CG227" t="b">
        <v>1</v>
      </c>
      <c r="CH227" t="s">
        <v>4188</v>
      </c>
      <c r="CI227" t="s">
        <v>4075</v>
      </c>
      <c r="CJ227" t="b">
        <v>1</v>
      </c>
      <c r="CK227" t="b">
        <v>1</v>
      </c>
      <c r="CL227" t="s">
        <v>387</v>
      </c>
      <c r="CM227" t="s">
        <v>387</v>
      </c>
      <c r="CN227" t="s">
        <v>4075</v>
      </c>
      <c r="CO227" t="s">
        <v>3491</v>
      </c>
      <c r="CP227" t="s">
        <v>4075</v>
      </c>
      <c r="CQ227" t="s">
        <v>387</v>
      </c>
      <c r="CR227" t="b">
        <v>1</v>
      </c>
      <c r="CS227" t="s">
        <v>4075</v>
      </c>
      <c r="CT227">
        <v>2.0</v>
      </c>
      <c r="CU227">
        <v>2.0</v>
      </c>
      <c r="CV227" t="s">
        <v>4075</v>
      </c>
      <c r="CW227" t="s">
        <v>4075</v>
      </c>
      <c r="CX227" s="4" t="s">
        <v>5255</v>
      </c>
      <c r="CY227" t="s">
        <v>4075</v>
      </c>
      <c r="CZ227" s="5">
        <v>44477.72096064815</v>
      </c>
      <c r="DA227" t="s">
        <v>5256</v>
      </c>
    </row>
    <row r="228">
      <c r="A228" t="s">
        <v>98</v>
      </c>
      <c r="B228" t="s">
        <v>4075</v>
      </c>
      <c r="C228" t="s">
        <v>4075</v>
      </c>
      <c r="D228" t="s">
        <v>5257</v>
      </c>
      <c r="E228" t="s">
        <v>5258</v>
      </c>
      <c r="F228" s="2">
        <v>38205.0</v>
      </c>
      <c r="G228" t="s">
        <v>1466</v>
      </c>
      <c r="H228" t="s">
        <v>4075</v>
      </c>
      <c r="I228" s="3" t="str">
        <f>HYPERLINK("https://api.typeform.com/responses/files/06b885863facf41e17f00098c4c177e98ceaa6c41aeafddd83e29548ce9e8fdd/917EB9EF_8450_4C91_9FE8_DE84317A5CD0.jpeg")</f>
        <v>https://api.typeform.com/responses/files/06b885863facf41e17f00098c4c177e98ceaa6c41aeafddd83e29548ce9e8fdd/917EB9EF_8450_4C91_9FE8_DE84317A5CD0.jpeg</v>
      </c>
      <c r="J228" t="s">
        <v>5259</v>
      </c>
      <c r="K228" t="b">
        <v>1</v>
      </c>
      <c r="L228" s="4" t="s">
        <v>5260</v>
      </c>
      <c r="M228" t="s">
        <v>5261</v>
      </c>
      <c r="N228" t="s">
        <v>255</v>
      </c>
      <c r="O228" t="s">
        <v>4075</v>
      </c>
      <c r="P228" t="s">
        <v>5262</v>
      </c>
      <c r="Q228" t="s">
        <v>292</v>
      </c>
      <c r="R228" t="s">
        <v>5259</v>
      </c>
      <c r="S228" t="s">
        <v>5261</v>
      </c>
      <c r="T228" s="4" t="s">
        <v>5260</v>
      </c>
      <c r="U228" t="s">
        <v>4963</v>
      </c>
      <c r="V228" t="s">
        <v>5261</v>
      </c>
      <c r="W228" t="s">
        <v>261</v>
      </c>
      <c r="X228" t="s">
        <v>4075</v>
      </c>
      <c r="Y228" t="s">
        <v>158</v>
      </c>
      <c r="Z228" t="s">
        <v>195</v>
      </c>
      <c r="AA228" t="s">
        <v>4075</v>
      </c>
      <c r="AB228" t="s">
        <v>4075</v>
      </c>
      <c r="AC228" s="3" t="str">
        <f>HYPERLINK("https://api.typeform.com/responses/files/bfcc7e6e46ec45286d29ae611a8934fb7757ce52a73f8e9eb84790ea0a1bcec6/D4AB0F02_A2FC_44A4_ADE3_49F9666C57D5.jpeg")</f>
        <v>https://api.typeform.com/responses/files/bfcc7e6e46ec45286d29ae611a8934fb7757ce52a73f8e9eb84790ea0a1bcec6/D4AB0F02_A2FC_44A4_ADE3_49F9666C57D5.jpeg</v>
      </c>
      <c r="AD228" t="s">
        <v>758</v>
      </c>
      <c r="AE228" t="s">
        <v>781</v>
      </c>
      <c r="AF228" t="s">
        <v>5263</v>
      </c>
      <c r="AG228">
        <v>3.0</v>
      </c>
      <c r="AH228" t="s">
        <v>5264</v>
      </c>
      <c r="AI228" t="s">
        <v>205</v>
      </c>
      <c r="AJ228" t="s">
        <v>4075</v>
      </c>
      <c r="AK228" t="s">
        <v>5265</v>
      </c>
      <c r="AL228" t="s">
        <v>165</v>
      </c>
      <c r="AM228" t="s">
        <v>4075</v>
      </c>
      <c r="AN228" t="s">
        <v>4075</v>
      </c>
      <c r="AO228" t="s">
        <v>486</v>
      </c>
      <c r="AP228">
        <v>4.0</v>
      </c>
      <c r="AQ228" t="s">
        <v>4222</v>
      </c>
      <c r="AR228" t="s">
        <v>5266</v>
      </c>
      <c r="AS228" t="b">
        <v>1</v>
      </c>
      <c r="AT228" t="b">
        <v>0</v>
      </c>
      <c r="AU228" t="s">
        <v>4075</v>
      </c>
      <c r="AV228">
        <v>4.0</v>
      </c>
      <c r="AW228" t="b">
        <v>0</v>
      </c>
      <c r="AX228" t="s">
        <v>4075</v>
      </c>
      <c r="AY228" t="s">
        <v>4075</v>
      </c>
      <c r="AZ228" t="b">
        <v>0</v>
      </c>
      <c r="BA228" t="b">
        <v>0</v>
      </c>
      <c r="BB228" t="s">
        <v>4075</v>
      </c>
      <c r="BC228" t="s">
        <v>4075</v>
      </c>
      <c r="BD228" t="s">
        <v>127</v>
      </c>
      <c r="BE228" t="s">
        <v>4075</v>
      </c>
      <c r="BF228" t="s">
        <v>4075</v>
      </c>
      <c r="BG228" t="s">
        <v>4075</v>
      </c>
      <c r="BH228" t="s">
        <v>132</v>
      </c>
      <c r="BI228">
        <v>4.0</v>
      </c>
      <c r="BJ228" t="s">
        <v>5267</v>
      </c>
      <c r="BK228">
        <v>7.0</v>
      </c>
      <c r="BL228">
        <v>5.0</v>
      </c>
      <c r="BM228" t="s">
        <v>5268</v>
      </c>
      <c r="BN228">
        <v>5.0</v>
      </c>
      <c r="BO228">
        <v>7.0</v>
      </c>
      <c r="BP228" t="s">
        <v>5269</v>
      </c>
      <c r="BQ228" t="s">
        <v>1931</v>
      </c>
      <c r="BR228" t="s">
        <v>5270</v>
      </c>
      <c r="BS228" t="s">
        <v>5271</v>
      </c>
      <c r="BT228" t="s">
        <v>4075</v>
      </c>
      <c r="BU228" t="s">
        <v>606</v>
      </c>
      <c r="BV228" s="3" t="str">
        <f>HYPERLINK("https://api.typeform.com/responses/files/af3f6c9cc4580efbeb04d2f372c43f200131930eaf26a7a8d07f281adaf32b8c/D812014A_A09B_415D_8FDD_94CAEE113F02.jpeg")</f>
        <v>https://api.typeform.com/responses/files/af3f6c9cc4580efbeb04d2f372c43f200131930eaf26a7a8d07f281adaf32b8c/D812014A_A09B_415D_8FDD_94CAEE113F02.jpeg</v>
      </c>
      <c r="BW228" t="b">
        <v>1</v>
      </c>
      <c r="BX228" t="s">
        <v>497</v>
      </c>
      <c r="BY228" t="s">
        <v>822</v>
      </c>
      <c r="BZ228" t="s">
        <v>1419</v>
      </c>
      <c r="CA228" t="s">
        <v>4075</v>
      </c>
      <c r="CB228" t="s">
        <v>4075</v>
      </c>
      <c r="CC228" t="s">
        <v>4075</v>
      </c>
      <c r="CD228">
        <v>0.0</v>
      </c>
      <c r="CE228" t="s">
        <v>4075</v>
      </c>
      <c r="CF228" t="b">
        <v>1</v>
      </c>
      <c r="CG228" t="b">
        <v>1</v>
      </c>
      <c r="CH228" t="s">
        <v>1420</v>
      </c>
      <c r="CI228" t="s">
        <v>4075</v>
      </c>
      <c r="CJ228" t="b">
        <v>1</v>
      </c>
      <c r="CK228" t="b">
        <v>1</v>
      </c>
      <c r="CL228" t="s">
        <v>413</v>
      </c>
      <c r="CM228" t="s">
        <v>163</v>
      </c>
      <c r="CN228" t="s">
        <v>4075</v>
      </c>
      <c r="CO228" t="s">
        <v>124</v>
      </c>
      <c r="CP228" t="s">
        <v>4075</v>
      </c>
      <c r="CQ228" t="s">
        <v>163</v>
      </c>
      <c r="CR228" t="b">
        <v>1</v>
      </c>
      <c r="CS228" t="s">
        <v>4075</v>
      </c>
      <c r="CT228">
        <v>9.0</v>
      </c>
      <c r="CU228">
        <v>3.0</v>
      </c>
      <c r="CV228" t="s">
        <v>4075</v>
      </c>
      <c r="CW228" t="s">
        <v>4075</v>
      </c>
      <c r="CX228" t="s">
        <v>5272</v>
      </c>
      <c r="CY228" t="s">
        <v>4075</v>
      </c>
      <c r="CZ228" s="5">
        <v>44477.72163194444</v>
      </c>
      <c r="DA228" t="s">
        <v>5273</v>
      </c>
    </row>
    <row r="229">
      <c r="A229" t="s">
        <v>98</v>
      </c>
      <c r="B229" t="s">
        <v>4075</v>
      </c>
      <c r="C229" t="s">
        <v>4075</v>
      </c>
      <c r="D229" t="s">
        <v>5274</v>
      </c>
      <c r="E229" t="s">
        <v>5275</v>
      </c>
      <c r="F229" s="2">
        <v>38466.0</v>
      </c>
      <c r="G229" t="s">
        <v>1466</v>
      </c>
      <c r="H229" t="s">
        <v>4075</v>
      </c>
      <c r="I229" s="3" t="str">
        <f>HYPERLINK("https://api.typeform.com/responses/files/2373520a8367daa14456c899ee7c8b12eb058aa561415165e80078ec872a2e69/IMG_20211008_125500.jpg")</f>
        <v>https://api.typeform.com/responses/files/2373520a8367daa14456c899ee7c8b12eb058aa561415165e80078ec872a2e69/IMG_20211008_125500.jpg</v>
      </c>
      <c r="J229" t="s">
        <v>5276</v>
      </c>
      <c r="K229" t="b">
        <v>1</v>
      </c>
      <c r="L229" s="4" t="s">
        <v>5277</v>
      </c>
      <c r="M229" t="s">
        <v>5278</v>
      </c>
      <c r="N229" t="s">
        <v>149</v>
      </c>
      <c r="O229" t="s">
        <v>990</v>
      </c>
      <c r="P229" t="s">
        <v>5279</v>
      </c>
      <c r="Q229" t="s">
        <v>189</v>
      </c>
      <c r="R229" t="s">
        <v>5280</v>
      </c>
      <c r="S229" t="s">
        <v>5281</v>
      </c>
      <c r="T229" s="4" t="s">
        <v>5282</v>
      </c>
      <c r="U229" t="s">
        <v>2722</v>
      </c>
      <c r="V229" t="s">
        <v>4664</v>
      </c>
      <c r="W229" t="s">
        <v>2290</v>
      </c>
      <c r="X229" t="s">
        <v>4075</v>
      </c>
      <c r="Y229" t="s">
        <v>158</v>
      </c>
      <c r="Z229" t="s">
        <v>262</v>
      </c>
      <c r="AA229" t="s">
        <v>4075</v>
      </c>
      <c r="AB229" t="s">
        <v>4075</v>
      </c>
      <c r="AC229" s="3" t="str">
        <f>HYPERLINK("https://api.typeform.com/responses/files/7cd068f81bde24624e61fb52602f2b0fe26d9a1d648256d4074a650e88ad6a68/20211008_130443__2_.jpg")</f>
        <v>https://api.typeform.com/responses/files/7cd068f81bde24624e61fb52602f2b0fe26d9a1d648256d4074a650e88ad6a68/20211008_130443__2_.jpg</v>
      </c>
      <c r="AD229" t="s">
        <v>758</v>
      </c>
      <c r="AE229" t="s">
        <v>1780</v>
      </c>
      <c r="AF229" t="s">
        <v>4075</v>
      </c>
      <c r="AG229" t="s">
        <v>4075</v>
      </c>
      <c r="AH229" t="s">
        <v>4075</v>
      </c>
      <c r="AI229" t="s">
        <v>205</v>
      </c>
      <c r="AJ229" t="s">
        <v>4075</v>
      </c>
      <c r="AK229" t="s">
        <v>139</v>
      </c>
      <c r="AL229" t="s">
        <v>1043</v>
      </c>
      <c r="AM229" t="s">
        <v>4075</v>
      </c>
      <c r="AN229" t="s">
        <v>4075</v>
      </c>
      <c r="AO229" t="s">
        <v>335</v>
      </c>
      <c r="AP229">
        <v>4.0</v>
      </c>
      <c r="AQ229" t="s">
        <v>4222</v>
      </c>
      <c r="AR229" t="s">
        <v>5283</v>
      </c>
      <c r="AS229" t="b">
        <v>1</v>
      </c>
      <c r="AT229" t="b">
        <v>1</v>
      </c>
      <c r="AU229" t="s">
        <v>4075</v>
      </c>
      <c r="AV229">
        <v>5.0</v>
      </c>
      <c r="AW229" t="b">
        <v>0</v>
      </c>
      <c r="AX229" t="s">
        <v>4075</v>
      </c>
      <c r="AY229" t="s">
        <v>4075</v>
      </c>
      <c r="AZ229" t="b">
        <v>0</v>
      </c>
      <c r="BA229" t="b">
        <v>1</v>
      </c>
      <c r="BB229" t="b">
        <v>1</v>
      </c>
      <c r="BC229" t="s">
        <v>5284</v>
      </c>
      <c r="BD229" t="s">
        <v>4075</v>
      </c>
      <c r="BE229" t="s">
        <v>4075</v>
      </c>
      <c r="BF229" t="s">
        <v>4075</v>
      </c>
      <c r="BG229" t="s">
        <v>4075</v>
      </c>
      <c r="BH229" t="s">
        <v>132</v>
      </c>
      <c r="BI229">
        <v>4.0</v>
      </c>
      <c r="BJ229" t="s">
        <v>139</v>
      </c>
      <c r="BK229">
        <v>3.0</v>
      </c>
      <c r="BL229">
        <v>2.0</v>
      </c>
      <c r="BM229" t="s">
        <v>139</v>
      </c>
      <c r="BN229">
        <v>3.0</v>
      </c>
      <c r="BO229">
        <v>3.0</v>
      </c>
      <c r="BP229" t="s">
        <v>5285</v>
      </c>
      <c r="BQ229" t="s">
        <v>5286</v>
      </c>
      <c r="BR229" t="s">
        <v>139</v>
      </c>
      <c r="BS229" t="s">
        <v>139</v>
      </c>
      <c r="BT229" t="s">
        <v>4075</v>
      </c>
      <c r="BU229" t="s">
        <v>139</v>
      </c>
      <c r="BV229" s="3" t="str">
        <f>HYPERLINK("https://api.typeform.com/responses/files/1ce4245d53d025f0cfb80c24c4b05a76489e03bc585b993565f10eb78ce632cb/20211008_130523.jpg")</f>
        <v>https://api.typeform.com/responses/files/1ce4245d53d025f0cfb80c24c4b05a76489e03bc585b993565f10eb78ce632cb/20211008_130523.jpg</v>
      </c>
      <c r="BW229" t="b">
        <v>1</v>
      </c>
      <c r="BX229" t="s">
        <v>1394</v>
      </c>
      <c r="BY229" t="s">
        <v>140</v>
      </c>
      <c r="BZ229" t="s">
        <v>4075</v>
      </c>
      <c r="CA229" t="s">
        <v>1395</v>
      </c>
      <c r="CB229" t="s">
        <v>4075</v>
      </c>
      <c r="CC229" t="s">
        <v>4075</v>
      </c>
      <c r="CD229">
        <v>0.0</v>
      </c>
      <c r="CE229" t="s">
        <v>4075</v>
      </c>
      <c r="CF229" t="b">
        <v>0</v>
      </c>
      <c r="CG229" t="b">
        <v>0</v>
      </c>
      <c r="CH229" t="s">
        <v>2553</v>
      </c>
      <c r="CI229" t="s">
        <v>4075</v>
      </c>
      <c r="CJ229" t="b">
        <v>1</v>
      </c>
      <c r="CK229" t="b">
        <v>0</v>
      </c>
      <c r="CL229" t="s">
        <v>2301</v>
      </c>
      <c r="CM229" t="s">
        <v>1489</v>
      </c>
      <c r="CN229" t="s">
        <v>4075</v>
      </c>
      <c r="CO229" t="s">
        <v>2500</v>
      </c>
      <c r="CP229" t="s">
        <v>4075</v>
      </c>
      <c r="CQ229" t="s">
        <v>2301</v>
      </c>
      <c r="CR229" t="b">
        <v>1</v>
      </c>
      <c r="CS229" t="s">
        <v>4075</v>
      </c>
      <c r="CT229">
        <v>1.0</v>
      </c>
      <c r="CU229">
        <v>1.0</v>
      </c>
      <c r="CV229" t="s">
        <v>4075</v>
      </c>
      <c r="CW229" t="s">
        <v>4075</v>
      </c>
      <c r="CX229" t="s">
        <v>1252</v>
      </c>
      <c r="CY229" t="s">
        <v>4075</v>
      </c>
      <c r="CZ229" s="5">
        <v>44477.72184027778</v>
      </c>
      <c r="DA229" t="s">
        <v>5287</v>
      </c>
    </row>
    <row r="230">
      <c r="A230" t="s">
        <v>98</v>
      </c>
      <c r="B230" t="s">
        <v>4075</v>
      </c>
      <c r="C230" t="s">
        <v>4075</v>
      </c>
      <c r="D230" t="s">
        <v>5288</v>
      </c>
      <c r="E230" t="s">
        <v>5289</v>
      </c>
      <c r="F230" s="2">
        <v>38326.0</v>
      </c>
      <c r="G230" t="s">
        <v>1466</v>
      </c>
      <c r="H230" t="s">
        <v>4075</v>
      </c>
      <c r="I230" s="3" t="str">
        <f>HYPERLINK("https://api.typeform.com/responses/files/676f4a0bbec89a0bf535fced57c130974cc9a05926c62db13f3279d66e1b1d9b/IMG_5196.JPG")</f>
        <v>https://api.typeform.com/responses/files/676f4a0bbec89a0bf535fced57c130974cc9a05926c62db13f3279d66e1b1d9b/IMG_5196.JPG</v>
      </c>
      <c r="J230" t="s">
        <v>5290</v>
      </c>
      <c r="K230" t="b">
        <v>1</v>
      </c>
      <c r="L230" s="4" t="s">
        <v>5291</v>
      </c>
      <c r="M230" t="s">
        <v>5292</v>
      </c>
      <c r="N230" t="s">
        <v>354</v>
      </c>
      <c r="O230" t="s">
        <v>4075</v>
      </c>
      <c r="P230" t="s">
        <v>5293</v>
      </c>
      <c r="Q230" t="s">
        <v>292</v>
      </c>
      <c r="R230" t="s">
        <v>5294</v>
      </c>
      <c r="S230" t="s">
        <v>5295</v>
      </c>
      <c r="T230" s="4" t="s">
        <v>5291</v>
      </c>
      <c r="U230" t="s">
        <v>3199</v>
      </c>
      <c r="V230" t="s">
        <v>5296</v>
      </c>
      <c r="W230" t="s">
        <v>2290</v>
      </c>
      <c r="X230" t="s">
        <v>4075</v>
      </c>
      <c r="Y230" t="s">
        <v>158</v>
      </c>
      <c r="Z230" t="s">
        <v>262</v>
      </c>
      <c r="AA230" t="s">
        <v>4075</v>
      </c>
      <c r="AB230" t="s">
        <v>4075</v>
      </c>
      <c r="AC230" s="3" t="str">
        <f>HYPERLINK("https://api.typeform.com/responses/files/8700f8db9fc46e94e01d5e0e381aae5c725cb2e321490d54f80c9ab79d216c65/IMG_5569.PNG")</f>
        <v>https://api.typeform.com/responses/files/8700f8db9fc46e94e01d5e0e381aae5c725cb2e321490d54f80c9ab79d216c65/IMG_5569.PNG</v>
      </c>
      <c r="AD230" t="s">
        <v>118</v>
      </c>
      <c r="AE230" t="s">
        <v>729</v>
      </c>
      <c r="AF230" t="s">
        <v>459</v>
      </c>
      <c r="AG230">
        <v>14.0</v>
      </c>
      <c r="AH230" t="s">
        <v>5297</v>
      </c>
      <c r="AI230" t="s">
        <v>386</v>
      </c>
      <c r="AJ230" t="s">
        <v>4075</v>
      </c>
      <c r="AK230" t="s">
        <v>5298</v>
      </c>
      <c r="AL230" t="s">
        <v>4965</v>
      </c>
      <c r="AM230" t="s">
        <v>4075</v>
      </c>
      <c r="AN230" t="s">
        <v>4075</v>
      </c>
      <c r="AO230" t="s">
        <v>125</v>
      </c>
      <c r="AP230">
        <v>4.0</v>
      </c>
      <c r="AQ230" t="s">
        <v>4222</v>
      </c>
      <c r="AR230" t="s">
        <v>5299</v>
      </c>
      <c r="AS230" t="b">
        <v>1</v>
      </c>
      <c r="AT230" t="b">
        <v>0</v>
      </c>
      <c r="AU230" t="s">
        <v>4075</v>
      </c>
      <c r="AV230">
        <v>4.0</v>
      </c>
      <c r="AW230" t="b">
        <v>0</v>
      </c>
      <c r="AX230" t="s">
        <v>4075</v>
      </c>
      <c r="AY230" t="s">
        <v>4075</v>
      </c>
      <c r="AZ230" t="b">
        <v>0</v>
      </c>
      <c r="BA230" t="b">
        <v>1</v>
      </c>
      <c r="BB230" t="b">
        <v>1</v>
      </c>
      <c r="BC230" t="s">
        <v>5300</v>
      </c>
      <c r="BD230" t="s">
        <v>4075</v>
      </c>
      <c r="BE230" t="s">
        <v>4075</v>
      </c>
      <c r="BF230" t="s">
        <v>4075</v>
      </c>
      <c r="BG230" t="s">
        <v>4075</v>
      </c>
      <c r="BH230" t="s">
        <v>132</v>
      </c>
      <c r="BI230">
        <v>2.0</v>
      </c>
      <c r="BJ230" t="s">
        <v>5301</v>
      </c>
      <c r="BK230">
        <v>1.0</v>
      </c>
      <c r="BL230">
        <v>2.0</v>
      </c>
      <c r="BM230" t="s">
        <v>5302</v>
      </c>
      <c r="BN230">
        <v>3.0</v>
      </c>
      <c r="BO230">
        <v>3.0</v>
      </c>
      <c r="BP230" t="s">
        <v>5303</v>
      </c>
      <c r="BQ230" t="s">
        <v>945</v>
      </c>
      <c r="BR230" t="s">
        <v>5304</v>
      </c>
      <c r="BS230" t="s">
        <v>5305</v>
      </c>
      <c r="BT230" t="s">
        <v>4075</v>
      </c>
      <c r="BU230" t="s">
        <v>5306</v>
      </c>
      <c r="BV230" s="3" t="str">
        <f>HYPERLINK("https://api.typeform.com/responses/files/51440855445a7b8faddcb54f5f4ee1a9f2c0ff9abca93019ff3b275e579676e7/IMG_5583.JPG")</f>
        <v>https://api.typeform.com/responses/files/51440855445a7b8faddcb54f5f4ee1a9f2c0ff9abca93019ff3b275e579676e7/IMG_5583.JPG</v>
      </c>
      <c r="BW230" t="b">
        <v>1</v>
      </c>
      <c r="BX230" t="s">
        <v>1394</v>
      </c>
      <c r="BY230" t="s">
        <v>140</v>
      </c>
      <c r="BZ230" t="s">
        <v>4075</v>
      </c>
      <c r="CA230" t="s">
        <v>1395</v>
      </c>
      <c r="CB230" t="s">
        <v>4075</v>
      </c>
      <c r="CC230" t="s">
        <v>4075</v>
      </c>
      <c r="CD230">
        <v>0.0</v>
      </c>
      <c r="CE230" t="s">
        <v>4075</v>
      </c>
      <c r="CF230" t="b">
        <v>1</v>
      </c>
      <c r="CG230" t="b">
        <v>1</v>
      </c>
      <c r="CH230" t="s">
        <v>168</v>
      </c>
      <c r="CI230" t="s">
        <v>4075</v>
      </c>
      <c r="CJ230" t="b">
        <v>1</v>
      </c>
      <c r="CK230" t="b">
        <v>1</v>
      </c>
      <c r="CL230" t="s">
        <v>636</v>
      </c>
      <c r="CM230" t="s">
        <v>636</v>
      </c>
      <c r="CN230" t="s">
        <v>4075</v>
      </c>
      <c r="CO230" t="s">
        <v>388</v>
      </c>
      <c r="CP230" t="s">
        <v>4075</v>
      </c>
      <c r="CQ230" t="s">
        <v>636</v>
      </c>
      <c r="CR230" t="b">
        <v>1</v>
      </c>
      <c r="CS230" t="s">
        <v>4075</v>
      </c>
      <c r="CT230">
        <v>0.0</v>
      </c>
      <c r="CU230">
        <v>10.0</v>
      </c>
      <c r="CV230" t="s">
        <v>4075</v>
      </c>
      <c r="CW230" t="s">
        <v>4075</v>
      </c>
      <c r="CX230" s="4" t="s">
        <v>5307</v>
      </c>
      <c r="CY230" t="s">
        <v>4075</v>
      </c>
      <c r="CZ230" s="5">
        <v>44477.721921296295</v>
      </c>
      <c r="DA230" t="s">
        <v>5308</v>
      </c>
    </row>
    <row r="231">
      <c r="A231" t="s">
        <v>98</v>
      </c>
      <c r="B231" t="s">
        <v>4075</v>
      </c>
      <c r="C231" t="s">
        <v>4075</v>
      </c>
      <c r="D231" t="s">
        <v>5309</v>
      </c>
      <c r="E231" t="s">
        <v>5310</v>
      </c>
      <c r="F231" s="2">
        <v>37914.0</v>
      </c>
      <c r="G231" t="s">
        <v>1466</v>
      </c>
      <c r="H231" t="s">
        <v>4075</v>
      </c>
      <c r="I231" s="3" t="str">
        <f>HYPERLINK("https://api.typeform.com/responses/files/6f9c8ce8b2bc9043322cb55fb8a3a5f5190741e41ca31da5a6bc7a8252ba7755/20E17ED9_7E9B_4F12_B313_27CC36532BB3.jpeg")</f>
        <v>https://api.typeform.com/responses/files/6f9c8ce8b2bc9043322cb55fb8a3a5f5190741e41ca31da5a6bc7a8252ba7755/20E17ED9_7E9B_4F12_B313_27CC36532BB3.jpeg</v>
      </c>
      <c r="J231" t="s">
        <v>5311</v>
      </c>
      <c r="K231" t="b">
        <v>0</v>
      </c>
      <c r="L231" t="s">
        <v>4075</v>
      </c>
      <c r="M231" t="s">
        <v>5312</v>
      </c>
      <c r="N231" t="s">
        <v>149</v>
      </c>
      <c r="O231" t="s">
        <v>4075</v>
      </c>
      <c r="P231" t="s">
        <v>5313</v>
      </c>
      <c r="Q231" t="s">
        <v>189</v>
      </c>
      <c r="R231" t="s">
        <v>5311</v>
      </c>
      <c r="S231" t="s">
        <v>1593</v>
      </c>
      <c r="T231" s="4" t="s">
        <v>5314</v>
      </c>
      <c r="U231" t="s">
        <v>5315</v>
      </c>
      <c r="V231" t="s">
        <v>4664</v>
      </c>
      <c r="W231" t="s">
        <v>2290</v>
      </c>
      <c r="X231" t="s">
        <v>4075</v>
      </c>
      <c r="Y231" t="s">
        <v>158</v>
      </c>
      <c r="Z231" t="s">
        <v>262</v>
      </c>
      <c r="AA231" t="s">
        <v>4075</v>
      </c>
      <c r="AB231" t="s">
        <v>4075</v>
      </c>
      <c r="AC231" s="3" t="str">
        <f>HYPERLINK("https://api.typeform.com/responses/files/5980dda6f60c34848582c0f550dcdc0aaba3d81b8a925c5ce6767d74abe7bcdb/image.jpg")</f>
        <v>https://api.typeform.com/responses/files/5980dda6f60c34848582c0f550dcdc0aaba3d81b8a925c5ce6767d74abe7bcdb/image.jpg</v>
      </c>
      <c r="AD231" t="s">
        <v>1014</v>
      </c>
      <c r="AE231" t="s">
        <v>729</v>
      </c>
      <c r="AF231" t="s">
        <v>5316</v>
      </c>
      <c r="AG231">
        <v>14.0</v>
      </c>
      <c r="AH231" s="4" t="s">
        <v>520</v>
      </c>
      <c r="AI231" t="s">
        <v>162</v>
      </c>
      <c r="AJ231" t="s">
        <v>4075</v>
      </c>
      <c r="AK231" t="s">
        <v>4075</v>
      </c>
      <c r="AL231" t="s">
        <v>199</v>
      </c>
      <c r="AM231" t="s">
        <v>4075</v>
      </c>
      <c r="AN231" t="s">
        <v>4075</v>
      </c>
      <c r="AO231" t="s">
        <v>335</v>
      </c>
      <c r="AP231">
        <v>7.0</v>
      </c>
      <c r="AQ231" t="s">
        <v>461</v>
      </c>
      <c r="AR231" t="s">
        <v>5317</v>
      </c>
      <c r="AS231" t="b">
        <v>0</v>
      </c>
      <c r="AT231" t="s">
        <v>4075</v>
      </c>
      <c r="AU231" t="s">
        <v>4075</v>
      </c>
      <c r="AV231">
        <v>7.0</v>
      </c>
      <c r="AW231" t="b">
        <v>1</v>
      </c>
      <c r="AX231" s="4" t="s">
        <v>130</v>
      </c>
      <c r="AY231" s="4" t="s">
        <v>518</v>
      </c>
      <c r="AZ231" t="b">
        <v>0</v>
      </c>
      <c r="BA231" t="b">
        <v>0</v>
      </c>
      <c r="BB231" t="s">
        <v>4075</v>
      </c>
      <c r="BC231" t="s">
        <v>4075</v>
      </c>
      <c r="BD231" t="s">
        <v>5318</v>
      </c>
      <c r="BE231" t="s">
        <v>4075</v>
      </c>
      <c r="BF231" t="s">
        <v>4075</v>
      </c>
      <c r="BG231" t="s">
        <v>4075</v>
      </c>
      <c r="BH231" t="s">
        <v>132</v>
      </c>
      <c r="BI231">
        <v>1.0</v>
      </c>
      <c r="BJ231" t="s">
        <v>179</v>
      </c>
      <c r="BK231">
        <v>1.0</v>
      </c>
      <c r="BL231">
        <v>1.0</v>
      </c>
      <c r="BM231" t="s">
        <v>5319</v>
      </c>
      <c r="BN231">
        <v>2.0</v>
      </c>
      <c r="BO231">
        <v>2.0</v>
      </c>
      <c r="BP231" t="s">
        <v>5320</v>
      </c>
      <c r="BQ231" t="s">
        <v>5321</v>
      </c>
      <c r="BR231" t="s">
        <v>5322</v>
      </c>
      <c r="BS231" t="s">
        <v>575</v>
      </c>
      <c r="BT231" t="s">
        <v>4075</v>
      </c>
      <c r="BU231" t="s">
        <v>179</v>
      </c>
      <c r="BV231" s="3" t="str">
        <f>HYPERLINK("https://api.typeform.com/responses/files/eae49693936331b0d134a27b491fdb980ed00d439c2f35fdcd26fadfd4f0aad4/image.jpg")</f>
        <v>https://api.typeform.com/responses/files/eae49693936331b0d134a27b491fdb980ed00d439c2f35fdcd26fadfd4f0aad4/image.jpg</v>
      </c>
      <c r="BW231" t="b">
        <v>1</v>
      </c>
      <c r="BX231" t="s">
        <v>1394</v>
      </c>
      <c r="BY231" t="s">
        <v>140</v>
      </c>
      <c r="BZ231" t="s">
        <v>4075</v>
      </c>
      <c r="CA231" t="s">
        <v>1395</v>
      </c>
      <c r="CB231" t="s">
        <v>4075</v>
      </c>
      <c r="CC231" t="s">
        <v>4075</v>
      </c>
      <c r="CD231">
        <v>0.0</v>
      </c>
      <c r="CE231" t="s">
        <v>4075</v>
      </c>
      <c r="CF231" t="b">
        <v>0</v>
      </c>
      <c r="CG231" t="b">
        <v>0</v>
      </c>
      <c r="CH231" t="s">
        <v>5323</v>
      </c>
      <c r="CI231" t="s">
        <v>4075</v>
      </c>
      <c r="CJ231" t="b">
        <v>0</v>
      </c>
      <c r="CK231" t="b">
        <v>0</v>
      </c>
      <c r="CL231" t="s">
        <v>198</v>
      </c>
      <c r="CM231" t="s">
        <v>4075</v>
      </c>
      <c r="CN231" t="s">
        <v>4075</v>
      </c>
      <c r="CO231" t="s">
        <v>200</v>
      </c>
      <c r="CP231" t="s">
        <v>4075</v>
      </c>
      <c r="CQ231" t="s">
        <v>4075</v>
      </c>
      <c r="CR231" t="b">
        <v>1</v>
      </c>
      <c r="CS231" t="s">
        <v>4075</v>
      </c>
      <c r="CT231">
        <v>0.0</v>
      </c>
      <c r="CU231">
        <v>0.0</v>
      </c>
      <c r="CV231" t="s">
        <v>4075</v>
      </c>
      <c r="CW231" t="s">
        <v>4075</v>
      </c>
      <c r="CX231" s="4" t="s">
        <v>5324</v>
      </c>
      <c r="CY231" t="s">
        <v>4075</v>
      </c>
      <c r="CZ231" s="5">
        <v>44477.72298611111</v>
      </c>
      <c r="DA231" t="s">
        <v>5325</v>
      </c>
    </row>
    <row r="232">
      <c r="A232" t="s">
        <v>98</v>
      </c>
      <c r="B232" t="s">
        <v>4075</v>
      </c>
      <c r="C232" t="s">
        <v>4075</v>
      </c>
      <c r="D232" t="s">
        <v>5326</v>
      </c>
      <c r="E232" t="s">
        <v>5327</v>
      </c>
      <c r="F232" s="2">
        <v>38074.0</v>
      </c>
      <c r="G232" t="s">
        <v>1360</v>
      </c>
      <c r="H232" t="s">
        <v>4075</v>
      </c>
      <c r="I232" s="3" t="str">
        <f>HYPERLINK("https://api.typeform.com/responses/files/91f936a97a5c431c1f026da0595b4d9e73a1d312bce1e349e3c95f05a83b52aa/E1356E75_7A3A_4FCB_882B_7C78D43F0E53.jpeg")</f>
        <v>https://api.typeform.com/responses/files/91f936a97a5c431c1f026da0595b4d9e73a1d312bce1e349e3c95f05a83b52aa/E1356E75_7A3A_4FCB_882B_7C78D43F0E53.jpeg</v>
      </c>
      <c r="J232" t="s">
        <v>5328</v>
      </c>
      <c r="K232" t="b">
        <v>1</v>
      </c>
      <c r="L232" s="4" t="s">
        <v>5329</v>
      </c>
      <c r="M232" t="s">
        <v>5330</v>
      </c>
      <c r="N232" t="s">
        <v>354</v>
      </c>
      <c r="O232" t="s">
        <v>5331</v>
      </c>
      <c r="P232" t="s">
        <v>5332</v>
      </c>
      <c r="Q232" t="s">
        <v>189</v>
      </c>
      <c r="R232" t="s">
        <v>5333</v>
      </c>
      <c r="S232" t="s">
        <v>5334</v>
      </c>
      <c r="T232" s="4" t="s">
        <v>5335</v>
      </c>
      <c r="U232" t="s">
        <v>3028</v>
      </c>
      <c r="V232" t="s">
        <v>2927</v>
      </c>
      <c r="W232" t="s">
        <v>2290</v>
      </c>
      <c r="X232" t="s">
        <v>4075</v>
      </c>
      <c r="Y232" t="s">
        <v>158</v>
      </c>
      <c r="Z232" t="s">
        <v>262</v>
      </c>
      <c r="AA232" t="s">
        <v>4075</v>
      </c>
      <c r="AB232" t="s">
        <v>4075</v>
      </c>
      <c r="AC232" s="3" t="str">
        <f>HYPERLINK("https://api.typeform.com/responses/files/f02ac93031c227f8703d4c4d9f561890d89f3faf14859f04fb2fa56ea1601148/658F4433_6746_4AB2_BF85_A29EAF9CD5B8.png")</f>
        <v>https://api.typeform.com/responses/files/f02ac93031c227f8703d4c4d9f561890d89f3faf14859f04fb2fa56ea1601148/658F4433_6746_4AB2_BF85_A29EAF9CD5B8.png</v>
      </c>
      <c r="AD232" t="s">
        <v>118</v>
      </c>
      <c r="AE232" t="s">
        <v>729</v>
      </c>
      <c r="AF232" t="s">
        <v>2292</v>
      </c>
      <c r="AG232">
        <v>14.0</v>
      </c>
      <c r="AH232" t="s">
        <v>5336</v>
      </c>
      <c r="AI232" t="s">
        <v>386</v>
      </c>
      <c r="AJ232" t="s">
        <v>4075</v>
      </c>
      <c r="AK232" t="s">
        <v>179</v>
      </c>
      <c r="AL232" t="s">
        <v>199</v>
      </c>
      <c r="AM232" t="s">
        <v>4075</v>
      </c>
      <c r="AN232" t="s">
        <v>4075</v>
      </c>
      <c r="AO232" t="s">
        <v>335</v>
      </c>
      <c r="AP232">
        <v>3.0</v>
      </c>
      <c r="AQ232" t="s">
        <v>126</v>
      </c>
      <c r="AR232" t="s">
        <v>5337</v>
      </c>
      <c r="AS232" t="b">
        <v>1</v>
      </c>
      <c r="AT232" t="b">
        <v>0</v>
      </c>
      <c r="AU232" t="s">
        <v>4075</v>
      </c>
      <c r="AV232">
        <v>4.0</v>
      </c>
      <c r="AW232" t="b">
        <v>0</v>
      </c>
      <c r="AX232" t="s">
        <v>4075</v>
      </c>
      <c r="AY232" t="s">
        <v>4075</v>
      </c>
      <c r="AZ232" t="b">
        <v>0</v>
      </c>
      <c r="BA232" t="b">
        <v>0</v>
      </c>
      <c r="BB232" t="s">
        <v>4075</v>
      </c>
      <c r="BC232" t="s">
        <v>4075</v>
      </c>
      <c r="BD232" t="s">
        <v>5337</v>
      </c>
      <c r="BE232" t="s">
        <v>4075</v>
      </c>
      <c r="BF232" t="s">
        <v>4075</v>
      </c>
      <c r="BG232" t="s">
        <v>4075</v>
      </c>
      <c r="BH232" t="s">
        <v>132</v>
      </c>
      <c r="BI232">
        <v>1.0</v>
      </c>
      <c r="BJ232" s="4" t="s">
        <v>130</v>
      </c>
      <c r="BK232">
        <v>1.0</v>
      </c>
      <c r="BL232">
        <v>3.0</v>
      </c>
      <c r="BM232" s="4" t="s">
        <v>273</v>
      </c>
      <c r="BN232">
        <v>2.0</v>
      </c>
      <c r="BO232">
        <v>4.0</v>
      </c>
      <c r="BP232" t="s">
        <v>5338</v>
      </c>
      <c r="BQ232" t="s">
        <v>916</v>
      </c>
      <c r="BR232" t="s">
        <v>5339</v>
      </c>
      <c r="BS232" t="s">
        <v>5340</v>
      </c>
      <c r="BT232" t="s">
        <v>4075</v>
      </c>
      <c r="BU232" t="s">
        <v>179</v>
      </c>
      <c r="BV232" s="3" t="str">
        <f>HYPERLINK("https://api.typeform.com/responses/files/46150c981149ca5be05fe2001b20fb8953397a949cb057514fa55958d177be26/D1938E96_6E46_42E0_BF97_11747296E9F8.png")</f>
        <v>https://api.typeform.com/responses/files/46150c981149ca5be05fe2001b20fb8953397a949cb057514fa55958d177be26/D1938E96_6E46_42E0_BF97_11747296E9F8.png</v>
      </c>
      <c r="BW232" t="b">
        <v>1</v>
      </c>
      <c r="BX232" t="s">
        <v>1394</v>
      </c>
      <c r="BY232" t="s">
        <v>140</v>
      </c>
      <c r="BZ232" t="s">
        <v>4075</v>
      </c>
      <c r="CA232" t="s">
        <v>1395</v>
      </c>
      <c r="CB232" t="s">
        <v>4075</v>
      </c>
      <c r="CC232" t="s">
        <v>4075</v>
      </c>
      <c r="CD232">
        <v>0.0</v>
      </c>
      <c r="CE232" t="s">
        <v>4075</v>
      </c>
      <c r="CF232" t="b">
        <v>0</v>
      </c>
      <c r="CG232" t="b">
        <v>0</v>
      </c>
      <c r="CH232" t="s">
        <v>705</v>
      </c>
      <c r="CI232" t="s">
        <v>4075</v>
      </c>
      <c r="CJ232" t="b">
        <v>0</v>
      </c>
      <c r="CK232" t="b">
        <v>0</v>
      </c>
      <c r="CL232" t="s">
        <v>2301</v>
      </c>
      <c r="CM232" t="s">
        <v>4075</v>
      </c>
      <c r="CN232" t="s">
        <v>4075</v>
      </c>
      <c r="CO232" t="s">
        <v>1635</v>
      </c>
      <c r="CP232" t="s">
        <v>4075</v>
      </c>
      <c r="CQ232" t="s">
        <v>4075</v>
      </c>
      <c r="CR232" t="b">
        <v>1</v>
      </c>
      <c r="CS232" t="s">
        <v>4075</v>
      </c>
      <c r="CT232">
        <v>0.0</v>
      </c>
      <c r="CU232">
        <v>0.0</v>
      </c>
      <c r="CV232" t="s">
        <v>4075</v>
      </c>
      <c r="CW232" t="s">
        <v>4075</v>
      </c>
      <c r="CX232" s="4" t="s">
        <v>520</v>
      </c>
      <c r="CY232" t="s">
        <v>4075</v>
      </c>
      <c r="CZ232" s="5">
        <v>44477.729629629626</v>
      </c>
      <c r="DA232" t="s">
        <v>5341</v>
      </c>
    </row>
    <row r="233">
      <c r="A233" t="s">
        <v>98</v>
      </c>
      <c r="B233" t="s">
        <v>4075</v>
      </c>
      <c r="C233" t="s">
        <v>4075</v>
      </c>
      <c r="D233" t="s">
        <v>5342</v>
      </c>
      <c r="E233" t="s">
        <v>5343</v>
      </c>
      <c r="F233" s="2">
        <v>37601.0</v>
      </c>
      <c r="G233" t="s">
        <v>1466</v>
      </c>
      <c r="H233" t="s">
        <v>4075</v>
      </c>
      <c r="I233" s="3" t="str">
        <f>HYPERLINK("https://api.typeform.com/responses/files/5cf8a89806da31de8d42e18e55fb195c616bdca540c8e4e5f03a4231a006a021/IMG_20211008_125814.jpg")</f>
        <v>https://api.typeform.com/responses/files/5cf8a89806da31de8d42e18e55fb195c616bdca540c8e4e5f03a4231a006a021/IMG_20211008_125814.jpg</v>
      </c>
      <c r="J233" t="s">
        <v>5344</v>
      </c>
      <c r="K233" t="b">
        <v>1</v>
      </c>
      <c r="L233" s="4" t="s">
        <v>5345</v>
      </c>
      <c r="M233" t="s">
        <v>5346</v>
      </c>
      <c r="N233" t="s">
        <v>149</v>
      </c>
      <c r="O233" t="s">
        <v>5347</v>
      </c>
      <c r="P233" t="s">
        <v>5348</v>
      </c>
      <c r="Q233" t="s">
        <v>152</v>
      </c>
      <c r="R233" t="s">
        <v>5344</v>
      </c>
      <c r="S233" t="s">
        <v>5349</v>
      </c>
      <c r="T233" s="4" t="s">
        <v>5345</v>
      </c>
      <c r="U233" t="s">
        <v>5350</v>
      </c>
      <c r="V233" t="s">
        <v>5351</v>
      </c>
      <c r="W233" t="s">
        <v>2290</v>
      </c>
      <c r="X233" t="s">
        <v>4075</v>
      </c>
      <c r="Y233" t="s">
        <v>158</v>
      </c>
      <c r="Z233" t="s">
        <v>262</v>
      </c>
      <c r="AA233" t="s">
        <v>4075</v>
      </c>
      <c r="AB233" t="s">
        <v>4075</v>
      </c>
      <c r="AC233" s="3" t="str">
        <f>HYPERLINK("https://api.typeform.com/responses/files/c86c90e46bc8e1b5dfff4cc330dbe88b0b8a379fec89ee3b063b9a20614d889a/IMG_20211008_131050.jpg")</f>
        <v>https://api.typeform.com/responses/files/c86c90e46bc8e1b5dfff4cc330dbe88b0b8a379fec89ee3b063b9a20614d889a/IMG_20211008_131050.jpg</v>
      </c>
      <c r="AD233" t="s">
        <v>118</v>
      </c>
      <c r="AE233" t="s">
        <v>729</v>
      </c>
      <c r="AF233" t="s">
        <v>5352</v>
      </c>
      <c r="AG233">
        <v>17.0</v>
      </c>
      <c r="AH233" t="s">
        <v>3483</v>
      </c>
      <c r="AI233" t="s">
        <v>162</v>
      </c>
      <c r="AJ233" t="s">
        <v>4075</v>
      </c>
      <c r="AK233" t="s">
        <v>139</v>
      </c>
      <c r="AL233" t="s">
        <v>4965</v>
      </c>
      <c r="AM233" t="s">
        <v>4075</v>
      </c>
      <c r="AN233" t="s">
        <v>4075</v>
      </c>
      <c r="AO233" t="s">
        <v>335</v>
      </c>
      <c r="AP233">
        <v>7.0</v>
      </c>
      <c r="AQ233" t="s">
        <v>303</v>
      </c>
      <c r="AR233" t="s">
        <v>5353</v>
      </c>
      <c r="AS233" t="b">
        <v>1</v>
      </c>
      <c r="AT233" t="b">
        <v>0</v>
      </c>
      <c r="AU233" t="s">
        <v>4075</v>
      </c>
      <c r="AV233">
        <v>7.0</v>
      </c>
      <c r="AW233" t="b">
        <v>0</v>
      </c>
      <c r="AX233" t="s">
        <v>4075</v>
      </c>
      <c r="AY233" t="s">
        <v>4075</v>
      </c>
      <c r="AZ233" t="b">
        <v>0</v>
      </c>
      <c r="BA233" t="b">
        <v>0</v>
      </c>
      <c r="BB233" t="s">
        <v>4075</v>
      </c>
      <c r="BC233" t="s">
        <v>4075</v>
      </c>
      <c r="BD233" t="s">
        <v>5353</v>
      </c>
      <c r="BE233" t="s">
        <v>4075</v>
      </c>
      <c r="BF233" t="s">
        <v>4075</v>
      </c>
      <c r="BG233" t="s">
        <v>4075</v>
      </c>
      <c r="BH233" t="s">
        <v>132</v>
      </c>
      <c r="BI233">
        <v>4.0</v>
      </c>
      <c r="BJ233" t="s">
        <v>5354</v>
      </c>
      <c r="BK233">
        <v>7.0</v>
      </c>
      <c r="BL233">
        <v>7.0</v>
      </c>
      <c r="BM233" t="s">
        <v>5355</v>
      </c>
      <c r="BN233">
        <v>7.0</v>
      </c>
      <c r="BO233">
        <v>7.0</v>
      </c>
      <c r="BP233" t="s">
        <v>5356</v>
      </c>
      <c r="BQ233" t="s">
        <v>1931</v>
      </c>
      <c r="BR233" t="s">
        <v>5357</v>
      </c>
      <c r="BS233" t="s">
        <v>5358</v>
      </c>
      <c r="BT233" t="s">
        <v>4075</v>
      </c>
      <c r="BU233" t="s">
        <v>5359</v>
      </c>
      <c r="BV233" s="3" t="str">
        <f>HYPERLINK("https://api.typeform.com/responses/files/0d4a82deea08ac2c6b32059d90bf560bb74a2910d35bb9dae425d0a45f7c04f4/IMG_20211008_133157.jpg")</f>
        <v>https://api.typeform.com/responses/files/0d4a82deea08ac2c6b32059d90bf560bb74a2910d35bb9dae425d0a45f7c04f4/IMG_20211008_133157.jpg</v>
      </c>
      <c r="BW233" t="b">
        <v>1</v>
      </c>
      <c r="BX233" t="s">
        <v>1394</v>
      </c>
      <c r="BY233" t="s">
        <v>140</v>
      </c>
      <c r="BZ233" t="s">
        <v>4075</v>
      </c>
      <c r="CA233" t="s">
        <v>1395</v>
      </c>
      <c r="CB233" t="s">
        <v>4075</v>
      </c>
      <c r="CC233" t="s">
        <v>4075</v>
      </c>
      <c r="CD233">
        <v>0.0</v>
      </c>
      <c r="CE233" t="s">
        <v>4075</v>
      </c>
      <c r="CF233" t="b">
        <v>1</v>
      </c>
      <c r="CG233" t="b">
        <v>1</v>
      </c>
      <c r="CH233" t="s">
        <v>1935</v>
      </c>
      <c r="CI233" t="s">
        <v>4075</v>
      </c>
      <c r="CJ233" t="b">
        <v>1</v>
      </c>
      <c r="CK233" t="b">
        <v>1</v>
      </c>
      <c r="CL233" t="s">
        <v>362</v>
      </c>
      <c r="CM233" t="s">
        <v>362</v>
      </c>
      <c r="CN233" t="s">
        <v>4075</v>
      </c>
      <c r="CO233" t="s">
        <v>5360</v>
      </c>
      <c r="CP233" t="s">
        <v>4075</v>
      </c>
      <c r="CQ233" t="s">
        <v>362</v>
      </c>
      <c r="CR233" t="b">
        <v>1</v>
      </c>
      <c r="CS233" t="s">
        <v>4075</v>
      </c>
      <c r="CT233">
        <v>3.0</v>
      </c>
      <c r="CU233">
        <v>999999.0</v>
      </c>
      <c r="CV233" t="s">
        <v>4075</v>
      </c>
      <c r="CW233" t="s">
        <v>4075</v>
      </c>
      <c r="CX233" s="4" t="s">
        <v>5361</v>
      </c>
      <c r="CY233" t="s">
        <v>4075</v>
      </c>
      <c r="CZ233" s="5">
        <v>44477.731724537036</v>
      </c>
      <c r="DA233" t="s">
        <v>5362</v>
      </c>
    </row>
    <row r="234">
      <c r="A234" t="s">
        <v>98</v>
      </c>
      <c r="B234" t="s">
        <v>4075</v>
      </c>
      <c r="C234" t="s">
        <v>4075</v>
      </c>
      <c r="D234" t="s">
        <v>5363</v>
      </c>
      <c r="E234" t="s">
        <v>5364</v>
      </c>
      <c r="F234" s="2">
        <v>38436.0</v>
      </c>
      <c r="G234" t="s">
        <v>1466</v>
      </c>
      <c r="H234" t="s">
        <v>4075</v>
      </c>
      <c r="I234" s="3" t="str">
        <f>HYPERLINK("https://api.typeform.com/responses/files/70c6ea2efa5fd875c1150720a32530e0de6161860de8b63fb7591d58b22d16ac/IMG_20211007_150435.jpg")</f>
        <v>https://api.typeform.com/responses/files/70c6ea2efa5fd875c1150720a32530e0de6161860de8b63fb7591d58b22d16ac/IMG_20211007_150435.jpg</v>
      </c>
      <c r="J234" t="s">
        <v>5365</v>
      </c>
      <c r="K234" t="b">
        <v>1</v>
      </c>
      <c r="L234" s="4" t="s">
        <v>5366</v>
      </c>
      <c r="M234" t="s">
        <v>5367</v>
      </c>
      <c r="N234" t="s">
        <v>149</v>
      </c>
      <c r="O234" t="s">
        <v>990</v>
      </c>
      <c r="P234" t="s">
        <v>5368</v>
      </c>
      <c r="Q234" t="s">
        <v>189</v>
      </c>
      <c r="R234" t="s">
        <v>5369</v>
      </c>
      <c r="S234" t="s">
        <v>5370</v>
      </c>
      <c r="T234" s="4" t="s">
        <v>5371</v>
      </c>
      <c r="U234" t="s">
        <v>5372</v>
      </c>
      <c r="V234" t="s">
        <v>5373</v>
      </c>
      <c r="W234" t="s">
        <v>2290</v>
      </c>
      <c r="X234" t="s">
        <v>4075</v>
      </c>
      <c r="Y234" t="s">
        <v>158</v>
      </c>
      <c r="Z234" t="s">
        <v>262</v>
      </c>
      <c r="AA234" t="s">
        <v>4075</v>
      </c>
      <c r="AB234" t="s">
        <v>4075</v>
      </c>
      <c r="AC234" s="3" t="str">
        <f>HYPERLINK("https://api.typeform.com/responses/files/a0fb634a39230e4db2994a2829fdf8c71f5ba3bf22970e45f44cb9b82b502ba8/Screenshot_2021_10_08_12.43.39_PM.png")</f>
        <v>https://api.typeform.com/responses/files/a0fb634a39230e4db2994a2829fdf8c71f5ba3bf22970e45f44cb9b82b502ba8/Screenshot_2021_10_08_12.43.39_PM.png</v>
      </c>
      <c r="AD234" t="s">
        <v>118</v>
      </c>
      <c r="AE234" t="s">
        <v>729</v>
      </c>
      <c r="AF234" t="s">
        <v>4576</v>
      </c>
      <c r="AG234">
        <v>13.0</v>
      </c>
      <c r="AH234" s="4" t="s">
        <v>547</v>
      </c>
      <c r="AI234" t="s">
        <v>386</v>
      </c>
      <c r="AJ234" t="s">
        <v>4075</v>
      </c>
      <c r="AK234" t="s">
        <v>4075</v>
      </c>
      <c r="AL234" t="s">
        <v>1043</v>
      </c>
      <c r="AM234" t="s">
        <v>4075</v>
      </c>
      <c r="AN234" t="s">
        <v>4075</v>
      </c>
      <c r="AO234" t="s">
        <v>1479</v>
      </c>
      <c r="AP234">
        <v>3.0</v>
      </c>
      <c r="AQ234" t="s">
        <v>303</v>
      </c>
      <c r="AR234" t="s">
        <v>5374</v>
      </c>
      <c r="AS234" t="b">
        <v>1</v>
      </c>
      <c r="AT234" t="b">
        <v>1</v>
      </c>
      <c r="AU234" t="s">
        <v>4075</v>
      </c>
      <c r="AV234">
        <v>5.0</v>
      </c>
      <c r="AW234" t="b">
        <v>0</v>
      </c>
      <c r="AX234" t="s">
        <v>4075</v>
      </c>
      <c r="AY234" t="s">
        <v>4075</v>
      </c>
      <c r="AZ234" t="b">
        <v>0</v>
      </c>
      <c r="BA234" t="b">
        <v>1</v>
      </c>
      <c r="BB234" t="b">
        <v>0</v>
      </c>
      <c r="BC234" t="s">
        <v>5375</v>
      </c>
      <c r="BD234" t="s">
        <v>4075</v>
      </c>
      <c r="BE234" t="s">
        <v>4075</v>
      </c>
      <c r="BF234" t="s">
        <v>4075</v>
      </c>
      <c r="BG234" t="s">
        <v>4075</v>
      </c>
      <c r="BH234" t="s">
        <v>132</v>
      </c>
      <c r="BI234">
        <v>6.0</v>
      </c>
      <c r="BJ234" t="s">
        <v>5376</v>
      </c>
      <c r="BK234">
        <v>5.0</v>
      </c>
      <c r="BL234">
        <v>5.0</v>
      </c>
      <c r="BM234" t="s">
        <v>5377</v>
      </c>
      <c r="BN234">
        <v>4.0</v>
      </c>
      <c r="BO234">
        <v>5.0</v>
      </c>
      <c r="BP234" t="s">
        <v>5378</v>
      </c>
      <c r="BQ234" t="s">
        <v>1128</v>
      </c>
      <c r="BR234" t="s">
        <v>5379</v>
      </c>
      <c r="BS234" t="s">
        <v>5380</v>
      </c>
      <c r="BT234" t="s">
        <v>4075</v>
      </c>
      <c r="BU234" t="s">
        <v>5381</v>
      </c>
      <c r="BV234" s="3" t="str">
        <f>HYPERLINK("https://api.typeform.com/responses/files/ab9bb508dc98d506139b22149e559a387ff6ada4e1a12f7b34fa7b8bc2003a0d/Screenshot_2021_10_08_12.43.39_PM.png")</f>
        <v>https://api.typeform.com/responses/files/ab9bb508dc98d506139b22149e559a387ff6ada4e1a12f7b34fa7b8bc2003a0d/Screenshot_2021_10_08_12.43.39_PM.png</v>
      </c>
      <c r="BW234" t="b">
        <v>1</v>
      </c>
      <c r="BX234" t="s">
        <v>1394</v>
      </c>
      <c r="BY234" t="s">
        <v>140</v>
      </c>
      <c r="BZ234" t="s">
        <v>4075</v>
      </c>
      <c r="CA234" t="s">
        <v>1395</v>
      </c>
      <c r="CB234" t="s">
        <v>4075</v>
      </c>
      <c r="CC234" t="s">
        <v>4075</v>
      </c>
      <c r="CD234">
        <v>0.0</v>
      </c>
      <c r="CE234" t="s">
        <v>4075</v>
      </c>
      <c r="CF234" t="b">
        <v>1</v>
      </c>
      <c r="CG234" t="b">
        <v>1</v>
      </c>
      <c r="CH234" t="s">
        <v>2553</v>
      </c>
      <c r="CI234" t="s">
        <v>4075</v>
      </c>
      <c r="CJ234" t="b">
        <v>1</v>
      </c>
      <c r="CK234" t="b">
        <v>1</v>
      </c>
      <c r="CL234" t="s">
        <v>2301</v>
      </c>
      <c r="CM234" t="s">
        <v>4075</v>
      </c>
      <c r="CN234" t="s">
        <v>4075</v>
      </c>
      <c r="CO234" t="s">
        <v>2500</v>
      </c>
      <c r="CP234" t="s">
        <v>4075</v>
      </c>
      <c r="CQ234" t="s">
        <v>4075</v>
      </c>
      <c r="CR234" t="b">
        <v>1</v>
      </c>
      <c r="CS234" t="s">
        <v>4075</v>
      </c>
      <c r="CT234">
        <v>1.0</v>
      </c>
      <c r="CU234">
        <v>1.0</v>
      </c>
      <c r="CV234" t="s">
        <v>4075</v>
      </c>
      <c r="CW234" t="s">
        <v>4075</v>
      </c>
      <c r="CX234" t="s">
        <v>5382</v>
      </c>
      <c r="CY234" t="s">
        <v>4075</v>
      </c>
      <c r="CZ234" s="5">
        <v>44477.76650462963</v>
      </c>
      <c r="DA234" t="s">
        <v>5383</v>
      </c>
    </row>
    <row r="235">
      <c r="A235" t="s">
        <v>98</v>
      </c>
      <c r="B235" t="s">
        <v>4075</v>
      </c>
      <c r="C235" t="s">
        <v>4075</v>
      </c>
      <c r="D235" t="s">
        <v>5384</v>
      </c>
      <c r="E235" t="s">
        <v>5385</v>
      </c>
      <c r="F235" s="2">
        <v>44521.0</v>
      </c>
      <c r="G235" t="s">
        <v>1360</v>
      </c>
      <c r="H235" t="s">
        <v>4075</v>
      </c>
      <c r="I235" s="3" t="str">
        <f>HYPERLINK("https://api.typeform.com/responses/files/060fecf187adbb241b36558ef35e5b385e770d7d43a9c388b3a9ec97bcf6b351/E2392442_D96B_45B0_B3C4_9675C9FCE876.jpeg")</f>
        <v>https://api.typeform.com/responses/files/060fecf187adbb241b36558ef35e5b385e770d7d43a9c388b3a9ec97bcf6b351/E2392442_D96B_45B0_B3C4_9675C9FCE876.jpeg</v>
      </c>
      <c r="J235" t="s">
        <v>5386</v>
      </c>
      <c r="K235" t="b">
        <v>1</v>
      </c>
      <c r="L235" s="4" t="s">
        <v>5387</v>
      </c>
      <c r="M235" t="s">
        <v>5388</v>
      </c>
      <c r="N235" t="s">
        <v>354</v>
      </c>
      <c r="O235" t="s">
        <v>4075</v>
      </c>
      <c r="P235" t="s">
        <v>5389</v>
      </c>
      <c r="Q235" t="s">
        <v>189</v>
      </c>
      <c r="R235" t="s">
        <v>5390</v>
      </c>
      <c r="S235" t="s">
        <v>5388</v>
      </c>
      <c r="T235" s="4" t="s">
        <v>5391</v>
      </c>
      <c r="U235" t="s">
        <v>4963</v>
      </c>
      <c r="V235" t="s">
        <v>4664</v>
      </c>
      <c r="W235" t="s">
        <v>2290</v>
      </c>
      <c r="X235" t="s">
        <v>4075</v>
      </c>
      <c r="Y235" t="s">
        <v>158</v>
      </c>
      <c r="Z235" t="s">
        <v>262</v>
      </c>
      <c r="AA235" t="s">
        <v>4075</v>
      </c>
      <c r="AB235" t="s">
        <v>4075</v>
      </c>
      <c r="AC235" s="3" t="str">
        <f>HYPERLINK("https://api.typeform.com/responses/files/25d48fda58a909655d355da2f67951c4c55eb45e6af0080432bdb5e222aa8105/4CBEBB98_56F4_45DF_821D_17B12AC7C417.png")</f>
        <v>https://api.typeform.com/responses/files/25d48fda58a909655d355da2f67951c4c55eb45e6af0080432bdb5e222aa8105/4CBEBB98_56F4_45DF_821D_17B12AC7C417.png</v>
      </c>
      <c r="AD235" t="s">
        <v>479</v>
      </c>
      <c r="AE235" t="s">
        <v>3349</v>
      </c>
      <c r="AF235" t="s">
        <v>1196</v>
      </c>
      <c r="AG235">
        <v>2019.0</v>
      </c>
      <c r="AH235" t="s">
        <v>4927</v>
      </c>
      <c r="AI235" t="s">
        <v>386</v>
      </c>
      <c r="AJ235" t="s">
        <v>4075</v>
      </c>
      <c r="AK235" t="s">
        <v>5392</v>
      </c>
      <c r="AL235" t="s">
        <v>5393</v>
      </c>
      <c r="AM235" t="s">
        <v>4075</v>
      </c>
      <c r="AN235" t="s">
        <v>4075</v>
      </c>
      <c r="AO235" t="s">
        <v>125</v>
      </c>
      <c r="AP235">
        <v>4.0</v>
      </c>
      <c r="AQ235" t="s">
        <v>1520</v>
      </c>
      <c r="AR235" t="s">
        <v>5394</v>
      </c>
      <c r="AS235" t="b">
        <v>0</v>
      </c>
      <c r="AT235" t="s">
        <v>4075</v>
      </c>
      <c r="AU235" t="s">
        <v>4075</v>
      </c>
      <c r="AV235">
        <v>3.0</v>
      </c>
      <c r="AW235" t="b">
        <v>0</v>
      </c>
      <c r="AX235" t="s">
        <v>4075</v>
      </c>
      <c r="AY235" t="s">
        <v>4075</v>
      </c>
      <c r="AZ235" t="b">
        <v>0</v>
      </c>
      <c r="BA235" t="b">
        <v>0</v>
      </c>
      <c r="BB235" t="s">
        <v>4075</v>
      </c>
      <c r="BC235" t="s">
        <v>4075</v>
      </c>
      <c r="BD235" t="s">
        <v>4825</v>
      </c>
      <c r="BE235" t="s">
        <v>4075</v>
      </c>
      <c r="BF235" t="s">
        <v>4075</v>
      </c>
      <c r="BG235" t="s">
        <v>4075</v>
      </c>
      <c r="BH235" t="s">
        <v>132</v>
      </c>
      <c r="BI235">
        <v>4.0</v>
      </c>
      <c r="BJ235" t="s">
        <v>5395</v>
      </c>
      <c r="BK235">
        <v>5.0</v>
      </c>
      <c r="BL235">
        <v>3.0</v>
      </c>
      <c r="BM235" t="s">
        <v>5396</v>
      </c>
      <c r="BN235">
        <v>1.0</v>
      </c>
      <c r="BO235">
        <v>3.0</v>
      </c>
      <c r="BP235" t="s">
        <v>5397</v>
      </c>
      <c r="BQ235" t="s">
        <v>916</v>
      </c>
      <c r="BR235" t="s">
        <v>575</v>
      </c>
      <c r="BS235" t="s">
        <v>5398</v>
      </c>
      <c r="BT235" t="s">
        <v>4075</v>
      </c>
      <c r="BU235" t="s">
        <v>5399</v>
      </c>
      <c r="BV235" s="3" t="str">
        <f>HYPERLINK("https://api.typeform.com/responses/files/1b97d14a3a45ae6075e752d31e5c5028ec7c85fe78ea4249e4f71b0a2111c8cd/70AB0545_D80D_4A7A_B53F_FC87ABDF9062.jpeg")</f>
        <v>https://api.typeform.com/responses/files/1b97d14a3a45ae6075e752d31e5c5028ec7c85fe78ea4249e4f71b0a2111c8cd/70AB0545_D80D_4A7A_B53F_FC87ABDF9062.jpeg</v>
      </c>
      <c r="BW235" t="b">
        <v>1</v>
      </c>
      <c r="BX235" t="s">
        <v>1394</v>
      </c>
      <c r="BY235" t="s">
        <v>140</v>
      </c>
      <c r="BZ235" t="s">
        <v>4075</v>
      </c>
      <c r="CA235" t="s">
        <v>1395</v>
      </c>
      <c r="CB235" t="s">
        <v>4075</v>
      </c>
      <c r="CC235" t="s">
        <v>4075</v>
      </c>
      <c r="CD235">
        <v>0.0</v>
      </c>
      <c r="CE235" t="s">
        <v>4075</v>
      </c>
      <c r="CF235" t="b">
        <v>1</v>
      </c>
      <c r="CG235" t="b">
        <v>1</v>
      </c>
      <c r="CH235" t="s">
        <v>5400</v>
      </c>
      <c r="CI235" t="s">
        <v>4075</v>
      </c>
      <c r="CJ235" t="b">
        <v>1</v>
      </c>
      <c r="CK235" t="b">
        <v>1</v>
      </c>
      <c r="CL235" t="s">
        <v>163</v>
      </c>
      <c r="CM235" t="s">
        <v>163</v>
      </c>
      <c r="CN235" t="s">
        <v>4075</v>
      </c>
      <c r="CO235" t="s">
        <v>1196</v>
      </c>
      <c r="CP235" t="s">
        <v>4075</v>
      </c>
      <c r="CQ235" t="s">
        <v>4075</v>
      </c>
      <c r="CR235" t="b">
        <v>1</v>
      </c>
      <c r="CS235" t="s">
        <v>4075</v>
      </c>
      <c r="CT235">
        <v>1.0</v>
      </c>
      <c r="CU235">
        <v>9.0</v>
      </c>
      <c r="CV235" t="s">
        <v>4075</v>
      </c>
      <c r="CW235" t="s">
        <v>4075</v>
      </c>
      <c r="CX235" t="s">
        <v>5401</v>
      </c>
      <c r="CY235" t="s">
        <v>4075</v>
      </c>
      <c r="CZ235" s="5">
        <v>44477.77444444445</v>
      </c>
      <c r="DA235" t="s">
        <v>5402</v>
      </c>
    </row>
    <row r="236">
      <c r="A236" t="s">
        <v>98</v>
      </c>
      <c r="B236" t="s">
        <v>4075</v>
      </c>
      <c r="C236" t="s">
        <v>4075</v>
      </c>
      <c r="D236" t="s">
        <v>5403</v>
      </c>
      <c r="E236" t="s">
        <v>4077</v>
      </c>
      <c r="F236" s="2">
        <v>37963.0</v>
      </c>
      <c r="G236" t="s">
        <v>1360</v>
      </c>
      <c r="H236" t="s">
        <v>4075</v>
      </c>
      <c r="I236" s="3" t="str">
        <f>HYPERLINK("e048f4d2d4d2-Screen_Shot_2021_09_22_at_11.55.02_AM.png")</f>
        <v>e048f4d2d4d2-Screen_Shot_2021_09_22_at_11.55.02_AM.png</v>
      </c>
      <c r="J236" t="s">
        <v>5404</v>
      </c>
      <c r="K236" t="b">
        <v>1</v>
      </c>
      <c r="L236" s="4" t="s">
        <v>5405</v>
      </c>
      <c r="M236" t="s">
        <v>5406</v>
      </c>
      <c r="N236" t="s">
        <v>354</v>
      </c>
      <c r="O236" t="s">
        <v>5407</v>
      </c>
      <c r="P236" t="s">
        <v>5408</v>
      </c>
      <c r="Q236" t="s">
        <v>292</v>
      </c>
      <c r="R236" t="s">
        <v>5409</v>
      </c>
      <c r="S236" t="s">
        <v>5406</v>
      </c>
      <c r="T236" s="4" t="s">
        <v>5410</v>
      </c>
      <c r="U236" t="s">
        <v>933</v>
      </c>
      <c r="V236" t="s">
        <v>4303</v>
      </c>
      <c r="W236" t="s">
        <v>113</v>
      </c>
      <c r="X236" t="s">
        <v>4075</v>
      </c>
      <c r="Y236" t="s">
        <v>158</v>
      </c>
      <c r="Z236" t="s">
        <v>159</v>
      </c>
      <c r="AA236" t="s">
        <v>4075</v>
      </c>
      <c r="AB236" t="s">
        <v>4075</v>
      </c>
      <c r="AC236" s="3" t="str">
        <f>HYPERLINK("https://api.typeform.com/responses/files/bc9c248bfbb15fb4ea0b764374598d9c60a4ee81cb7392a9cc3b57034fe18d64/Screen_Shot_2021_10_08_at_3.35.31_PM.png")</f>
        <v>https://api.typeform.com/responses/files/bc9c248bfbb15fb4ea0b764374598d9c60a4ee81cb7392a9cc3b57034fe18d64/Screen_Shot_2021_10_08_at_3.35.31_PM.png</v>
      </c>
      <c r="AD236" t="s">
        <v>118</v>
      </c>
      <c r="AE236" t="s">
        <v>729</v>
      </c>
      <c r="AF236" t="s">
        <v>197</v>
      </c>
      <c r="AG236">
        <v>15.0</v>
      </c>
      <c r="AH236" s="4" t="s">
        <v>273</v>
      </c>
      <c r="AI236" t="s">
        <v>162</v>
      </c>
      <c r="AJ236" t="s">
        <v>4075</v>
      </c>
      <c r="AK236" t="s">
        <v>4241</v>
      </c>
      <c r="AL236" t="s">
        <v>1043</v>
      </c>
      <c r="AM236" t="s">
        <v>4075</v>
      </c>
      <c r="AN236" t="s">
        <v>4075</v>
      </c>
      <c r="AO236" t="s">
        <v>335</v>
      </c>
      <c r="AP236">
        <v>1.0</v>
      </c>
      <c r="AQ236" t="s">
        <v>1070</v>
      </c>
      <c r="AR236" t="s">
        <v>5411</v>
      </c>
      <c r="AS236" t="b">
        <v>1</v>
      </c>
      <c r="AT236" t="b">
        <v>1</v>
      </c>
      <c r="AU236" t="s">
        <v>4075</v>
      </c>
      <c r="AV236">
        <v>7.0</v>
      </c>
      <c r="AW236" t="b">
        <v>0</v>
      </c>
      <c r="AX236" t="s">
        <v>4075</v>
      </c>
      <c r="AY236" t="s">
        <v>4075</v>
      </c>
      <c r="AZ236" t="b">
        <v>0</v>
      </c>
      <c r="BA236" t="b">
        <v>0</v>
      </c>
      <c r="BB236" t="s">
        <v>4075</v>
      </c>
      <c r="BC236" t="s">
        <v>4075</v>
      </c>
      <c r="BD236" t="s">
        <v>5411</v>
      </c>
      <c r="BE236" t="s">
        <v>4075</v>
      </c>
      <c r="BF236" t="s">
        <v>4075</v>
      </c>
      <c r="BG236" t="s">
        <v>4075</v>
      </c>
      <c r="BH236" t="s">
        <v>132</v>
      </c>
      <c r="BI236">
        <v>1.0</v>
      </c>
      <c r="BJ236" t="s">
        <v>5412</v>
      </c>
      <c r="BK236">
        <v>5.0</v>
      </c>
      <c r="BL236">
        <v>7.0</v>
      </c>
      <c r="BM236" t="s">
        <v>5413</v>
      </c>
      <c r="BN236">
        <v>4.0</v>
      </c>
      <c r="BO236">
        <v>7.0</v>
      </c>
      <c r="BP236" t="s">
        <v>5414</v>
      </c>
      <c r="BQ236" t="s">
        <v>1050</v>
      </c>
      <c r="BR236" t="s">
        <v>5415</v>
      </c>
      <c r="BS236" t="s">
        <v>5416</v>
      </c>
      <c r="BT236" t="s">
        <v>4075</v>
      </c>
      <c r="BU236" t="s">
        <v>5417</v>
      </c>
      <c r="BV236" s="3" t="str">
        <f>HYPERLINK("https://api.typeform.com/responses/files/22a15d16322e73b005fe2590e05c5cf09262633758c165069e8e02c742d0ff5d/Screen_Shot_2021_10_08_at_3.35.17_PM.png")</f>
        <v>https://api.typeform.com/responses/files/22a15d16322e73b005fe2590e05c5cf09262633758c165069e8e02c742d0ff5d/Screen_Shot_2021_10_08_at_3.35.17_PM.png</v>
      </c>
      <c r="BW236" t="b">
        <v>1</v>
      </c>
      <c r="BX236" t="s">
        <v>1394</v>
      </c>
      <c r="BY236" t="s">
        <v>140</v>
      </c>
      <c r="BZ236" t="s">
        <v>4075</v>
      </c>
      <c r="CA236" t="s">
        <v>1395</v>
      </c>
      <c r="CB236" t="s">
        <v>4075</v>
      </c>
      <c r="CC236" t="s">
        <v>4075</v>
      </c>
      <c r="CD236">
        <v>0.0</v>
      </c>
      <c r="CE236" t="s">
        <v>4075</v>
      </c>
      <c r="CF236" t="b">
        <v>1</v>
      </c>
      <c r="CG236" t="b">
        <v>1</v>
      </c>
      <c r="CH236" t="s">
        <v>168</v>
      </c>
      <c r="CI236" t="s">
        <v>4075</v>
      </c>
      <c r="CJ236" t="b">
        <v>1</v>
      </c>
      <c r="CK236" t="b">
        <v>1</v>
      </c>
      <c r="CL236" t="s">
        <v>198</v>
      </c>
      <c r="CM236" t="s">
        <v>4075</v>
      </c>
      <c r="CN236" t="s">
        <v>4075</v>
      </c>
      <c r="CO236" t="s">
        <v>1635</v>
      </c>
      <c r="CP236" t="s">
        <v>4075</v>
      </c>
      <c r="CQ236" t="s">
        <v>4075</v>
      </c>
      <c r="CR236" t="b">
        <v>1</v>
      </c>
      <c r="CS236" t="s">
        <v>4075</v>
      </c>
      <c r="CT236">
        <v>0.0</v>
      </c>
      <c r="CU236">
        <v>4.0</v>
      </c>
      <c r="CV236" t="s">
        <v>4075</v>
      </c>
      <c r="CW236" t="s">
        <v>4075</v>
      </c>
      <c r="CX236" s="4" t="s">
        <v>172</v>
      </c>
      <c r="CY236" t="s">
        <v>4075</v>
      </c>
      <c r="CZ236" s="5">
        <v>44477.82105324074</v>
      </c>
      <c r="DA236" t="s">
        <v>5418</v>
      </c>
    </row>
    <row r="237">
      <c r="A237" t="s">
        <v>98</v>
      </c>
      <c r="B237" t="s">
        <v>4075</v>
      </c>
      <c r="C237" t="s">
        <v>4075</v>
      </c>
      <c r="D237" t="s">
        <v>5419</v>
      </c>
      <c r="E237" t="s">
        <v>5420</v>
      </c>
      <c r="F237" s="2">
        <v>38631.0</v>
      </c>
      <c r="G237" t="s">
        <v>1466</v>
      </c>
      <c r="H237" t="s">
        <v>4075</v>
      </c>
      <c r="I237" s="3" t="str">
        <f>HYPERLINK("https://api.typeform.com/responses/files/55a96357d577d3751c7f3cca94201d43d87fcaab3c99a468043c4a8dfcd6e724/A7A58613_85C2_4637_9AFE_2FFED77A89CD.jpeg")</f>
        <v>https://api.typeform.com/responses/files/55a96357d577d3751c7f3cca94201d43d87fcaab3c99a468043c4a8dfcd6e724/A7A58613_85C2_4637_9AFE_2FFED77A89CD.jpeg</v>
      </c>
      <c r="J237" t="s">
        <v>5421</v>
      </c>
      <c r="K237" t="b">
        <v>1</v>
      </c>
      <c r="L237" s="4" t="s">
        <v>5422</v>
      </c>
      <c r="M237" t="s">
        <v>5423</v>
      </c>
      <c r="N237" t="s">
        <v>149</v>
      </c>
      <c r="O237" t="s">
        <v>4075</v>
      </c>
      <c r="P237" t="s">
        <v>5424</v>
      </c>
      <c r="Q237" t="s">
        <v>152</v>
      </c>
      <c r="R237" t="s">
        <v>5425</v>
      </c>
      <c r="S237" t="s">
        <v>5426</v>
      </c>
      <c r="T237" s="4" t="s">
        <v>5427</v>
      </c>
      <c r="U237" t="s">
        <v>2313</v>
      </c>
      <c r="V237" t="s">
        <v>5428</v>
      </c>
      <c r="W237" t="s">
        <v>2290</v>
      </c>
      <c r="X237" t="s">
        <v>4075</v>
      </c>
      <c r="Y237" t="s">
        <v>158</v>
      </c>
      <c r="Z237" t="s">
        <v>262</v>
      </c>
      <c r="AA237" t="s">
        <v>4075</v>
      </c>
      <c r="AB237" t="s">
        <v>4075</v>
      </c>
      <c r="AC237" s="3" t="str">
        <f>HYPERLINK("https://api.typeform.com/responses/files/6a992da7a8fa9b43d6325c768e324bc1c49e734e2403c23c97a5b73f8398aad6/F6269E26_B0A9_4CE9_B572_8545676CC1FE.jpeg")</f>
        <v>https://api.typeform.com/responses/files/6a992da7a8fa9b43d6325c768e324bc1c49e734e2403c23c97a5b73f8398aad6/F6269E26_B0A9_4CE9_B572_8545676CC1FE.jpeg</v>
      </c>
      <c r="AD237" t="s">
        <v>118</v>
      </c>
      <c r="AE237" t="s">
        <v>729</v>
      </c>
      <c r="AF237" t="s">
        <v>459</v>
      </c>
      <c r="AG237">
        <v>14.0</v>
      </c>
      <c r="AH237" t="s">
        <v>5429</v>
      </c>
      <c r="AI237" t="s">
        <v>162</v>
      </c>
      <c r="AJ237" t="s">
        <v>4075</v>
      </c>
      <c r="AK237" t="s">
        <v>4075</v>
      </c>
      <c r="AL237" t="s">
        <v>1429</v>
      </c>
      <c r="AM237" t="s">
        <v>4075</v>
      </c>
      <c r="AN237" t="s">
        <v>4075</v>
      </c>
      <c r="AO237" t="s">
        <v>486</v>
      </c>
      <c r="AP237">
        <v>4.0</v>
      </c>
      <c r="AQ237" t="s">
        <v>1520</v>
      </c>
      <c r="AR237" t="s">
        <v>5430</v>
      </c>
      <c r="AS237" t="b">
        <v>1</v>
      </c>
      <c r="AT237" t="b">
        <v>1</v>
      </c>
      <c r="AU237" t="s">
        <v>4075</v>
      </c>
      <c r="AV237">
        <v>5.0</v>
      </c>
      <c r="AW237" t="b">
        <v>0</v>
      </c>
      <c r="AX237" t="s">
        <v>4075</v>
      </c>
      <c r="AY237" t="s">
        <v>4075</v>
      </c>
      <c r="AZ237" t="b">
        <v>0</v>
      </c>
      <c r="BA237" t="b">
        <v>1</v>
      </c>
      <c r="BB237" t="b">
        <v>0</v>
      </c>
      <c r="BC237" t="s">
        <v>5431</v>
      </c>
      <c r="BD237" t="s">
        <v>4075</v>
      </c>
      <c r="BE237" t="s">
        <v>4075</v>
      </c>
      <c r="BF237" t="s">
        <v>4075</v>
      </c>
      <c r="BG237" t="s">
        <v>4075</v>
      </c>
      <c r="BH237" t="s">
        <v>132</v>
      </c>
      <c r="BI237">
        <v>5.0</v>
      </c>
      <c r="BJ237" t="s">
        <v>5432</v>
      </c>
      <c r="BK237">
        <v>5.0</v>
      </c>
      <c r="BL237">
        <v>5.0</v>
      </c>
      <c r="BM237" t="s">
        <v>5433</v>
      </c>
      <c r="BN237">
        <v>4.0</v>
      </c>
      <c r="BO237">
        <v>4.0</v>
      </c>
      <c r="BP237" t="s">
        <v>5434</v>
      </c>
      <c r="BQ237" t="s">
        <v>945</v>
      </c>
      <c r="BR237" t="s">
        <v>5435</v>
      </c>
      <c r="BS237" t="s">
        <v>5436</v>
      </c>
      <c r="BT237" t="s">
        <v>4075</v>
      </c>
      <c r="BU237" t="s">
        <v>5437</v>
      </c>
      <c r="BV237" s="3" t="str">
        <f>HYPERLINK("https://api.typeform.com/responses/files/3fef4bfdce6e96a0f25dde96286a908973efdcdf5e1dfd64fb989536f7dd017e/A529254A_7BC4_432E_A4E4_A0DFD3EEB8A6.jpeg")</f>
        <v>https://api.typeform.com/responses/files/3fef4bfdce6e96a0f25dde96286a908973efdcdf5e1dfd64fb989536f7dd017e/A529254A_7BC4_432E_A4E4_A0DFD3EEB8A6.jpeg</v>
      </c>
      <c r="BW237" t="b">
        <v>1</v>
      </c>
      <c r="BX237" t="s">
        <v>1394</v>
      </c>
      <c r="BY237" t="s">
        <v>140</v>
      </c>
      <c r="BZ237" t="s">
        <v>4075</v>
      </c>
      <c r="CA237" t="s">
        <v>1395</v>
      </c>
      <c r="CB237" t="s">
        <v>4075</v>
      </c>
      <c r="CC237" t="s">
        <v>4075</v>
      </c>
      <c r="CD237">
        <v>0.0</v>
      </c>
      <c r="CE237" t="s">
        <v>4075</v>
      </c>
      <c r="CF237" t="b">
        <v>0</v>
      </c>
      <c r="CG237" t="b">
        <v>0</v>
      </c>
      <c r="CH237" t="s">
        <v>5438</v>
      </c>
      <c r="CI237" t="s">
        <v>4075</v>
      </c>
      <c r="CJ237" t="b">
        <v>1</v>
      </c>
      <c r="CK237" t="b">
        <v>1</v>
      </c>
      <c r="CL237" t="s">
        <v>362</v>
      </c>
      <c r="CM237" t="s">
        <v>4075</v>
      </c>
      <c r="CN237" t="s">
        <v>4075</v>
      </c>
      <c r="CO237" t="s">
        <v>388</v>
      </c>
      <c r="CP237" t="s">
        <v>4075</v>
      </c>
      <c r="CQ237" t="s">
        <v>4075</v>
      </c>
      <c r="CR237" t="b">
        <v>1</v>
      </c>
      <c r="CS237" t="s">
        <v>4075</v>
      </c>
      <c r="CT237">
        <v>0.0</v>
      </c>
      <c r="CU237">
        <v>2.0</v>
      </c>
      <c r="CV237" t="s">
        <v>4075</v>
      </c>
      <c r="CW237" t="s">
        <v>4075</v>
      </c>
      <c r="CX237" s="4" t="s">
        <v>5439</v>
      </c>
      <c r="CY237" t="s">
        <v>4075</v>
      </c>
      <c r="CZ237" s="5">
        <v>44477.823645833334</v>
      </c>
      <c r="DA237" t="s">
        <v>5440</v>
      </c>
    </row>
    <row r="238">
      <c r="A238" t="s">
        <v>98</v>
      </c>
      <c r="B238" t="s">
        <v>4075</v>
      </c>
      <c r="C238" t="s">
        <v>4075</v>
      </c>
      <c r="D238" t="s">
        <v>5441</v>
      </c>
      <c r="E238" t="s">
        <v>5442</v>
      </c>
      <c r="F238" s="2">
        <v>38493.0</v>
      </c>
      <c r="G238" t="s">
        <v>1360</v>
      </c>
      <c r="H238" t="s">
        <v>4075</v>
      </c>
      <c r="I238" s="3" t="str">
        <f>HYPERLINK("https://api.typeform.com/responses/files/850be5b27d36b690698c03c1767fa3b5d32be3e4afe49ca5fcae6a25eea5835e/F96429FF_FABD_4344_8B34_BABA199EED3F.jpeg")</f>
        <v>https://api.typeform.com/responses/files/850be5b27d36b690698c03c1767fa3b5d32be3e4afe49ca5fcae6a25eea5835e/F96429FF_FABD_4344_8B34_BABA199EED3F.jpeg</v>
      </c>
      <c r="J238" t="s">
        <v>5443</v>
      </c>
      <c r="K238" t="b">
        <v>1</v>
      </c>
      <c r="L238" s="4" t="s">
        <v>5444</v>
      </c>
      <c r="M238" t="s">
        <v>5445</v>
      </c>
      <c r="N238" t="s">
        <v>255</v>
      </c>
      <c r="O238" t="s">
        <v>5446</v>
      </c>
      <c r="P238" t="s">
        <v>5447</v>
      </c>
      <c r="Q238" t="s">
        <v>189</v>
      </c>
      <c r="R238" t="s">
        <v>5448</v>
      </c>
      <c r="S238" t="s">
        <v>5445</v>
      </c>
      <c r="T238" s="4" t="s">
        <v>5449</v>
      </c>
      <c r="U238" t="s">
        <v>3028</v>
      </c>
      <c r="V238" t="s">
        <v>5450</v>
      </c>
      <c r="W238" t="s">
        <v>261</v>
      </c>
      <c r="X238" t="s">
        <v>4075</v>
      </c>
      <c r="Y238" t="s">
        <v>158</v>
      </c>
      <c r="Z238" t="s">
        <v>262</v>
      </c>
      <c r="AA238" t="s">
        <v>4075</v>
      </c>
      <c r="AB238" t="s">
        <v>4075</v>
      </c>
      <c r="AC238" s="3" t="str">
        <f>HYPERLINK("https://api.typeform.com/responses/files/bf67d5d67247308505d59655b8f94c7b936f90119e253984dded3b2bf633454a/image.jpg")</f>
        <v>https://api.typeform.com/responses/files/bf67d5d67247308505d59655b8f94c7b936f90119e253984dded3b2bf633454a/image.jpg</v>
      </c>
      <c r="AD238" t="s">
        <v>118</v>
      </c>
      <c r="AE238" t="s">
        <v>729</v>
      </c>
      <c r="AF238" t="s">
        <v>459</v>
      </c>
      <c r="AG238">
        <v>14.0</v>
      </c>
      <c r="AH238" s="4" t="s">
        <v>734</v>
      </c>
      <c r="AI238" t="s">
        <v>205</v>
      </c>
      <c r="AJ238" t="s">
        <v>4075</v>
      </c>
      <c r="AK238" t="s">
        <v>179</v>
      </c>
      <c r="AL238" t="s">
        <v>460</v>
      </c>
      <c r="AM238" t="s">
        <v>4075</v>
      </c>
      <c r="AN238" t="s">
        <v>4075</v>
      </c>
      <c r="AO238" t="s">
        <v>125</v>
      </c>
      <c r="AP238">
        <v>4.0</v>
      </c>
      <c r="AQ238" t="s">
        <v>461</v>
      </c>
      <c r="AR238" t="s">
        <v>461</v>
      </c>
      <c r="AS238" t="b">
        <v>1</v>
      </c>
      <c r="AT238" t="b">
        <v>0</v>
      </c>
      <c r="AU238" t="s">
        <v>4075</v>
      </c>
      <c r="AV238">
        <v>4.0</v>
      </c>
      <c r="AW238" t="b">
        <v>0</v>
      </c>
      <c r="AX238" t="s">
        <v>4075</v>
      </c>
      <c r="AY238" t="s">
        <v>4075</v>
      </c>
      <c r="AZ238" t="b">
        <v>1</v>
      </c>
      <c r="BA238" t="b">
        <v>1</v>
      </c>
      <c r="BB238" t="b">
        <v>0</v>
      </c>
      <c r="BC238" t="s">
        <v>5451</v>
      </c>
      <c r="BD238" t="s">
        <v>4075</v>
      </c>
      <c r="BE238" t="s">
        <v>4075</v>
      </c>
      <c r="BF238" t="s">
        <v>4075</v>
      </c>
      <c r="BG238" t="s">
        <v>4075</v>
      </c>
      <c r="BH238" t="s">
        <v>132</v>
      </c>
      <c r="BI238">
        <v>4.0</v>
      </c>
      <c r="BJ238" t="s">
        <v>5452</v>
      </c>
      <c r="BK238">
        <v>3.0</v>
      </c>
      <c r="BL238">
        <v>4.0</v>
      </c>
      <c r="BM238" t="s">
        <v>5453</v>
      </c>
      <c r="BN238">
        <v>3.0</v>
      </c>
      <c r="BO238">
        <v>4.0</v>
      </c>
      <c r="BP238" t="s">
        <v>5454</v>
      </c>
      <c r="BQ238" t="s">
        <v>5455</v>
      </c>
      <c r="BR238" t="s">
        <v>5456</v>
      </c>
      <c r="BS238" t="s">
        <v>5457</v>
      </c>
      <c r="BT238" t="s">
        <v>4075</v>
      </c>
      <c r="BU238" t="s">
        <v>528</v>
      </c>
      <c r="BV238" s="3" t="str">
        <f>HYPERLINK("https://api.typeform.com/responses/files/f602af1806ab8b8eba4ab0c5b140d9a81d08ac7e21d6c4d5260482b60899242d/image.jpg")</f>
        <v>https://api.typeform.com/responses/files/f602af1806ab8b8eba4ab0c5b140d9a81d08ac7e21d6c4d5260482b60899242d/image.jpg</v>
      </c>
      <c r="BW238" t="b">
        <v>1</v>
      </c>
      <c r="BX238" t="s">
        <v>1394</v>
      </c>
      <c r="BY238" t="s">
        <v>140</v>
      </c>
      <c r="BZ238" t="s">
        <v>4075</v>
      </c>
      <c r="CA238" t="s">
        <v>1395</v>
      </c>
      <c r="CB238" t="s">
        <v>4075</v>
      </c>
      <c r="CC238" t="s">
        <v>4075</v>
      </c>
      <c r="CD238">
        <v>0.0</v>
      </c>
      <c r="CE238" t="s">
        <v>4075</v>
      </c>
      <c r="CF238" t="b">
        <v>1</v>
      </c>
      <c r="CG238" t="b">
        <v>1</v>
      </c>
      <c r="CH238" t="s">
        <v>168</v>
      </c>
      <c r="CI238" t="s">
        <v>4075</v>
      </c>
      <c r="CJ238" t="b">
        <v>1</v>
      </c>
      <c r="CK238" t="b">
        <v>1</v>
      </c>
      <c r="CL238" t="s">
        <v>362</v>
      </c>
      <c r="CM238" t="s">
        <v>4075</v>
      </c>
      <c r="CN238" t="s">
        <v>4075</v>
      </c>
      <c r="CO238" t="s">
        <v>1688</v>
      </c>
      <c r="CP238" t="s">
        <v>4075</v>
      </c>
      <c r="CQ238" t="s">
        <v>4075</v>
      </c>
      <c r="CR238" t="b">
        <v>1</v>
      </c>
      <c r="CS238" t="s">
        <v>4075</v>
      </c>
      <c r="CT238">
        <v>2.0</v>
      </c>
      <c r="CU238">
        <v>0.0</v>
      </c>
      <c r="CV238" t="s">
        <v>4075</v>
      </c>
      <c r="CW238" t="s">
        <v>4075</v>
      </c>
      <c r="CX238" s="4" t="s">
        <v>5458</v>
      </c>
      <c r="CY238" t="s">
        <v>4075</v>
      </c>
      <c r="CZ238" s="5">
        <v>44478.02748842593</v>
      </c>
      <c r="DA238" t="s">
        <v>5459</v>
      </c>
    </row>
    <row r="239">
      <c r="A239" t="s">
        <v>98</v>
      </c>
      <c r="B239" t="s">
        <v>4075</v>
      </c>
      <c r="C239" t="s">
        <v>4075</v>
      </c>
      <c r="D239" t="s">
        <v>5460</v>
      </c>
      <c r="E239" t="s">
        <v>5461</v>
      </c>
      <c r="F239" s="2">
        <v>38052.0</v>
      </c>
      <c r="G239" t="s">
        <v>1360</v>
      </c>
      <c r="H239" t="s">
        <v>4075</v>
      </c>
      <c r="I239" s="3" t="str">
        <f>HYPERLINK("https://api.typeform.com/responses/files/1ff0d67482783bc271286089f4f2481ee0700598ef377fe8c1ac606e2a65d6b4/13E01E98_100F_43F4_84CE_4E72742D3176__1_.JPG")</f>
        <v>https://api.typeform.com/responses/files/1ff0d67482783bc271286089f4f2481ee0700598ef377fe8c1ac606e2a65d6b4/13E01E98_100F_43F4_84CE_4E72742D3176__1_.JPG</v>
      </c>
      <c r="J239" t="s">
        <v>5462</v>
      </c>
      <c r="K239" t="b">
        <v>1</v>
      </c>
      <c r="L239" s="4" t="s">
        <v>5463</v>
      </c>
      <c r="M239" t="s">
        <v>5464</v>
      </c>
      <c r="N239" t="s">
        <v>149</v>
      </c>
      <c r="O239" t="s">
        <v>4315</v>
      </c>
      <c r="P239" t="s">
        <v>5465</v>
      </c>
      <c r="Q239" t="s">
        <v>189</v>
      </c>
      <c r="R239" t="s">
        <v>5462</v>
      </c>
      <c r="S239" t="s">
        <v>5466</v>
      </c>
      <c r="T239" s="4" t="s">
        <v>5467</v>
      </c>
      <c r="U239" t="s">
        <v>5468</v>
      </c>
      <c r="V239" t="s">
        <v>4664</v>
      </c>
      <c r="W239" t="s">
        <v>261</v>
      </c>
      <c r="X239" t="s">
        <v>4075</v>
      </c>
      <c r="Y239" t="s">
        <v>158</v>
      </c>
      <c r="Z239" t="s">
        <v>262</v>
      </c>
      <c r="AA239" t="s">
        <v>4075</v>
      </c>
      <c r="AB239" t="s">
        <v>4075</v>
      </c>
      <c r="AC239" s="3" t="str">
        <f>HYPERLINK("https://api.typeform.com/responses/files/1a1d44bbacd868253ef0b10b7895c2c751c0c0eafc6ceca4dc00bae11ccd5661/IMG_6392__4_.jpg")</f>
        <v>https://api.typeform.com/responses/files/1a1d44bbacd868253ef0b10b7895c2c751c0c0eafc6ceca4dc00bae11ccd5661/IMG_6392__4_.jpg</v>
      </c>
      <c r="AD239" t="s">
        <v>118</v>
      </c>
      <c r="AE239" t="s">
        <v>729</v>
      </c>
      <c r="AF239" t="s">
        <v>5469</v>
      </c>
      <c r="AG239">
        <v>10.0</v>
      </c>
      <c r="AH239" t="s">
        <v>139</v>
      </c>
      <c r="AI239" t="s">
        <v>162</v>
      </c>
      <c r="AJ239" t="s">
        <v>4075</v>
      </c>
      <c r="AK239" t="s">
        <v>2624</v>
      </c>
      <c r="AL239" t="s">
        <v>1327</v>
      </c>
      <c r="AM239" t="s">
        <v>4075</v>
      </c>
      <c r="AN239" t="s">
        <v>4075</v>
      </c>
      <c r="AO239" t="s">
        <v>335</v>
      </c>
      <c r="AP239">
        <v>6.0</v>
      </c>
      <c r="AQ239" t="s">
        <v>461</v>
      </c>
      <c r="AR239" t="s">
        <v>5470</v>
      </c>
      <c r="AS239" t="b">
        <v>1</v>
      </c>
      <c r="AT239" t="b">
        <v>1</v>
      </c>
      <c r="AU239" t="s">
        <v>4075</v>
      </c>
      <c r="AV239">
        <v>6.0</v>
      </c>
      <c r="AW239" t="b">
        <v>0</v>
      </c>
      <c r="AX239" t="s">
        <v>4075</v>
      </c>
      <c r="AY239" t="s">
        <v>4075</v>
      </c>
      <c r="AZ239" t="b">
        <v>0</v>
      </c>
      <c r="BA239" t="b">
        <v>0</v>
      </c>
      <c r="BB239" t="s">
        <v>4075</v>
      </c>
      <c r="BC239" t="s">
        <v>4075</v>
      </c>
      <c r="BD239" t="s">
        <v>5471</v>
      </c>
      <c r="BE239" t="s">
        <v>4075</v>
      </c>
      <c r="BF239" t="s">
        <v>4075</v>
      </c>
      <c r="BG239" t="s">
        <v>4075</v>
      </c>
      <c r="BH239" t="s">
        <v>132</v>
      </c>
      <c r="BI239">
        <v>1.0</v>
      </c>
      <c r="BJ239" t="s">
        <v>5472</v>
      </c>
      <c r="BK239">
        <v>3.0</v>
      </c>
      <c r="BL239">
        <v>4.0</v>
      </c>
      <c r="BM239" t="s">
        <v>5473</v>
      </c>
      <c r="BN239">
        <v>4.0</v>
      </c>
      <c r="BO239">
        <v>3.0</v>
      </c>
      <c r="BP239" t="s">
        <v>5474</v>
      </c>
      <c r="BQ239" t="s">
        <v>916</v>
      </c>
      <c r="BR239" t="s">
        <v>5475</v>
      </c>
      <c r="BS239" t="s">
        <v>5476</v>
      </c>
      <c r="BT239" t="s">
        <v>4075</v>
      </c>
      <c r="BU239" t="s">
        <v>5477</v>
      </c>
      <c r="BV239" s="3" t="str">
        <f>HYPERLINK("https://api.typeform.com/responses/files/61db40d5a3d5659ef864012a55db07f47cef53c823816641a18d9fc0066527cf/IMG_6395.jpg")</f>
        <v>https://api.typeform.com/responses/files/61db40d5a3d5659ef864012a55db07f47cef53c823816641a18d9fc0066527cf/IMG_6395.jpg</v>
      </c>
      <c r="BW239" t="b">
        <v>1</v>
      </c>
      <c r="BX239" t="s">
        <v>1394</v>
      </c>
      <c r="BY239" t="s">
        <v>140</v>
      </c>
      <c r="BZ239" t="s">
        <v>4075</v>
      </c>
      <c r="CA239" t="s">
        <v>1395</v>
      </c>
      <c r="CB239" t="s">
        <v>4075</v>
      </c>
      <c r="CC239" t="s">
        <v>4075</v>
      </c>
      <c r="CD239">
        <v>0.0</v>
      </c>
      <c r="CE239" t="s">
        <v>4075</v>
      </c>
      <c r="CF239" t="b">
        <v>1</v>
      </c>
      <c r="CG239" t="b">
        <v>1</v>
      </c>
      <c r="CH239" t="s">
        <v>5478</v>
      </c>
      <c r="CI239" t="s">
        <v>4075</v>
      </c>
      <c r="CJ239" t="b">
        <v>1</v>
      </c>
      <c r="CK239" t="b">
        <v>1</v>
      </c>
      <c r="CL239" t="s">
        <v>387</v>
      </c>
      <c r="CM239" t="s">
        <v>387</v>
      </c>
      <c r="CN239" t="s">
        <v>4075</v>
      </c>
      <c r="CO239" t="s">
        <v>200</v>
      </c>
      <c r="CP239" t="s">
        <v>4075</v>
      </c>
      <c r="CQ239" t="s">
        <v>387</v>
      </c>
      <c r="CR239" t="b">
        <v>1</v>
      </c>
      <c r="CS239" t="s">
        <v>4075</v>
      </c>
      <c r="CT239">
        <v>0.0</v>
      </c>
      <c r="CU239">
        <v>0.0</v>
      </c>
      <c r="CV239" t="s">
        <v>4075</v>
      </c>
      <c r="CW239" t="s">
        <v>4075</v>
      </c>
      <c r="CX239" s="4" t="s">
        <v>5479</v>
      </c>
      <c r="CY239" t="s">
        <v>4075</v>
      </c>
      <c r="CZ239" s="5">
        <v>44478.07163194445</v>
      </c>
      <c r="DA239" t="s">
        <v>5480</v>
      </c>
    </row>
    <row r="240">
      <c r="A240" t="s">
        <v>98</v>
      </c>
      <c r="B240" t="s">
        <v>4075</v>
      </c>
      <c r="C240" t="s">
        <v>4075</v>
      </c>
      <c r="D240" t="s">
        <v>5257</v>
      </c>
      <c r="E240" t="s">
        <v>5258</v>
      </c>
      <c r="F240" s="2">
        <v>38205.0</v>
      </c>
      <c r="G240" t="s">
        <v>1466</v>
      </c>
      <c r="H240" t="s">
        <v>4075</v>
      </c>
      <c r="I240" s="3" t="str">
        <f>HYPERLINK("https://api.typeform.com/responses/files/eda1f9a891b32a55f607c9fca018b6be58c257a29f7bc600a044ebf5985d37d7/4A09FBF1_50A1_4969_A93E_86FB43BC0A94.jpeg")</f>
        <v>https://api.typeform.com/responses/files/eda1f9a891b32a55f607c9fca018b6be58c257a29f7bc600a044ebf5985d37d7/4A09FBF1_50A1_4969_A93E_86FB43BC0A94.jpeg</v>
      </c>
      <c r="J240" t="s">
        <v>5259</v>
      </c>
      <c r="K240" t="b">
        <v>1</v>
      </c>
      <c r="L240" s="4" t="s">
        <v>5260</v>
      </c>
      <c r="M240" t="s">
        <v>5261</v>
      </c>
      <c r="N240" t="s">
        <v>105</v>
      </c>
      <c r="O240" t="s">
        <v>5481</v>
      </c>
      <c r="P240" t="s">
        <v>5482</v>
      </c>
      <c r="Q240" t="s">
        <v>292</v>
      </c>
      <c r="R240" t="s">
        <v>5259</v>
      </c>
      <c r="S240" t="s">
        <v>5261</v>
      </c>
      <c r="T240" s="4" t="s">
        <v>5260</v>
      </c>
      <c r="U240" t="s">
        <v>4963</v>
      </c>
      <c r="V240" t="s">
        <v>5483</v>
      </c>
      <c r="W240" t="s">
        <v>261</v>
      </c>
      <c r="X240" t="s">
        <v>4075</v>
      </c>
      <c r="Y240" t="s">
        <v>158</v>
      </c>
      <c r="Z240" t="s">
        <v>262</v>
      </c>
      <c r="AA240" t="s">
        <v>4075</v>
      </c>
      <c r="AB240" t="s">
        <v>4075</v>
      </c>
      <c r="AC240" s="3" t="str">
        <f>HYPERLINK("https://api.typeform.com/responses/files/e9986af33e997fd593aeeb3b9299ab23692bb37eb1d25e0c2ae4b6324b76c444/2F9BD3F5_26AB_4B3A_A47B_A0BE24C0609C.jpeg")</f>
        <v>https://api.typeform.com/responses/files/e9986af33e997fd593aeeb3b9299ab23692bb37eb1d25e0c2ae4b6324b76c444/2F9BD3F5_26AB_4B3A_A47B_A0BE24C0609C.jpeg</v>
      </c>
      <c r="AD240" t="s">
        <v>758</v>
      </c>
      <c r="AE240" t="s">
        <v>781</v>
      </c>
      <c r="AF240" t="s">
        <v>5263</v>
      </c>
      <c r="AG240">
        <v>3.0</v>
      </c>
      <c r="AH240" s="4" t="s">
        <v>4230</v>
      </c>
      <c r="AI240" t="s">
        <v>121</v>
      </c>
      <c r="AJ240" t="s">
        <v>4075</v>
      </c>
      <c r="AK240" t="s">
        <v>179</v>
      </c>
      <c r="AL240" t="s">
        <v>165</v>
      </c>
      <c r="AM240" t="s">
        <v>4075</v>
      </c>
      <c r="AN240" t="s">
        <v>4075</v>
      </c>
      <c r="AO240" t="s">
        <v>486</v>
      </c>
      <c r="AP240">
        <v>7.0</v>
      </c>
      <c r="AQ240" t="s">
        <v>4222</v>
      </c>
      <c r="AR240" t="s">
        <v>127</v>
      </c>
      <c r="AS240" t="b">
        <v>0</v>
      </c>
      <c r="AT240" t="s">
        <v>4075</v>
      </c>
      <c r="AU240" t="s">
        <v>4075</v>
      </c>
      <c r="AV240">
        <v>1.0</v>
      </c>
      <c r="AW240" t="b">
        <v>0</v>
      </c>
      <c r="AX240" t="s">
        <v>4075</v>
      </c>
      <c r="AY240" t="s">
        <v>4075</v>
      </c>
      <c r="AZ240" t="b">
        <v>0</v>
      </c>
      <c r="BA240" t="b">
        <v>1</v>
      </c>
      <c r="BB240" t="b">
        <v>1</v>
      </c>
      <c r="BC240" t="s">
        <v>5484</v>
      </c>
      <c r="BD240" t="s">
        <v>4075</v>
      </c>
      <c r="BE240" t="s">
        <v>4075</v>
      </c>
      <c r="BF240" t="s">
        <v>4075</v>
      </c>
      <c r="BG240" t="s">
        <v>4075</v>
      </c>
      <c r="BH240" t="s">
        <v>132</v>
      </c>
      <c r="BI240">
        <v>7.0</v>
      </c>
      <c r="BJ240" t="s">
        <v>5485</v>
      </c>
      <c r="BK240">
        <v>6.0</v>
      </c>
      <c r="BL240">
        <v>4.0</v>
      </c>
      <c r="BM240" t="s">
        <v>5486</v>
      </c>
      <c r="BN240">
        <v>4.0</v>
      </c>
      <c r="BO240">
        <v>4.0</v>
      </c>
      <c r="BP240" t="s">
        <v>5487</v>
      </c>
      <c r="BQ240" t="s">
        <v>916</v>
      </c>
      <c r="BR240" t="s">
        <v>5488</v>
      </c>
      <c r="BS240" t="s">
        <v>5489</v>
      </c>
      <c r="BT240" t="s">
        <v>4075</v>
      </c>
      <c r="BU240" t="s">
        <v>528</v>
      </c>
      <c r="BV240" s="3" t="str">
        <f>HYPERLINK("https://api.typeform.com/responses/files/3437d4f1bc4a30b7e66b70ee0ce4bf727bd89804a34f496af22af57194941608/1D9BC3DC_F445_4C22_A129_76C2316EEFB9.jpeg")</f>
        <v>https://api.typeform.com/responses/files/3437d4f1bc4a30b7e66b70ee0ce4bf727bd89804a34f496af22af57194941608/1D9BC3DC_F445_4C22_A129_76C2316EEFB9.jpeg</v>
      </c>
      <c r="BW240" t="b">
        <v>1</v>
      </c>
      <c r="BX240" t="s">
        <v>497</v>
      </c>
      <c r="BY240" t="s">
        <v>822</v>
      </c>
      <c r="BZ240" t="s">
        <v>1419</v>
      </c>
      <c r="CA240" t="s">
        <v>4075</v>
      </c>
      <c r="CB240" t="s">
        <v>4075</v>
      </c>
      <c r="CC240" t="s">
        <v>4075</v>
      </c>
      <c r="CD240">
        <v>0.0</v>
      </c>
      <c r="CE240" t="s">
        <v>4075</v>
      </c>
      <c r="CF240" t="b">
        <v>1</v>
      </c>
      <c r="CG240" t="b">
        <v>1</v>
      </c>
      <c r="CH240" t="s">
        <v>179</v>
      </c>
      <c r="CI240" t="s">
        <v>4075</v>
      </c>
      <c r="CJ240" t="b">
        <v>1</v>
      </c>
      <c r="CK240" t="b">
        <v>1</v>
      </c>
      <c r="CL240" t="s">
        <v>1583</v>
      </c>
      <c r="CM240" t="s">
        <v>163</v>
      </c>
      <c r="CN240" t="s">
        <v>4075</v>
      </c>
      <c r="CO240" t="s">
        <v>124</v>
      </c>
      <c r="CP240" t="s">
        <v>4075</v>
      </c>
      <c r="CQ240" t="s">
        <v>163</v>
      </c>
      <c r="CR240" t="b">
        <v>1</v>
      </c>
      <c r="CS240" t="s">
        <v>4075</v>
      </c>
      <c r="CT240">
        <v>9.0</v>
      </c>
      <c r="CU240">
        <v>3.0</v>
      </c>
      <c r="CV240" t="s">
        <v>4075</v>
      </c>
      <c r="CW240" t="s">
        <v>4075</v>
      </c>
      <c r="CX240" t="s">
        <v>5490</v>
      </c>
      <c r="CY240" t="s">
        <v>4075</v>
      </c>
      <c r="CZ240" s="5">
        <v>44478.358668981484</v>
      </c>
      <c r="DA240" t="s">
        <v>5491</v>
      </c>
    </row>
    <row r="241">
      <c r="A241" t="s">
        <v>98</v>
      </c>
      <c r="B241" t="s">
        <v>4075</v>
      </c>
      <c r="C241" t="s">
        <v>4075</v>
      </c>
      <c r="D241" t="s">
        <v>5492</v>
      </c>
      <c r="E241" t="s">
        <v>5493</v>
      </c>
      <c r="F241" s="2">
        <v>38589.0</v>
      </c>
      <c r="G241" t="s">
        <v>1466</v>
      </c>
      <c r="H241" t="s">
        <v>4075</v>
      </c>
      <c r="I241" s="3" t="str">
        <f>HYPERLINK("https://api.typeform.com/responses/files/b95c4f17f408bce880b7b320b33a69c9408f4f7d94e30f4de40a02b5eac1aa07/微信图片_20211009102052.jpg")</f>
        <v>https://api.typeform.com/responses/files/b95c4f17f408bce880b7b320b33a69c9408f4f7d94e30f4de40a02b5eac1aa07/微信图片_20211009102052.jpg</v>
      </c>
      <c r="J241" t="s">
        <v>5494</v>
      </c>
      <c r="K241" t="b">
        <v>1</v>
      </c>
      <c r="L241" s="4" t="s">
        <v>5495</v>
      </c>
      <c r="M241" t="s">
        <v>5496</v>
      </c>
      <c r="N241" t="s">
        <v>149</v>
      </c>
      <c r="O241" t="s">
        <v>4075</v>
      </c>
      <c r="P241" t="s">
        <v>5497</v>
      </c>
      <c r="Q241" t="s">
        <v>189</v>
      </c>
      <c r="R241" t="s">
        <v>5498</v>
      </c>
      <c r="S241" t="s">
        <v>5496</v>
      </c>
      <c r="T241" s="4" t="s">
        <v>5499</v>
      </c>
      <c r="U241" t="s">
        <v>2313</v>
      </c>
      <c r="V241" t="s">
        <v>4664</v>
      </c>
      <c r="W241" t="s">
        <v>2290</v>
      </c>
      <c r="X241" t="s">
        <v>4075</v>
      </c>
      <c r="Y241" t="s">
        <v>158</v>
      </c>
      <c r="Z241" t="s">
        <v>262</v>
      </c>
      <c r="AA241" t="s">
        <v>4075</v>
      </c>
      <c r="AB241" t="s">
        <v>4075</v>
      </c>
      <c r="AC241" s="3" t="str">
        <f>HYPERLINK("https://api.typeform.com/responses/files/6ce3d517817d51e6b2e34babaca6c3a931f408171f6de0292765d79c60737ebd/微信图片_20211009102107.jpg")</f>
        <v>https://api.typeform.com/responses/files/6ce3d517817d51e6b2e34babaca6c3a931f408171f6de0292765d79c60737ebd/微信图片_20211009102107.jpg</v>
      </c>
      <c r="AD241" t="s">
        <v>118</v>
      </c>
      <c r="AE241" t="s">
        <v>729</v>
      </c>
      <c r="AF241" t="s">
        <v>2724</v>
      </c>
      <c r="AG241">
        <v>14.0</v>
      </c>
      <c r="AH241" s="4" t="s">
        <v>273</v>
      </c>
      <c r="AI241" t="s">
        <v>386</v>
      </c>
      <c r="AJ241" t="s">
        <v>4075</v>
      </c>
      <c r="AK241" t="s">
        <v>4075</v>
      </c>
      <c r="AL241" t="s">
        <v>4965</v>
      </c>
      <c r="AM241" t="s">
        <v>4075</v>
      </c>
      <c r="AN241" t="s">
        <v>4075</v>
      </c>
      <c r="AO241" t="s">
        <v>125</v>
      </c>
      <c r="AP241">
        <v>3.0</v>
      </c>
      <c r="AQ241" t="s">
        <v>126</v>
      </c>
      <c r="AR241" t="s">
        <v>127</v>
      </c>
      <c r="AS241" t="b">
        <v>1</v>
      </c>
      <c r="AT241" t="b">
        <v>0</v>
      </c>
      <c r="AU241" t="s">
        <v>4075</v>
      </c>
      <c r="AV241">
        <v>3.0</v>
      </c>
      <c r="AW241" t="b">
        <v>0</v>
      </c>
      <c r="AX241" t="s">
        <v>4075</v>
      </c>
      <c r="AY241" t="s">
        <v>4075</v>
      </c>
      <c r="AZ241" t="b">
        <v>0</v>
      </c>
      <c r="BA241" t="b">
        <v>0</v>
      </c>
      <c r="BB241" t="s">
        <v>4075</v>
      </c>
      <c r="BC241" t="s">
        <v>4075</v>
      </c>
      <c r="BD241" t="s">
        <v>127</v>
      </c>
      <c r="BE241" t="s">
        <v>4075</v>
      </c>
      <c r="BF241" t="s">
        <v>4075</v>
      </c>
      <c r="BG241" t="s">
        <v>4075</v>
      </c>
      <c r="BH241" t="s">
        <v>132</v>
      </c>
      <c r="BI241">
        <v>3.0</v>
      </c>
      <c r="BJ241" t="s">
        <v>5500</v>
      </c>
      <c r="BK241">
        <v>3.0</v>
      </c>
      <c r="BL241">
        <v>3.0</v>
      </c>
      <c r="BM241" t="s">
        <v>5501</v>
      </c>
      <c r="BN241">
        <v>3.0</v>
      </c>
      <c r="BO241">
        <v>3.0</v>
      </c>
      <c r="BP241" t="s">
        <v>4968</v>
      </c>
      <c r="BQ241" t="s">
        <v>3728</v>
      </c>
      <c r="BR241" t="s">
        <v>5502</v>
      </c>
      <c r="BS241" t="s">
        <v>5503</v>
      </c>
      <c r="BT241" t="s">
        <v>4075</v>
      </c>
      <c r="BU241" t="s">
        <v>127</v>
      </c>
      <c r="BV241" s="3" t="str">
        <f>HYPERLINK("https://api.typeform.com/responses/files/6b2b0fcc4c1f8d80d40cf6f18108ae7d9284ac98fc51aec54a2ac3f24311789a/微信图片_20211009102103.jpg")</f>
        <v>https://api.typeform.com/responses/files/6b2b0fcc4c1f8d80d40cf6f18108ae7d9284ac98fc51aec54a2ac3f24311789a/微信图片_20211009102103.jpg</v>
      </c>
      <c r="BW241" t="b">
        <v>1</v>
      </c>
      <c r="BX241" t="s">
        <v>1394</v>
      </c>
      <c r="BY241" t="s">
        <v>140</v>
      </c>
      <c r="BZ241" t="s">
        <v>4075</v>
      </c>
      <c r="CA241" t="s">
        <v>1395</v>
      </c>
      <c r="CB241" t="s">
        <v>4075</v>
      </c>
      <c r="CC241" t="s">
        <v>4075</v>
      </c>
      <c r="CD241">
        <v>0.0</v>
      </c>
      <c r="CE241" t="s">
        <v>4075</v>
      </c>
      <c r="CF241" t="b">
        <v>1</v>
      </c>
      <c r="CG241" t="b">
        <v>1</v>
      </c>
      <c r="CH241" t="s">
        <v>1935</v>
      </c>
      <c r="CI241" t="s">
        <v>4075</v>
      </c>
      <c r="CJ241" t="b">
        <v>1</v>
      </c>
      <c r="CK241" t="b">
        <v>1</v>
      </c>
      <c r="CL241" t="s">
        <v>362</v>
      </c>
      <c r="CM241" t="s">
        <v>4075</v>
      </c>
      <c r="CN241" t="s">
        <v>4075</v>
      </c>
      <c r="CO241" t="s">
        <v>388</v>
      </c>
      <c r="CP241" t="s">
        <v>4075</v>
      </c>
      <c r="CQ241" t="s">
        <v>4075</v>
      </c>
      <c r="CR241" t="b">
        <v>1</v>
      </c>
      <c r="CS241" t="s">
        <v>4075</v>
      </c>
      <c r="CT241">
        <v>0.0</v>
      </c>
      <c r="CU241">
        <v>0.0</v>
      </c>
      <c r="CV241" t="s">
        <v>4075</v>
      </c>
      <c r="CW241" t="s">
        <v>4075</v>
      </c>
      <c r="CX241" s="4" t="s">
        <v>5504</v>
      </c>
      <c r="CY241" t="s">
        <v>4075</v>
      </c>
      <c r="CZ241" s="5">
        <v>44478.614386574074</v>
      </c>
      <c r="DA241" t="s">
        <v>5505</v>
      </c>
    </row>
    <row r="242">
      <c r="A242" t="s">
        <v>98</v>
      </c>
      <c r="B242" t="s">
        <v>4075</v>
      </c>
      <c r="C242" t="s">
        <v>4075</v>
      </c>
      <c r="D242" t="s">
        <v>3190</v>
      </c>
      <c r="E242" t="s">
        <v>5506</v>
      </c>
      <c r="F242" s="2">
        <v>38422.0</v>
      </c>
      <c r="G242" t="s">
        <v>1466</v>
      </c>
      <c r="H242" t="s">
        <v>4075</v>
      </c>
      <c r="I242" s="3" t="str">
        <f>HYPERLINK("https://api.typeform.com/responses/files/240bd51cbe3493d64a6846bac297a27ce72acc2f248baea3ee98f6ffbf97c523/4101FAF2_583E_445C_9E1B_F1CD63316C06.jpeg")</f>
        <v>https://api.typeform.com/responses/files/240bd51cbe3493d64a6846bac297a27ce72acc2f248baea3ee98f6ffbf97c523/4101FAF2_583E_445C_9E1B_F1CD63316C06.jpeg</v>
      </c>
      <c r="J242" t="s">
        <v>5507</v>
      </c>
      <c r="K242" t="b">
        <v>1</v>
      </c>
      <c r="L242" s="4" t="s">
        <v>5508</v>
      </c>
      <c r="M242" t="s">
        <v>5509</v>
      </c>
      <c r="N242" t="s">
        <v>255</v>
      </c>
      <c r="O242" t="s">
        <v>4075</v>
      </c>
      <c r="P242" t="s">
        <v>5510</v>
      </c>
      <c r="Q242" t="s">
        <v>189</v>
      </c>
      <c r="R242" t="s">
        <v>5511</v>
      </c>
      <c r="S242" t="s">
        <v>5512</v>
      </c>
      <c r="T242" s="4" t="s">
        <v>5513</v>
      </c>
      <c r="U242" t="s">
        <v>2313</v>
      </c>
      <c r="V242" t="s">
        <v>5514</v>
      </c>
      <c r="W242" t="s">
        <v>261</v>
      </c>
      <c r="X242" t="s">
        <v>4075</v>
      </c>
      <c r="Y242" t="s">
        <v>158</v>
      </c>
      <c r="Z242" t="s">
        <v>262</v>
      </c>
      <c r="AA242" t="s">
        <v>4075</v>
      </c>
      <c r="AB242" t="s">
        <v>4075</v>
      </c>
      <c r="AC242" s="3" t="str">
        <f>HYPERLINK("e4fe07eaf814-E0A737C0_C648_4010_903A_7C2A1233BE8B.png")</f>
        <v>e4fe07eaf814-E0A737C0_C648_4010_903A_7C2A1233BE8B.png</v>
      </c>
      <c r="AD242" t="s">
        <v>118</v>
      </c>
      <c r="AE242" t="s">
        <v>729</v>
      </c>
      <c r="AF242" t="s">
        <v>2292</v>
      </c>
      <c r="AG242">
        <v>14.0</v>
      </c>
      <c r="AH242" s="4" t="s">
        <v>734</v>
      </c>
      <c r="AI242" t="s">
        <v>386</v>
      </c>
      <c r="AJ242" t="s">
        <v>4075</v>
      </c>
      <c r="AK242" t="s">
        <v>4075</v>
      </c>
      <c r="AL242" t="s">
        <v>967</v>
      </c>
      <c r="AM242" t="s">
        <v>4075</v>
      </c>
      <c r="AN242" t="s">
        <v>4075</v>
      </c>
      <c r="AO242" t="s">
        <v>125</v>
      </c>
      <c r="AP242">
        <v>5.0</v>
      </c>
      <c r="AQ242" t="s">
        <v>1520</v>
      </c>
      <c r="AR242" t="s">
        <v>5515</v>
      </c>
      <c r="AS242" t="b">
        <v>1</v>
      </c>
      <c r="AT242" t="b">
        <v>0</v>
      </c>
      <c r="AU242" t="s">
        <v>4075</v>
      </c>
      <c r="AV242">
        <v>6.0</v>
      </c>
      <c r="AW242" t="b">
        <v>0</v>
      </c>
      <c r="AX242" t="s">
        <v>4075</v>
      </c>
      <c r="AY242" t="s">
        <v>4075</v>
      </c>
      <c r="AZ242" t="b">
        <v>0</v>
      </c>
      <c r="BA242" t="b">
        <v>0</v>
      </c>
      <c r="BB242" t="s">
        <v>4075</v>
      </c>
      <c r="BC242" t="s">
        <v>4075</v>
      </c>
      <c r="BD242" t="s">
        <v>5516</v>
      </c>
      <c r="BE242" t="s">
        <v>4075</v>
      </c>
      <c r="BF242" t="s">
        <v>4075</v>
      </c>
      <c r="BG242" t="s">
        <v>4075</v>
      </c>
      <c r="BH242" t="s">
        <v>132</v>
      </c>
      <c r="BI242">
        <v>3.0</v>
      </c>
      <c r="BJ242" t="s">
        <v>5517</v>
      </c>
      <c r="BK242">
        <v>3.0</v>
      </c>
      <c r="BL242">
        <v>5.0</v>
      </c>
      <c r="BM242" t="s">
        <v>5518</v>
      </c>
      <c r="BN242">
        <v>2.0</v>
      </c>
      <c r="BO242">
        <v>7.0</v>
      </c>
      <c r="BP242" t="s">
        <v>5519</v>
      </c>
      <c r="BQ242" t="s">
        <v>5520</v>
      </c>
      <c r="BR242" t="s">
        <v>5521</v>
      </c>
      <c r="BS242" t="s">
        <v>5522</v>
      </c>
      <c r="BT242" t="s">
        <v>4075</v>
      </c>
      <c r="BU242" t="s">
        <v>5523</v>
      </c>
      <c r="BV242" s="3" t="str">
        <f>HYPERLINK("https://api.typeform.com/responses/files/64fdbe2f10e875a19962107c695cf7b2fb5af77fa48d9f9613224d5bd6fb03fe/SPEAKHIRE_Parent.Guardian_Consent_Form.pdf")</f>
        <v>https://api.typeform.com/responses/files/64fdbe2f10e875a19962107c695cf7b2fb5af77fa48d9f9613224d5bd6fb03fe/SPEAKHIRE_Parent.Guardian_Consent_Form.pdf</v>
      </c>
      <c r="BW242" t="b">
        <v>1</v>
      </c>
      <c r="BX242" t="s">
        <v>1394</v>
      </c>
      <c r="BY242" t="s">
        <v>140</v>
      </c>
      <c r="BZ242" t="s">
        <v>4075</v>
      </c>
      <c r="CA242" t="s">
        <v>1395</v>
      </c>
      <c r="CB242" t="s">
        <v>4075</v>
      </c>
      <c r="CC242" t="s">
        <v>4075</v>
      </c>
      <c r="CD242">
        <v>0.0</v>
      </c>
      <c r="CE242" t="s">
        <v>4075</v>
      </c>
      <c r="CF242" t="b">
        <v>1</v>
      </c>
      <c r="CG242" t="b">
        <v>1</v>
      </c>
      <c r="CH242" t="s">
        <v>168</v>
      </c>
      <c r="CI242" t="s">
        <v>4075</v>
      </c>
      <c r="CJ242" t="b">
        <v>1</v>
      </c>
      <c r="CK242" t="b">
        <v>1</v>
      </c>
      <c r="CL242" t="s">
        <v>2301</v>
      </c>
      <c r="CM242" t="s">
        <v>4075</v>
      </c>
      <c r="CN242" t="s">
        <v>4075</v>
      </c>
      <c r="CO242" t="s">
        <v>1688</v>
      </c>
      <c r="CP242" t="s">
        <v>4075</v>
      </c>
      <c r="CQ242" t="s">
        <v>4075</v>
      </c>
      <c r="CR242" t="b">
        <v>1</v>
      </c>
      <c r="CS242" t="s">
        <v>4075</v>
      </c>
      <c r="CT242">
        <v>0.0</v>
      </c>
      <c r="CU242">
        <v>0.0</v>
      </c>
      <c r="CV242" t="s">
        <v>4075</v>
      </c>
      <c r="CW242" t="s">
        <v>4075</v>
      </c>
      <c r="CX242" s="4" t="s">
        <v>5524</v>
      </c>
      <c r="CY242" t="s">
        <v>4075</v>
      </c>
      <c r="CZ242" s="5">
        <v>44478.708761574075</v>
      </c>
      <c r="DA242" t="s">
        <v>5525</v>
      </c>
    </row>
    <row r="243">
      <c r="A243" t="s">
        <v>98</v>
      </c>
      <c r="B243" t="s">
        <v>4075</v>
      </c>
      <c r="C243" t="s">
        <v>4075</v>
      </c>
      <c r="D243" t="s">
        <v>5526</v>
      </c>
      <c r="E243" t="s">
        <v>5527</v>
      </c>
      <c r="F243" s="2">
        <v>38230.0</v>
      </c>
      <c r="G243" t="s">
        <v>1360</v>
      </c>
      <c r="H243" t="s">
        <v>4075</v>
      </c>
      <c r="I243" s="3" t="str">
        <f>HYPERLINK("49f35ca137fb-20211007_150747.jpg")</f>
        <v>49f35ca137fb-20211007_150747.jpg</v>
      </c>
      <c r="J243" t="s">
        <v>5528</v>
      </c>
      <c r="K243" t="b">
        <v>1</v>
      </c>
      <c r="L243" s="4" t="s">
        <v>5529</v>
      </c>
      <c r="M243" t="s">
        <v>5530</v>
      </c>
      <c r="N243" t="s">
        <v>149</v>
      </c>
      <c r="O243" t="s">
        <v>4075</v>
      </c>
      <c r="P243" t="s">
        <v>5531</v>
      </c>
      <c r="Q243" t="s">
        <v>189</v>
      </c>
      <c r="R243" t="s">
        <v>5532</v>
      </c>
      <c r="S243" t="s">
        <v>5533</v>
      </c>
      <c r="T243" s="4" t="s">
        <v>5534</v>
      </c>
      <c r="U243" t="s">
        <v>2313</v>
      </c>
      <c r="V243" t="s">
        <v>5535</v>
      </c>
      <c r="W243" t="s">
        <v>2290</v>
      </c>
      <c r="X243" t="s">
        <v>4075</v>
      </c>
      <c r="Y243" t="s">
        <v>158</v>
      </c>
      <c r="Z243" t="s">
        <v>262</v>
      </c>
      <c r="AA243" t="s">
        <v>4075</v>
      </c>
      <c r="AB243" t="s">
        <v>4075</v>
      </c>
      <c r="AC243" s="3" t="str">
        <f>HYPERLINK("https://api.typeform.com/responses/files/0ff804e58d855f74a7c37684eb1e3b059a92dc58b19acd6aa687510b66f37f37/20211008_124611.jpg")</f>
        <v>https://api.typeform.com/responses/files/0ff804e58d855f74a7c37684eb1e3b059a92dc58b19acd6aa687510b66f37f37/20211008_124611.jpg</v>
      </c>
      <c r="AD243" t="s">
        <v>118</v>
      </c>
      <c r="AE243" t="s">
        <v>729</v>
      </c>
      <c r="AF243" t="s">
        <v>2292</v>
      </c>
      <c r="AG243">
        <v>16.0</v>
      </c>
      <c r="AH243" t="s">
        <v>3387</v>
      </c>
      <c r="AI243" t="s">
        <v>205</v>
      </c>
      <c r="AJ243" t="s">
        <v>4075</v>
      </c>
      <c r="AK243" t="s">
        <v>179</v>
      </c>
      <c r="AL243" t="s">
        <v>1043</v>
      </c>
      <c r="AM243" t="s">
        <v>4075</v>
      </c>
      <c r="AN243" t="s">
        <v>4075</v>
      </c>
      <c r="AO243" t="s">
        <v>335</v>
      </c>
      <c r="AP243">
        <v>4.0</v>
      </c>
      <c r="AQ243" t="s">
        <v>1520</v>
      </c>
      <c r="AR243" t="s">
        <v>5536</v>
      </c>
      <c r="AS243" t="b">
        <v>0</v>
      </c>
      <c r="AT243" t="s">
        <v>4075</v>
      </c>
      <c r="AU243" t="s">
        <v>4075</v>
      </c>
      <c r="AV243">
        <v>5.0</v>
      </c>
      <c r="AW243" t="b">
        <v>0</v>
      </c>
      <c r="AX243" t="s">
        <v>4075</v>
      </c>
      <c r="AY243" t="s">
        <v>4075</v>
      </c>
      <c r="AZ243" t="b">
        <v>0</v>
      </c>
      <c r="BA243" t="b">
        <v>0</v>
      </c>
      <c r="BB243" t="s">
        <v>4075</v>
      </c>
      <c r="BC243" t="s">
        <v>4075</v>
      </c>
      <c r="BD243" t="s">
        <v>5537</v>
      </c>
      <c r="BE243" t="s">
        <v>4075</v>
      </c>
      <c r="BF243" t="s">
        <v>4075</v>
      </c>
      <c r="BG243" t="s">
        <v>4075</v>
      </c>
      <c r="BH243" t="s">
        <v>132</v>
      </c>
      <c r="BI243">
        <v>1.0</v>
      </c>
      <c r="BJ243" t="s">
        <v>5538</v>
      </c>
      <c r="BK243">
        <v>1.0</v>
      </c>
      <c r="BL243">
        <v>6.0</v>
      </c>
      <c r="BM243" t="s">
        <v>5539</v>
      </c>
      <c r="BN243">
        <v>4.0</v>
      </c>
      <c r="BO243">
        <v>6.0</v>
      </c>
      <c r="BP243" t="s">
        <v>5540</v>
      </c>
      <c r="BQ243" t="s">
        <v>5541</v>
      </c>
      <c r="BR243" t="s">
        <v>5542</v>
      </c>
      <c r="BS243" t="s">
        <v>5543</v>
      </c>
      <c r="BT243" t="s">
        <v>4075</v>
      </c>
      <c r="BU243" t="s">
        <v>5544</v>
      </c>
      <c r="BV243" s="3" t="str">
        <f>HYPERLINK("https://api.typeform.com/responses/files/827786049cee22b92ce56ca68550b4ca2822540e98dc75cad4e9ae2f5c031cd4/20211008_131811.jpg")</f>
        <v>https://api.typeform.com/responses/files/827786049cee22b92ce56ca68550b4ca2822540e98dc75cad4e9ae2f5c031cd4/20211008_131811.jpg</v>
      </c>
      <c r="BW243" t="b">
        <v>1</v>
      </c>
      <c r="BX243" t="s">
        <v>1394</v>
      </c>
      <c r="BY243" t="s">
        <v>140</v>
      </c>
      <c r="BZ243" t="s">
        <v>4075</v>
      </c>
      <c r="CA243" t="s">
        <v>1395</v>
      </c>
      <c r="CB243" t="s">
        <v>4075</v>
      </c>
      <c r="CC243" t="s">
        <v>4075</v>
      </c>
      <c r="CD243">
        <v>0.0</v>
      </c>
      <c r="CE243" t="s">
        <v>4075</v>
      </c>
      <c r="CF243" t="b">
        <v>0</v>
      </c>
      <c r="CG243" t="b">
        <v>0</v>
      </c>
      <c r="CH243" t="s">
        <v>1935</v>
      </c>
      <c r="CI243" t="s">
        <v>4075</v>
      </c>
      <c r="CJ243" t="b">
        <v>0</v>
      </c>
      <c r="CK243" t="b">
        <v>0</v>
      </c>
      <c r="CL243" t="s">
        <v>2301</v>
      </c>
      <c r="CM243" t="s">
        <v>541</v>
      </c>
      <c r="CN243" t="s">
        <v>4075</v>
      </c>
      <c r="CO243" t="s">
        <v>388</v>
      </c>
      <c r="CP243" t="s">
        <v>4075</v>
      </c>
      <c r="CQ243" t="s">
        <v>2301</v>
      </c>
      <c r="CR243" t="b">
        <v>1</v>
      </c>
      <c r="CS243" t="s">
        <v>4075</v>
      </c>
      <c r="CT243">
        <v>10.0</v>
      </c>
      <c r="CU243">
        <v>0.0</v>
      </c>
      <c r="CV243" t="s">
        <v>4075</v>
      </c>
      <c r="CW243" t="s">
        <v>4075</v>
      </c>
      <c r="CX243" s="4" t="s">
        <v>5545</v>
      </c>
      <c r="CY243" t="s">
        <v>4075</v>
      </c>
      <c r="CZ243" s="5">
        <v>44478.77128472222</v>
      </c>
      <c r="DA243" t="s">
        <v>5546</v>
      </c>
    </row>
    <row r="244">
      <c r="A244" t="s">
        <v>98</v>
      </c>
      <c r="B244" t="s">
        <v>4075</v>
      </c>
      <c r="C244" t="s">
        <v>4075</v>
      </c>
      <c r="D244" t="s">
        <v>5547</v>
      </c>
      <c r="E244" t="s">
        <v>5548</v>
      </c>
      <c r="F244" s="2">
        <v>38656.0</v>
      </c>
      <c r="G244" t="s">
        <v>1360</v>
      </c>
      <c r="H244" t="s">
        <v>4075</v>
      </c>
      <c r="I244" s="3" t="str">
        <f>HYPERLINK("f61ba3cc2697-IMG_3467.jpg")</f>
        <v>f61ba3cc2697-IMG_3467.jpg</v>
      </c>
      <c r="J244" t="s">
        <v>5549</v>
      </c>
      <c r="K244" t="b">
        <v>1</v>
      </c>
      <c r="L244" s="4" t="s">
        <v>5550</v>
      </c>
      <c r="M244" t="s">
        <v>5551</v>
      </c>
      <c r="N244" t="s">
        <v>149</v>
      </c>
      <c r="O244" t="s">
        <v>4075</v>
      </c>
      <c r="P244" t="s">
        <v>5552</v>
      </c>
      <c r="Q244" t="s">
        <v>189</v>
      </c>
      <c r="R244" t="s">
        <v>5553</v>
      </c>
      <c r="S244" t="s">
        <v>5551</v>
      </c>
      <c r="T244" s="4" t="s">
        <v>5550</v>
      </c>
      <c r="U244" t="s">
        <v>2313</v>
      </c>
      <c r="V244" t="s">
        <v>4664</v>
      </c>
      <c r="W244" t="s">
        <v>2290</v>
      </c>
      <c r="X244" t="s">
        <v>4075</v>
      </c>
      <c r="Y244" t="s">
        <v>158</v>
      </c>
      <c r="Z244" t="s">
        <v>262</v>
      </c>
      <c r="AA244" t="s">
        <v>4075</v>
      </c>
      <c r="AB244" t="s">
        <v>4075</v>
      </c>
      <c r="AC244" s="3" t="str">
        <f>HYPERLINK("a97a6bf938f7-Screenshot_2021_10_07_3.26.38_PM.png")</f>
        <v>a97a6bf938f7-Screenshot_2021_10_07_3.26.38_PM.png</v>
      </c>
      <c r="AD244" t="s">
        <v>118</v>
      </c>
      <c r="AE244" t="s">
        <v>4219</v>
      </c>
      <c r="AF244" t="s">
        <v>5554</v>
      </c>
      <c r="AG244">
        <v>13.0</v>
      </c>
      <c r="AH244" s="4" t="s">
        <v>5555</v>
      </c>
      <c r="AI244" t="s">
        <v>162</v>
      </c>
      <c r="AJ244" t="s">
        <v>4075</v>
      </c>
      <c r="AK244" t="s">
        <v>4075</v>
      </c>
      <c r="AL244" t="s">
        <v>199</v>
      </c>
      <c r="AM244" t="s">
        <v>4075</v>
      </c>
      <c r="AN244" t="s">
        <v>4075</v>
      </c>
      <c r="AO244" t="s">
        <v>486</v>
      </c>
      <c r="AP244">
        <v>1.0</v>
      </c>
      <c r="AQ244" t="s">
        <v>126</v>
      </c>
      <c r="AR244" t="s">
        <v>5556</v>
      </c>
      <c r="AS244" t="b">
        <v>1</v>
      </c>
      <c r="AT244" t="b">
        <v>0</v>
      </c>
      <c r="AU244" t="s">
        <v>4075</v>
      </c>
      <c r="AV244">
        <v>5.0</v>
      </c>
      <c r="AW244" t="b">
        <v>0</v>
      </c>
      <c r="AX244" t="s">
        <v>4075</v>
      </c>
      <c r="AY244" t="s">
        <v>4075</v>
      </c>
      <c r="AZ244" t="b">
        <v>0</v>
      </c>
      <c r="BA244" t="b">
        <v>0</v>
      </c>
      <c r="BB244" t="s">
        <v>4075</v>
      </c>
      <c r="BC244" t="s">
        <v>4075</v>
      </c>
      <c r="BD244" t="s">
        <v>5557</v>
      </c>
      <c r="BE244" t="s">
        <v>4075</v>
      </c>
      <c r="BF244" t="s">
        <v>4075</v>
      </c>
      <c r="BG244" t="s">
        <v>4075</v>
      </c>
      <c r="BH244" t="s">
        <v>132</v>
      </c>
      <c r="BI244">
        <v>2.0</v>
      </c>
      <c r="BJ244" t="s">
        <v>5558</v>
      </c>
      <c r="BK244">
        <v>4.0</v>
      </c>
      <c r="BL244">
        <v>4.0</v>
      </c>
      <c r="BM244" t="s">
        <v>5559</v>
      </c>
      <c r="BN244">
        <v>4.0</v>
      </c>
      <c r="BO244">
        <v>5.0</v>
      </c>
      <c r="BP244" t="s">
        <v>5560</v>
      </c>
      <c r="BQ244" t="s">
        <v>5561</v>
      </c>
      <c r="BR244" t="s">
        <v>5562</v>
      </c>
      <c r="BS244" t="s">
        <v>5563</v>
      </c>
      <c r="BT244" t="s">
        <v>4075</v>
      </c>
      <c r="BU244" t="s">
        <v>5564</v>
      </c>
      <c r="BV244" s="3" t="str">
        <f>HYPERLINK("https://api.typeform.com/responses/files/4bec44617df7597eb272ba9bed93d7993dab339c5c75d9e0b2a36396187d9008/IMG_3468.jpg")</f>
        <v>https://api.typeform.com/responses/files/4bec44617df7597eb272ba9bed93d7993dab339c5c75d9e0b2a36396187d9008/IMG_3468.jpg</v>
      </c>
      <c r="BW244" t="b">
        <v>1</v>
      </c>
      <c r="BX244" t="s">
        <v>1394</v>
      </c>
      <c r="BY244" t="s">
        <v>140</v>
      </c>
      <c r="BZ244" t="s">
        <v>4075</v>
      </c>
      <c r="CA244" t="s">
        <v>1395</v>
      </c>
      <c r="CB244" t="s">
        <v>4075</v>
      </c>
      <c r="CC244" t="s">
        <v>4075</v>
      </c>
      <c r="CD244">
        <v>0.0</v>
      </c>
      <c r="CE244" t="s">
        <v>4075</v>
      </c>
      <c r="CF244" t="b">
        <v>1</v>
      </c>
      <c r="CG244" t="b">
        <v>1</v>
      </c>
      <c r="CH244" t="s">
        <v>5565</v>
      </c>
      <c r="CI244" t="s">
        <v>4075</v>
      </c>
      <c r="CJ244" t="b">
        <v>1</v>
      </c>
      <c r="CK244" t="b">
        <v>1</v>
      </c>
      <c r="CL244" t="s">
        <v>3213</v>
      </c>
      <c r="CM244" t="s">
        <v>2301</v>
      </c>
      <c r="CN244" t="s">
        <v>4075</v>
      </c>
      <c r="CO244" t="s">
        <v>200</v>
      </c>
      <c r="CP244" t="s">
        <v>4075</v>
      </c>
      <c r="CQ244" t="s">
        <v>4075</v>
      </c>
      <c r="CR244" t="b">
        <v>1</v>
      </c>
      <c r="CS244" t="s">
        <v>4075</v>
      </c>
      <c r="CT244">
        <v>0.0</v>
      </c>
      <c r="CU244">
        <v>1.0</v>
      </c>
      <c r="CV244" t="s">
        <v>4075</v>
      </c>
      <c r="CW244" t="s">
        <v>4075</v>
      </c>
      <c r="CX244" s="4" t="s">
        <v>5566</v>
      </c>
      <c r="CY244" t="s">
        <v>4075</v>
      </c>
      <c r="CZ244" s="5">
        <v>44478.784097222226</v>
      </c>
      <c r="DA244" t="s">
        <v>5567</v>
      </c>
    </row>
    <row r="245">
      <c r="A245" t="s">
        <v>98</v>
      </c>
      <c r="B245" t="s">
        <v>4075</v>
      </c>
      <c r="C245" t="s">
        <v>4075</v>
      </c>
      <c r="D245" t="s">
        <v>5568</v>
      </c>
      <c r="E245" t="s">
        <v>5569</v>
      </c>
      <c r="F245" s="2">
        <v>37999.0</v>
      </c>
      <c r="G245" t="s">
        <v>1466</v>
      </c>
      <c r="H245" t="s">
        <v>4075</v>
      </c>
      <c r="I245" s="3" t="str">
        <f>HYPERLINK("https://api.typeform.com/responses/files/8f28ff0c9977ca5e670dc8d6cbcb29a5ed548325102b547f946653d36b8dccde/BEE98A01_1D93_45E7_9DFD_F4B3763B4470.jpeg")</f>
        <v>https://api.typeform.com/responses/files/8f28ff0c9977ca5e670dc8d6cbcb29a5ed548325102b547f946653d36b8dccde/BEE98A01_1D93_45E7_9DFD_F4B3763B4470.jpeg</v>
      </c>
      <c r="J245" t="s">
        <v>5570</v>
      </c>
      <c r="K245" t="b">
        <v>1</v>
      </c>
      <c r="L245" s="4" t="s">
        <v>5571</v>
      </c>
      <c r="M245" t="s">
        <v>5572</v>
      </c>
      <c r="N245" t="s">
        <v>354</v>
      </c>
      <c r="O245" t="s">
        <v>5573</v>
      </c>
      <c r="P245" t="s">
        <v>5574</v>
      </c>
      <c r="Q245" t="s">
        <v>189</v>
      </c>
      <c r="R245" t="s">
        <v>5575</v>
      </c>
      <c r="S245" t="s">
        <v>5576</v>
      </c>
      <c r="T245" s="4" t="s">
        <v>5577</v>
      </c>
      <c r="U245" t="s">
        <v>3028</v>
      </c>
      <c r="V245" t="s">
        <v>5578</v>
      </c>
      <c r="W245" t="s">
        <v>261</v>
      </c>
      <c r="X245" t="s">
        <v>4075</v>
      </c>
      <c r="Y245" t="s">
        <v>158</v>
      </c>
      <c r="Z245" t="s">
        <v>262</v>
      </c>
      <c r="AA245" t="s">
        <v>4075</v>
      </c>
      <c r="AB245" t="s">
        <v>4075</v>
      </c>
      <c r="AC245" s="3" t="str">
        <f>HYPERLINK("https://api.typeform.com/responses/files/36dbc47a1a3e26cd64f8f9c10886002226d1a075ab33f6533bcd46904806c196/9k_.jpeg")</f>
        <v>https://api.typeform.com/responses/files/36dbc47a1a3e26cd64f8f9c10886002226d1a075ab33f6533bcd46904806c196/9k_.jpeg</v>
      </c>
      <c r="AD245" t="s">
        <v>118</v>
      </c>
      <c r="AE245" t="s">
        <v>729</v>
      </c>
      <c r="AF245" t="s">
        <v>4450</v>
      </c>
      <c r="AG245">
        <v>16.0</v>
      </c>
      <c r="AH245" t="s">
        <v>4594</v>
      </c>
      <c r="AI245" t="s">
        <v>162</v>
      </c>
      <c r="AJ245" t="s">
        <v>4075</v>
      </c>
      <c r="AK245" t="s">
        <v>5579</v>
      </c>
      <c r="AL245" t="s">
        <v>1706</v>
      </c>
      <c r="AM245" t="s">
        <v>4075</v>
      </c>
      <c r="AN245" t="s">
        <v>4075</v>
      </c>
      <c r="AO245" t="s">
        <v>335</v>
      </c>
      <c r="AP245">
        <v>1.0</v>
      </c>
      <c r="AQ245" t="s">
        <v>1070</v>
      </c>
      <c r="AR245" t="s">
        <v>5580</v>
      </c>
      <c r="AS245" t="b">
        <v>1</v>
      </c>
      <c r="AT245" t="b">
        <v>1</v>
      </c>
      <c r="AU245" t="s">
        <v>4075</v>
      </c>
      <c r="AV245">
        <v>6.0</v>
      </c>
      <c r="AW245" t="b">
        <v>1</v>
      </c>
      <c r="AX245" t="s">
        <v>1902</v>
      </c>
      <c r="AY245" t="s">
        <v>706</v>
      </c>
      <c r="AZ245" t="b">
        <v>0</v>
      </c>
      <c r="BA245" t="b">
        <v>0</v>
      </c>
      <c r="BB245" t="s">
        <v>4075</v>
      </c>
      <c r="BC245" t="s">
        <v>4075</v>
      </c>
      <c r="BD245" t="s">
        <v>5581</v>
      </c>
      <c r="BE245" t="s">
        <v>4075</v>
      </c>
      <c r="BF245" t="s">
        <v>4075</v>
      </c>
      <c r="BG245" t="s">
        <v>4075</v>
      </c>
      <c r="BH245" t="s">
        <v>132</v>
      </c>
      <c r="BI245">
        <v>6.0</v>
      </c>
      <c r="BJ245" s="4" t="s">
        <v>734</v>
      </c>
      <c r="BK245">
        <v>5.0</v>
      </c>
      <c r="BL245">
        <v>6.0</v>
      </c>
      <c r="BM245" t="s">
        <v>5582</v>
      </c>
      <c r="BN245">
        <v>5.0</v>
      </c>
      <c r="BO245">
        <v>7.0</v>
      </c>
      <c r="BP245" t="s">
        <v>5583</v>
      </c>
      <c r="BQ245" t="s">
        <v>5584</v>
      </c>
      <c r="BR245" t="s">
        <v>5585</v>
      </c>
      <c r="BS245" t="s">
        <v>5586</v>
      </c>
      <c r="BT245" t="s">
        <v>4075</v>
      </c>
      <c r="BU245" t="s">
        <v>5587</v>
      </c>
      <c r="BV245" s="3" t="str">
        <f>HYPERLINK("https://api.typeform.com/responses/files/73965171edcbaa896f10a4ae81ba77b9bf17844fc22758e3735906693fcbd779/A313A6CF_77F0_4360_8BDA_D0497D8E1C0A.jpeg")</f>
        <v>https://api.typeform.com/responses/files/73965171edcbaa896f10a4ae81ba77b9bf17844fc22758e3735906693fcbd779/A313A6CF_77F0_4360_8BDA_D0497D8E1C0A.jpeg</v>
      </c>
      <c r="BW245" t="b">
        <v>1</v>
      </c>
      <c r="BX245" t="s">
        <v>1394</v>
      </c>
      <c r="BY245" t="s">
        <v>140</v>
      </c>
      <c r="BZ245" t="s">
        <v>4075</v>
      </c>
      <c r="CA245" t="s">
        <v>1395</v>
      </c>
      <c r="CB245" t="s">
        <v>4075</v>
      </c>
      <c r="CC245" t="s">
        <v>4075</v>
      </c>
      <c r="CD245">
        <v>0.0</v>
      </c>
      <c r="CE245" t="s">
        <v>4075</v>
      </c>
      <c r="CF245" t="b">
        <v>1</v>
      </c>
      <c r="CG245" t="b">
        <v>1</v>
      </c>
      <c r="CH245" t="s">
        <v>5581</v>
      </c>
      <c r="CI245" t="s">
        <v>4075</v>
      </c>
      <c r="CJ245" t="b">
        <v>1</v>
      </c>
      <c r="CK245" t="b">
        <v>1</v>
      </c>
      <c r="CL245" t="s">
        <v>387</v>
      </c>
      <c r="CM245" t="s">
        <v>4075</v>
      </c>
      <c r="CN245" t="s">
        <v>4075</v>
      </c>
      <c r="CO245" t="s">
        <v>200</v>
      </c>
      <c r="CP245" t="s">
        <v>4075</v>
      </c>
      <c r="CQ245" t="s">
        <v>4075</v>
      </c>
      <c r="CR245" t="b">
        <v>1</v>
      </c>
      <c r="CS245" t="s">
        <v>4075</v>
      </c>
      <c r="CT245">
        <v>5.0</v>
      </c>
      <c r="CU245">
        <v>3.0</v>
      </c>
      <c r="CV245" t="s">
        <v>4075</v>
      </c>
      <c r="CW245" t="s">
        <v>4075</v>
      </c>
      <c r="CX245" s="4" t="s">
        <v>520</v>
      </c>
      <c r="CY245" t="s">
        <v>4075</v>
      </c>
      <c r="CZ245" s="5">
        <v>44479.70309027778</v>
      </c>
      <c r="DA245" t="s">
        <v>5588</v>
      </c>
    </row>
    <row r="246">
      <c r="A246" t="s">
        <v>98</v>
      </c>
      <c r="B246" t="s">
        <v>4075</v>
      </c>
      <c r="C246" t="s">
        <v>4075</v>
      </c>
      <c r="D246" t="s">
        <v>5589</v>
      </c>
      <c r="E246" t="s">
        <v>5590</v>
      </c>
      <c r="F246" s="2">
        <v>38421.0</v>
      </c>
      <c r="G246" t="s">
        <v>1466</v>
      </c>
      <c r="H246" t="s">
        <v>4075</v>
      </c>
      <c r="I246" s="3" t="str">
        <f>HYPERLINK("https://api.typeform.com/responses/files/2fcd773aa463caa621885cdbf0835b8e5094a8a3b359cce702cfb94a20557b34/Screenshot_20211008_124947_Gallery.jpg")</f>
        <v>https://api.typeform.com/responses/files/2fcd773aa463caa621885cdbf0835b8e5094a8a3b359cce702cfb94a20557b34/Screenshot_20211008_124947_Gallery.jpg</v>
      </c>
      <c r="J246" t="s">
        <v>5591</v>
      </c>
      <c r="K246" t="b">
        <v>1</v>
      </c>
      <c r="L246" s="4" t="s">
        <v>5592</v>
      </c>
      <c r="M246" t="s">
        <v>5593</v>
      </c>
      <c r="N246" t="s">
        <v>149</v>
      </c>
      <c r="O246" t="s">
        <v>479</v>
      </c>
      <c r="P246" t="s">
        <v>5594</v>
      </c>
      <c r="Q246" t="s">
        <v>152</v>
      </c>
      <c r="R246" t="s">
        <v>5595</v>
      </c>
      <c r="S246" t="s">
        <v>5593</v>
      </c>
      <c r="T246" s="4" t="s">
        <v>5596</v>
      </c>
      <c r="U246" t="s">
        <v>2313</v>
      </c>
      <c r="V246" t="s">
        <v>4664</v>
      </c>
      <c r="W246" t="s">
        <v>2290</v>
      </c>
      <c r="X246" t="s">
        <v>4075</v>
      </c>
      <c r="Y246" t="s">
        <v>158</v>
      </c>
      <c r="Z246" t="s">
        <v>262</v>
      </c>
      <c r="AA246" t="s">
        <v>4075</v>
      </c>
      <c r="AB246" t="s">
        <v>4075</v>
      </c>
      <c r="AC246" s="3" t="str">
        <f>HYPERLINK("https://api.typeform.com/responses/files/0148c57c4fa8247d2eb6b4fbaad4730cd63d00389db4d6c5affa374f518d9d90/Screenshot_20211010_111659_Gallery.jpg")</f>
        <v>https://api.typeform.com/responses/files/0148c57c4fa8247d2eb6b4fbaad4730cd63d00389db4d6c5affa374f518d9d90/Screenshot_20211010_111659_Gallery.jpg</v>
      </c>
      <c r="AD246" t="s">
        <v>118</v>
      </c>
      <c r="AE246" t="s">
        <v>729</v>
      </c>
      <c r="AF246" t="s">
        <v>5597</v>
      </c>
      <c r="AG246">
        <v>14.0</v>
      </c>
      <c r="AH246" t="s">
        <v>5598</v>
      </c>
      <c r="AI246" t="s">
        <v>162</v>
      </c>
      <c r="AJ246" t="s">
        <v>4075</v>
      </c>
      <c r="AK246" t="s">
        <v>179</v>
      </c>
      <c r="AL246" t="s">
        <v>199</v>
      </c>
      <c r="AM246" t="s">
        <v>4075</v>
      </c>
      <c r="AN246" t="s">
        <v>4075</v>
      </c>
      <c r="AO246" t="s">
        <v>335</v>
      </c>
      <c r="AP246">
        <v>3.0</v>
      </c>
      <c r="AQ246" t="s">
        <v>461</v>
      </c>
      <c r="AR246" t="s">
        <v>5599</v>
      </c>
      <c r="AS246" t="b">
        <v>1</v>
      </c>
      <c r="AT246" t="b">
        <v>0</v>
      </c>
      <c r="AU246" t="s">
        <v>4075</v>
      </c>
      <c r="AV246">
        <v>3.0</v>
      </c>
      <c r="AW246" t="b">
        <v>0</v>
      </c>
      <c r="AX246" t="s">
        <v>4075</v>
      </c>
      <c r="AY246" t="s">
        <v>4075</v>
      </c>
      <c r="AZ246" t="b">
        <v>0</v>
      </c>
      <c r="BA246" t="b">
        <v>1</v>
      </c>
      <c r="BB246" t="b">
        <v>0</v>
      </c>
      <c r="BC246" t="s">
        <v>5600</v>
      </c>
      <c r="BD246" t="s">
        <v>4075</v>
      </c>
      <c r="BE246" t="s">
        <v>4075</v>
      </c>
      <c r="BF246" t="s">
        <v>4075</v>
      </c>
      <c r="BG246" t="s">
        <v>4075</v>
      </c>
      <c r="BH246" t="s">
        <v>132</v>
      </c>
      <c r="BI246">
        <v>3.0</v>
      </c>
      <c r="BJ246" t="s">
        <v>5601</v>
      </c>
      <c r="BK246">
        <v>3.0</v>
      </c>
      <c r="BL246">
        <v>3.0</v>
      </c>
      <c r="BM246" t="s">
        <v>5602</v>
      </c>
      <c r="BN246">
        <v>1.0</v>
      </c>
      <c r="BO246">
        <v>1.0</v>
      </c>
      <c r="BP246" t="s">
        <v>3691</v>
      </c>
      <c r="BQ246" t="s">
        <v>5603</v>
      </c>
      <c r="BR246" t="s">
        <v>5604</v>
      </c>
      <c r="BS246" t="s">
        <v>1252</v>
      </c>
      <c r="BT246" t="s">
        <v>4075</v>
      </c>
      <c r="BU246" t="s">
        <v>179</v>
      </c>
      <c r="BV246" s="3" t="str">
        <f>HYPERLINK("https://api.typeform.com/responses/files/827aa201af284baaf65cb71bf0ab561fb02d552730f31bed8ea0825cd07b702f/20211010_131307.jpg")</f>
        <v>https://api.typeform.com/responses/files/827aa201af284baaf65cb71bf0ab561fb02d552730f31bed8ea0825cd07b702f/20211010_131307.jpg</v>
      </c>
      <c r="BW246" t="b">
        <v>1</v>
      </c>
      <c r="BX246" t="s">
        <v>1394</v>
      </c>
      <c r="BY246" t="s">
        <v>140</v>
      </c>
      <c r="BZ246" t="s">
        <v>4075</v>
      </c>
      <c r="CA246" t="s">
        <v>1395</v>
      </c>
      <c r="CB246" t="s">
        <v>4075</v>
      </c>
      <c r="CC246" t="s">
        <v>4075</v>
      </c>
      <c r="CD246">
        <v>0.0</v>
      </c>
      <c r="CE246" t="s">
        <v>4075</v>
      </c>
      <c r="CF246" t="b">
        <v>1</v>
      </c>
      <c r="CG246" t="b">
        <v>1</v>
      </c>
      <c r="CH246" t="s">
        <v>5605</v>
      </c>
      <c r="CI246" t="s">
        <v>4075</v>
      </c>
      <c r="CJ246" t="b">
        <v>0</v>
      </c>
      <c r="CK246" t="b">
        <v>1</v>
      </c>
      <c r="CL246" t="s">
        <v>2301</v>
      </c>
      <c r="CM246" t="s">
        <v>2301</v>
      </c>
      <c r="CN246" t="s">
        <v>4075</v>
      </c>
      <c r="CO246" t="s">
        <v>1635</v>
      </c>
      <c r="CP246" t="s">
        <v>4075</v>
      </c>
      <c r="CQ246" t="s">
        <v>2301</v>
      </c>
      <c r="CR246" t="b">
        <v>1</v>
      </c>
      <c r="CS246" t="s">
        <v>4075</v>
      </c>
      <c r="CT246">
        <v>2.0</v>
      </c>
      <c r="CU246">
        <v>2.0</v>
      </c>
      <c r="CV246" t="s">
        <v>4075</v>
      </c>
      <c r="CW246" t="s">
        <v>4075</v>
      </c>
      <c r="CX246" t="s">
        <v>1252</v>
      </c>
      <c r="CY246" t="s">
        <v>4075</v>
      </c>
      <c r="CZ246" s="5">
        <v>44479.71978009259</v>
      </c>
      <c r="DA246" t="s">
        <v>5606</v>
      </c>
    </row>
    <row r="247">
      <c r="A247" t="s">
        <v>98</v>
      </c>
      <c r="B247" t="s">
        <v>4075</v>
      </c>
      <c r="C247" t="s">
        <v>4075</v>
      </c>
      <c r="D247" t="s">
        <v>5607</v>
      </c>
      <c r="E247" t="s">
        <v>5608</v>
      </c>
      <c r="F247" s="2">
        <v>37934.0</v>
      </c>
      <c r="G247" t="s">
        <v>1360</v>
      </c>
      <c r="H247" t="s">
        <v>4075</v>
      </c>
      <c r="I247" s="3" t="str">
        <f>HYPERLINK("https://api.typeform.com/responses/files/295ca734c68ccf8d78e4f9510474cb9d08ebcef4780e0d67037783429cc9f72a/unnamed.jpg")</f>
        <v>https://api.typeform.com/responses/files/295ca734c68ccf8d78e4f9510474cb9d08ebcef4780e0d67037783429cc9f72a/unnamed.jpg</v>
      </c>
      <c r="J247" t="s">
        <v>5609</v>
      </c>
      <c r="K247" t="b">
        <v>1</v>
      </c>
      <c r="L247" s="4" t="s">
        <v>5610</v>
      </c>
      <c r="M247" t="s">
        <v>5611</v>
      </c>
      <c r="N247" t="s">
        <v>149</v>
      </c>
      <c r="O247" t="s">
        <v>4075</v>
      </c>
      <c r="P247" t="s">
        <v>5612</v>
      </c>
      <c r="Q247" t="s">
        <v>152</v>
      </c>
      <c r="R247" t="s">
        <v>5609</v>
      </c>
      <c r="S247" t="s">
        <v>5611</v>
      </c>
      <c r="T247" s="4" t="s">
        <v>5610</v>
      </c>
      <c r="U247" t="s">
        <v>2313</v>
      </c>
      <c r="V247" t="s">
        <v>2407</v>
      </c>
      <c r="W247" t="s">
        <v>2290</v>
      </c>
      <c r="X247" t="s">
        <v>4075</v>
      </c>
      <c r="Y247" t="s">
        <v>158</v>
      </c>
      <c r="Z247" t="s">
        <v>262</v>
      </c>
      <c r="AA247" t="s">
        <v>4075</v>
      </c>
      <c r="AB247" t="s">
        <v>4075</v>
      </c>
      <c r="AC247" s="3" t="str">
        <f>HYPERLINK("https://api.typeform.com/responses/files/d6c734d8e07696d6614eef395cf0334f0bf5f8dc1a5df863101512dfd41a9d24/Screenshot_2021_10_07_3.22.23_PM.png")</f>
        <v>https://api.typeform.com/responses/files/d6c734d8e07696d6614eef395cf0334f0bf5f8dc1a5df863101512dfd41a9d24/Screenshot_2021_10_07_3.22.23_PM.png</v>
      </c>
      <c r="AD247" t="s">
        <v>118</v>
      </c>
      <c r="AE247" t="s">
        <v>729</v>
      </c>
      <c r="AF247" t="s">
        <v>459</v>
      </c>
      <c r="AG247">
        <v>15.0</v>
      </c>
      <c r="AH247" s="4" t="s">
        <v>273</v>
      </c>
      <c r="AI247" t="s">
        <v>205</v>
      </c>
      <c r="AJ247" t="s">
        <v>4075</v>
      </c>
      <c r="AK247" t="s">
        <v>309</v>
      </c>
      <c r="AL247" t="s">
        <v>460</v>
      </c>
      <c r="AM247" t="s">
        <v>4075</v>
      </c>
      <c r="AN247" t="s">
        <v>4075</v>
      </c>
      <c r="AO247" t="s">
        <v>125</v>
      </c>
      <c r="AP247">
        <v>4.0</v>
      </c>
      <c r="AQ247" t="s">
        <v>1480</v>
      </c>
      <c r="AR247" t="s">
        <v>5613</v>
      </c>
      <c r="AS247" t="b">
        <v>1</v>
      </c>
      <c r="AT247" t="b">
        <v>1</v>
      </c>
      <c r="AU247" t="s">
        <v>4075</v>
      </c>
      <c r="AV247">
        <v>4.0</v>
      </c>
      <c r="AW247" t="b">
        <v>0</v>
      </c>
      <c r="AX247" t="s">
        <v>4075</v>
      </c>
      <c r="AY247" t="s">
        <v>4075</v>
      </c>
      <c r="AZ247" t="b">
        <v>0</v>
      </c>
      <c r="BA247" t="b">
        <v>1</v>
      </c>
      <c r="BB247" t="b">
        <v>0</v>
      </c>
      <c r="BC247" t="s">
        <v>5614</v>
      </c>
      <c r="BD247" t="s">
        <v>4075</v>
      </c>
      <c r="BE247" t="s">
        <v>4075</v>
      </c>
      <c r="BF247" t="s">
        <v>4075</v>
      </c>
      <c r="BG247" t="s">
        <v>4075</v>
      </c>
      <c r="BH247" t="s">
        <v>132</v>
      </c>
      <c r="BI247">
        <v>4.0</v>
      </c>
      <c r="BJ247" t="s">
        <v>5615</v>
      </c>
      <c r="BK247">
        <v>3.0</v>
      </c>
      <c r="BL247">
        <v>3.0</v>
      </c>
      <c r="BM247" t="s">
        <v>5616</v>
      </c>
      <c r="BN247">
        <v>3.0</v>
      </c>
      <c r="BO247">
        <v>3.0</v>
      </c>
      <c r="BP247" t="s">
        <v>5617</v>
      </c>
      <c r="BQ247" t="s">
        <v>945</v>
      </c>
      <c r="BR247" t="s">
        <v>5618</v>
      </c>
      <c r="BS247" t="s">
        <v>5619</v>
      </c>
      <c r="BT247" t="s">
        <v>4075</v>
      </c>
      <c r="BU247" t="s">
        <v>5620</v>
      </c>
      <c r="BV247" s="3" t="str">
        <f>HYPERLINK("https://api.typeform.com/responses/files/9e5b9f14f94a672b315752f5802f3def4858000d43c2f77b0cfdf5f7e1f5e12f/unnamed__1_.jpg")</f>
        <v>https://api.typeform.com/responses/files/9e5b9f14f94a672b315752f5802f3def4858000d43c2f77b0cfdf5f7e1f5e12f/unnamed__1_.jpg</v>
      </c>
      <c r="BW247" t="b">
        <v>1</v>
      </c>
      <c r="BX247" t="s">
        <v>1394</v>
      </c>
      <c r="BY247" t="s">
        <v>140</v>
      </c>
      <c r="BZ247" t="s">
        <v>4075</v>
      </c>
      <c r="CA247" t="s">
        <v>1395</v>
      </c>
      <c r="CB247" t="s">
        <v>4075</v>
      </c>
      <c r="CC247" t="s">
        <v>4075</v>
      </c>
      <c r="CD247">
        <v>0.0</v>
      </c>
      <c r="CE247" t="s">
        <v>4075</v>
      </c>
      <c r="CF247" t="b">
        <v>1</v>
      </c>
      <c r="CG247" t="b">
        <v>1</v>
      </c>
      <c r="CH247" t="s">
        <v>168</v>
      </c>
      <c r="CI247" t="s">
        <v>4075</v>
      </c>
      <c r="CJ247" t="b">
        <v>1</v>
      </c>
      <c r="CK247" t="b">
        <v>1</v>
      </c>
      <c r="CL247" t="s">
        <v>362</v>
      </c>
      <c r="CM247" t="s">
        <v>4075</v>
      </c>
      <c r="CN247" t="s">
        <v>4075</v>
      </c>
      <c r="CO247" t="s">
        <v>388</v>
      </c>
      <c r="CP247" t="s">
        <v>4075</v>
      </c>
      <c r="CQ247" t="s">
        <v>4075</v>
      </c>
      <c r="CR247" t="b">
        <v>1</v>
      </c>
      <c r="CS247" t="s">
        <v>4075</v>
      </c>
      <c r="CT247">
        <v>0.0</v>
      </c>
      <c r="CU247">
        <v>1.0</v>
      </c>
      <c r="CV247" t="s">
        <v>4075</v>
      </c>
      <c r="CW247" t="s">
        <v>4075</v>
      </c>
      <c r="CX247" s="4" t="s">
        <v>3727</v>
      </c>
      <c r="CY247" t="s">
        <v>4075</v>
      </c>
      <c r="CZ247" s="5">
        <v>44480.01675925926</v>
      </c>
      <c r="DA247" t="s">
        <v>5621</v>
      </c>
    </row>
    <row r="248">
      <c r="A248" t="s">
        <v>98</v>
      </c>
      <c r="B248" t="s">
        <v>4075</v>
      </c>
      <c r="C248" t="s">
        <v>4075</v>
      </c>
      <c r="D248" t="s">
        <v>5622</v>
      </c>
      <c r="E248" t="s">
        <v>4608</v>
      </c>
      <c r="F248" s="2">
        <v>38249.0</v>
      </c>
      <c r="G248" t="s">
        <v>1360</v>
      </c>
      <c r="H248" t="s">
        <v>4075</v>
      </c>
      <c r="I248" s="3" t="str">
        <f>HYPERLINK("https://api.typeform.com/responses/files/6d3bc310220f73628cb524120ae4baa0d37f327925735275940b420b0e374479/IMG_4108.jpg")</f>
        <v>https://api.typeform.com/responses/files/6d3bc310220f73628cb524120ae4baa0d37f327925735275940b420b0e374479/IMG_4108.jpg</v>
      </c>
      <c r="J248" t="s">
        <v>5623</v>
      </c>
      <c r="K248" t="b">
        <v>1</v>
      </c>
      <c r="L248" s="4" t="s">
        <v>5624</v>
      </c>
      <c r="M248" t="s">
        <v>5625</v>
      </c>
      <c r="N248" t="s">
        <v>149</v>
      </c>
      <c r="O248" t="s">
        <v>5626</v>
      </c>
      <c r="P248" t="s">
        <v>5627</v>
      </c>
      <c r="Q248" t="s">
        <v>189</v>
      </c>
      <c r="R248" t="s">
        <v>5628</v>
      </c>
      <c r="S248" t="s">
        <v>5625</v>
      </c>
      <c r="T248" s="4" t="s">
        <v>5629</v>
      </c>
      <c r="U248" t="s">
        <v>2313</v>
      </c>
      <c r="V248" t="s">
        <v>2314</v>
      </c>
      <c r="W248" t="s">
        <v>261</v>
      </c>
      <c r="X248" t="s">
        <v>4075</v>
      </c>
      <c r="Y248" t="s">
        <v>158</v>
      </c>
      <c r="Z248" t="s">
        <v>262</v>
      </c>
      <c r="AA248" t="s">
        <v>4075</v>
      </c>
      <c r="AB248" t="s">
        <v>4075</v>
      </c>
      <c r="AC248" s="3" t="str">
        <f>HYPERLINK("https://api.typeform.com/responses/files/8ec199f1b7842db2dfcc8376004d1098ad50baa169ded6b3d92bbdb36eda1f7f/IMG_4072__1_.jpg")</f>
        <v>https://api.typeform.com/responses/files/8ec199f1b7842db2dfcc8376004d1098ad50baa169ded6b3d92bbdb36eda1f7f/IMG_4072__1_.jpg</v>
      </c>
      <c r="AD248" t="s">
        <v>118</v>
      </c>
      <c r="AE248" t="s">
        <v>729</v>
      </c>
      <c r="AF248" t="s">
        <v>459</v>
      </c>
      <c r="AG248">
        <v>14.0</v>
      </c>
      <c r="AH248" t="s">
        <v>4927</v>
      </c>
      <c r="AI248" t="s">
        <v>205</v>
      </c>
      <c r="AJ248" t="s">
        <v>4075</v>
      </c>
      <c r="AK248" t="s">
        <v>4075</v>
      </c>
      <c r="AL248" t="s">
        <v>460</v>
      </c>
      <c r="AM248" t="s">
        <v>4075</v>
      </c>
      <c r="AN248" t="s">
        <v>4075</v>
      </c>
      <c r="AO248" t="s">
        <v>125</v>
      </c>
      <c r="AP248">
        <v>4.0</v>
      </c>
      <c r="AQ248" t="s">
        <v>5630</v>
      </c>
      <c r="AR248" t="s">
        <v>5631</v>
      </c>
      <c r="AS248" t="b">
        <v>1</v>
      </c>
      <c r="AT248" t="b">
        <v>1</v>
      </c>
      <c r="AU248" t="s">
        <v>4075</v>
      </c>
      <c r="AV248">
        <v>6.0</v>
      </c>
      <c r="AW248" t="b">
        <v>0</v>
      </c>
      <c r="AX248" t="s">
        <v>4075</v>
      </c>
      <c r="AY248" t="s">
        <v>4075</v>
      </c>
      <c r="AZ248" t="b">
        <v>1</v>
      </c>
      <c r="BA248" t="b">
        <v>0</v>
      </c>
      <c r="BB248" t="s">
        <v>4075</v>
      </c>
      <c r="BC248" t="s">
        <v>4075</v>
      </c>
      <c r="BD248" t="s">
        <v>5632</v>
      </c>
      <c r="BE248" t="s">
        <v>4075</v>
      </c>
      <c r="BF248" t="s">
        <v>4075</v>
      </c>
      <c r="BG248" t="s">
        <v>4075</v>
      </c>
      <c r="BH248" t="s">
        <v>132</v>
      </c>
      <c r="BI248">
        <v>4.0</v>
      </c>
      <c r="BJ248" t="s">
        <v>5633</v>
      </c>
      <c r="BK248">
        <v>3.0</v>
      </c>
      <c r="BL248">
        <v>4.0</v>
      </c>
      <c r="BM248" t="s">
        <v>5634</v>
      </c>
      <c r="BN248">
        <v>4.0</v>
      </c>
      <c r="BO248">
        <v>3.0</v>
      </c>
      <c r="BP248" t="s">
        <v>5635</v>
      </c>
      <c r="BQ248" t="s">
        <v>5636</v>
      </c>
      <c r="BR248" t="s">
        <v>5637</v>
      </c>
      <c r="BS248" t="s">
        <v>5638</v>
      </c>
      <c r="BT248" t="s">
        <v>4075</v>
      </c>
      <c r="BU248" t="s">
        <v>5639</v>
      </c>
      <c r="BV248" s="3" t="str">
        <f>HYPERLINK("https://api.typeform.com/responses/files/c0fe97dc83a723001e48fc06f14e5ee3343b7fe3f79117494183c21e5878737b/IMG_4110.jpg")</f>
        <v>https://api.typeform.com/responses/files/c0fe97dc83a723001e48fc06f14e5ee3343b7fe3f79117494183c21e5878737b/IMG_4110.jpg</v>
      </c>
      <c r="BW248" t="b">
        <v>1</v>
      </c>
      <c r="BX248" t="s">
        <v>1394</v>
      </c>
      <c r="BY248" t="s">
        <v>140</v>
      </c>
      <c r="BZ248" t="s">
        <v>4075</v>
      </c>
      <c r="CA248" t="s">
        <v>1395</v>
      </c>
      <c r="CB248" t="s">
        <v>4075</v>
      </c>
      <c r="CC248" t="s">
        <v>4075</v>
      </c>
      <c r="CD248">
        <v>0.0</v>
      </c>
      <c r="CE248" t="s">
        <v>4075</v>
      </c>
      <c r="CF248" t="b">
        <v>1</v>
      </c>
      <c r="CG248" t="b">
        <v>1</v>
      </c>
      <c r="CH248" t="s">
        <v>5009</v>
      </c>
      <c r="CI248" t="s">
        <v>4075</v>
      </c>
      <c r="CJ248" t="b">
        <v>1</v>
      </c>
      <c r="CK248" t="b">
        <v>1</v>
      </c>
      <c r="CL248" t="s">
        <v>362</v>
      </c>
      <c r="CM248" t="s">
        <v>4075</v>
      </c>
      <c r="CN248" t="s">
        <v>4075</v>
      </c>
      <c r="CO248" t="s">
        <v>2500</v>
      </c>
      <c r="CP248" t="s">
        <v>4075</v>
      </c>
      <c r="CQ248" t="s">
        <v>4075</v>
      </c>
      <c r="CR248" t="b">
        <v>1</v>
      </c>
      <c r="CS248" t="s">
        <v>4075</v>
      </c>
      <c r="CT248">
        <v>1.0</v>
      </c>
      <c r="CU248">
        <v>1.0</v>
      </c>
      <c r="CV248" t="s">
        <v>4075</v>
      </c>
      <c r="CW248" t="s">
        <v>4075</v>
      </c>
      <c r="CX248" s="4" t="s">
        <v>5041</v>
      </c>
      <c r="CY248" t="s">
        <v>4075</v>
      </c>
      <c r="CZ248" s="5">
        <v>44480.0359837963</v>
      </c>
      <c r="DA248" t="s">
        <v>5640</v>
      </c>
    </row>
    <row r="249">
      <c r="A249" t="s">
        <v>98</v>
      </c>
      <c r="B249" t="s">
        <v>4075</v>
      </c>
      <c r="C249" t="s">
        <v>4075</v>
      </c>
      <c r="D249" t="s">
        <v>5641</v>
      </c>
      <c r="E249" t="s">
        <v>5642</v>
      </c>
      <c r="F249" s="2">
        <v>38059.0</v>
      </c>
      <c r="G249" t="s">
        <v>1360</v>
      </c>
      <c r="H249" t="s">
        <v>4075</v>
      </c>
      <c r="I249" s="3" t="str">
        <f>HYPERLINK("c7fb9c40cc51-IMG_6155.jpg")</f>
        <v>c7fb9c40cc51-IMG_6155.jpg</v>
      </c>
      <c r="J249" t="s">
        <v>5643</v>
      </c>
      <c r="K249" t="b">
        <v>1</v>
      </c>
      <c r="L249" s="4" t="s">
        <v>5644</v>
      </c>
      <c r="M249" t="s">
        <v>5645</v>
      </c>
      <c r="N249" t="s">
        <v>354</v>
      </c>
      <c r="O249" t="s">
        <v>309</v>
      </c>
      <c r="P249" t="s">
        <v>5646</v>
      </c>
      <c r="Q249" t="s">
        <v>152</v>
      </c>
      <c r="R249" t="s">
        <v>5643</v>
      </c>
      <c r="S249" t="s">
        <v>5647</v>
      </c>
      <c r="T249" s="4" t="s">
        <v>5644</v>
      </c>
      <c r="U249" t="s">
        <v>5648</v>
      </c>
      <c r="V249" t="s">
        <v>5648</v>
      </c>
      <c r="W249" t="s">
        <v>2290</v>
      </c>
      <c r="X249" t="s">
        <v>4075</v>
      </c>
      <c r="Y249" t="s">
        <v>158</v>
      </c>
      <c r="Z249" t="s">
        <v>262</v>
      </c>
      <c r="AA249" t="s">
        <v>4075</v>
      </c>
      <c r="AB249" t="s">
        <v>4075</v>
      </c>
      <c r="AC249" s="3" t="str">
        <f>HYPERLINK("ae5d44923a8e-IMG_6162.jpg")</f>
        <v>ae5d44923a8e-IMG_6162.jpg</v>
      </c>
      <c r="AD249" t="s">
        <v>118</v>
      </c>
      <c r="AE249" t="s">
        <v>729</v>
      </c>
      <c r="AF249" t="s">
        <v>363</v>
      </c>
      <c r="AG249">
        <v>14.0</v>
      </c>
      <c r="AH249" t="s">
        <v>5093</v>
      </c>
      <c r="AI249" t="s">
        <v>121</v>
      </c>
      <c r="AJ249" t="s">
        <v>4075</v>
      </c>
      <c r="AK249" t="s">
        <v>4075</v>
      </c>
      <c r="AL249" t="s">
        <v>5649</v>
      </c>
      <c r="AM249" t="s">
        <v>4075</v>
      </c>
      <c r="AN249" t="s">
        <v>4075</v>
      </c>
      <c r="AO249" t="s">
        <v>125</v>
      </c>
      <c r="AP249">
        <v>4.0</v>
      </c>
      <c r="AQ249" t="s">
        <v>1520</v>
      </c>
      <c r="AR249" t="s">
        <v>5650</v>
      </c>
      <c r="AS249" t="b">
        <v>1</v>
      </c>
      <c r="AT249" t="b">
        <v>1</v>
      </c>
      <c r="AU249" t="s">
        <v>4075</v>
      </c>
      <c r="AV249">
        <v>4.0</v>
      </c>
      <c r="AW249" t="b">
        <v>1</v>
      </c>
      <c r="AX249" t="s">
        <v>1902</v>
      </c>
      <c r="AY249" s="4" t="s">
        <v>518</v>
      </c>
      <c r="AZ249" t="b">
        <v>0</v>
      </c>
      <c r="BA249" t="b">
        <v>0</v>
      </c>
      <c r="BB249" t="s">
        <v>4075</v>
      </c>
      <c r="BC249" t="s">
        <v>4075</v>
      </c>
      <c r="BD249" t="s">
        <v>5651</v>
      </c>
      <c r="BE249" t="s">
        <v>4075</v>
      </c>
      <c r="BF249" t="s">
        <v>4075</v>
      </c>
      <c r="BG249" t="s">
        <v>4075</v>
      </c>
      <c r="BH249" t="s">
        <v>132</v>
      </c>
      <c r="BI249">
        <v>1.0</v>
      </c>
      <c r="BJ249" t="s">
        <v>4579</v>
      </c>
      <c r="BK249">
        <v>1.0</v>
      </c>
      <c r="BL249">
        <v>1.0</v>
      </c>
      <c r="BM249" t="s">
        <v>5652</v>
      </c>
      <c r="BN249">
        <v>2.0</v>
      </c>
      <c r="BO249">
        <v>2.0</v>
      </c>
      <c r="BP249" t="s">
        <v>5653</v>
      </c>
      <c r="BQ249" t="s">
        <v>4618</v>
      </c>
      <c r="BR249" t="s">
        <v>5654</v>
      </c>
      <c r="BS249" t="s">
        <v>5655</v>
      </c>
      <c r="BT249" t="s">
        <v>4075</v>
      </c>
      <c r="BU249" t="s">
        <v>5656</v>
      </c>
      <c r="BV249" s="3" t="str">
        <f>HYPERLINK("https://api.typeform.com/responses/files/87e76b219e32d784d37428a2aa1a66581777054407ff4ea6355aead8e7bb0269/IMG_6162.jpg")</f>
        <v>https://api.typeform.com/responses/files/87e76b219e32d784d37428a2aa1a66581777054407ff4ea6355aead8e7bb0269/IMG_6162.jpg</v>
      </c>
      <c r="BW249" t="b">
        <v>1</v>
      </c>
      <c r="BX249" t="s">
        <v>1394</v>
      </c>
      <c r="BY249" t="s">
        <v>140</v>
      </c>
      <c r="BZ249" t="s">
        <v>4075</v>
      </c>
      <c r="CA249" t="s">
        <v>1395</v>
      </c>
      <c r="CB249" t="s">
        <v>4075</v>
      </c>
      <c r="CC249" t="s">
        <v>4075</v>
      </c>
      <c r="CD249">
        <v>0.0</v>
      </c>
      <c r="CE249" t="s">
        <v>4075</v>
      </c>
      <c r="CF249" t="b">
        <v>0</v>
      </c>
      <c r="CG249" t="b">
        <v>0</v>
      </c>
      <c r="CH249" t="s">
        <v>168</v>
      </c>
      <c r="CI249" t="s">
        <v>4075</v>
      </c>
      <c r="CJ249" t="b">
        <v>0</v>
      </c>
      <c r="CK249" t="b">
        <v>0</v>
      </c>
      <c r="CL249" t="s">
        <v>413</v>
      </c>
      <c r="CM249" t="s">
        <v>4075</v>
      </c>
      <c r="CN249" t="s">
        <v>4075</v>
      </c>
      <c r="CO249" t="s">
        <v>124</v>
      </c>
      <c r="CP249" t="s">
        <v>4075</v>
      </c>
      <c r="CQ249" t="s">
        <v>413</v>
      </c>
      <c r="CR249" t="b">
        <v>1</v>
      </c>
      <c r="CS249" t="s">
        <v>4075</v>
      </c>
      <c r="CT249">
        <v>0.0</v>
      </c>
      <c r="CU249">
        <v>0.0</v>
      </c>
      <c r="CV249" t="s">
        <v>4075</v>
      </c>
      <c r="CW249" t="s">
        <v>4075</v>
      </c>
      <c r="CX249" s="4" t="s">
        <v>5657</v>
      </c>
      <c r="CY249" t="s">
        <v>4075</v>
      </c>
      <c r="CZ249" s="5">
        <v>44480.6968287037</v>
      </c>
      <c r="DA249" t="s">
        <v>5658</v>
      </c>
    </row>
    <row r="250">
      <c r="A250" t="s">
        <v>98</v>
      </c>
      <c r="B250" t="s">
        <v>4075</v>
      </c>
      <c r="C250" t="s">
        <v>4075</v>
      </c>
      <c r="D250" t="s">
        <v>5659</v>
      </c>
      <c r="E250" t="s">
        <v>5660</v>
      </c>
      <c r="F250" s="2">
        <v>37858.0</v>
      </c>
      <c r="G250" t="s">
        <v>1466</v>
      </c>
      <c r="H250" t="s">
        <v>4075</v>
      </c>
      <c r="I250" s="3" t="str">
        <f>HYPERLINK("https://api.typeform.com/responses/files/6e39020d275352eb9e90853e10d6f9b5c475b31c627daa482252579177f3afb1/2622DBFD_F55B_44BC_BA70_544398A318AA.png")</f>
        <v>https://api.typeform.com/responses/files/6e39020d275352eb9e90853e10d6f9b5c475b31c627daa482252579177f3afb1/2622DBFD_F55B_44BC_BA70_544398A318AA.png</v>
      </c>
      <c r="J250" t="s">
        <v>5661</v>
      </c>
      <c r="K250" t="b">
        <v>1</v>
      </c>
      <c r="L250" s="4" t="s">
        <v>5662</v>
      </c>
      <c r="M250" t="s">
        <v>5663</v>
      </c>
      <c r="N250" t="s">
        <v>149</v>
      </c>
      <c r="O250" t="s">
        <v>4075</v>
      </c>
      <c r="P250" t="s">
        <v>5664</v>
      </c>
      <c r="Q250" t="s">
        <v>152</v>
      </c>
      <c r="R250" t="s">
        <v>5661</v>
      </c>
      <c r="S250" t="s">
        <v>5665</v>
      </c>
      <c r="T250" s="4" t="s">
        <v>5666</v>
      </c>
      <c r="U250" t="s">
        <v>5667</v>
      </c>
      <c r="V250" t="s">
        <v>4664</v>
      </c>
      <c r="W250" t="s">
        <v>2290</v>
      </c>
      <c r="X250" t="s">
        <v>4075</v>
      </c>
      <c r="Y250" t="s">
        <v>158</v>
      </c>
      <c r="Z250" t="s">
        <v>262</v>
      </c>
      <c r="AA250" t="s">
        <v>4075</v>
      </c>
      <c r="AB250" t="s">
        <v>4075</v>
      </c>
      <c r="AC250" s="3" t="str">
        <f>HYPERLINK("https://api.typeform.com/responses/files/63b1d95e56c2371e28d0770ba2a164a00db6ecfc1ff3eb624bb81d592996fc1c/BC9B45C6_ED88_4ABD_8FA1_AD4BAC092A03.png")</f>
        <v>https://api.typeform.com/responses/files/63b1d95e56c2371e28d0770ba2a164a00db6ecfc1ff3eb624bb81d592996fc1c/BC9B45C6_ED88_4ABD_8FA1_AD4BAC092A03.png</v>
      </c>
      <c r="AD250" t="s">
        <v>118</v>
      </c>
      <c r="AE250" t="s">
        <v>729</v>
      </c>
      <c r="AF250" t="s">
        <v>2651</v>
      </c>
      <c r="AG250">
        <v>15.0</v>
      </c>
      <c r="AH250" t="s">
        <v>5668</v>
      </c>
      <c r="AI250" t="s">
        <v>162</v>
      </c>
      <c r="AJ250" t="s">
        <v>4075</v>
      </c>
      <c r="AK250" t="s">
        <v>5669</v>
      </c>
      <c r="AL250" t="s">
        <v>5670</v>
      </c>
      <c r="AM250" t="s">
        <v>4075</v>
      </c>
      <c r="AN250" t="s">
        <v>4075</v>
      </c>
      <c r="AO250" t="s">
        <v>335</v>
      </c>
      <c r="AP250">
        <v>5.0</v>
      </c>
      <c r="AQ250" t="s">
        <v>5671</v>
      </c>
      <c r="AR250" t="s">
        <v>5672</v>
      </c>
      <c r="AS250" t="b">
        <v>0</v>
      </c>
      <c r="AT250" t="s">
        <v>4075</v>
      </c>
      <c r="AU250" t="s">
        <v>4075</v>
      </c>
      <c r="AV250">
        <v>6.0</v>
      </c>
      <c r="AW250" t="b">
        <v>1</v>
      </c>
      <c r="AX250" t="s">
        <v>1902</v>
      </c>
      <c r="AY250" s="4" t="s">
        <v>518</v>
      </c>
      <c r="AZ250" t="b">
        <v>0</v>
      </c>
      <c r="BA250" t="b">
        <v>1</v>
      </c>
      <c r="BB250" t="b">
        <v>1</v>
      </c>
      <c r="BC250" t="s">
        <v>5673</v>
      </c>
      <c r="BD250" t="s">
        <v>4075</v>
      </c>
      <c r="BE250" t="s">
        <v>4075</v>
      </c>
      <c r="BF250" t="s">
        <v>4075</v>
      </c>
      <c r="BG250" t="s">
        <v>4075</v>
      </c>
      <c r="BH250" t="s">
        <v>132</v>
      </c>
      <c r="BI250">
        <v>6.0</v>
      </c>
      <c r="BJ250" t="s">
        <v>5674</v>
      </c>
      <c r="BK250">
        <v>6.0</v>
      </c>
      <c r="BL250">
        <v>6.0</v>
      </c>
      <c r="BM250" t="s">
        <v>5675</v>
      </c>
      <c r="BN250">
        <v>5.0</v>
      </c>
      <c r="BO250">
        <v>5.0</v>
      </c>
      <c r="BP250" t="s">
        <v>5676</v>
      </c>
      <c r="BQ250" t="s">
        <v>626</v>
      </c>
      <c r="BR250" t="s">
        <v>5677</v>
      </c>
      <c r="BS250" t="s">
        <v>5678</v>
      </c>
      <c r="BT250" t="s">
        <v>4075</v>
      </c>
      <c r="BU250" t="s">
        <v>5679</v>
      </c>
      <c r="BV250" s="3" t="str">
        <f>HYPERLINK("https://api.typeform.com/responses/files/588f78333381916e593e32ab8a200cef83eac2a77f8a0035445598269557b703/2CB10233_8116_47A3_8403_1FCD96F95978.jpeg")</f>
        <v>https://api.typeform.com/responses/files/588f78333381916e593e32ab8a200cef83eac2a77f8a0035445598269557b703/2CB10233_8116_47A3_8403_1FCD96F95978.jpeg</v>
      </c>
      <c r="BW250" t="b">
        <v>1</v>
      </c>
      <c r="BX250" t="s">
        <v>497</v>
      </c>
      <c r="BY250" t="s">
        <v>140</v>
      </c>
      <c r="BZ250" t="s">
        <v>4075</v>
      </c>
      <c r="CA250" t="s">
        <v>498</v>
      </c>
      <c r="CB250" t="s">
        <v>5680</v>
      </c>
      <c r="CC250" t="s">
        <v>4075</v>
      </c>
      <c r="CD250">
        <v>0.0</v>
      </c>
      <c r="CE250" t="s">
        <v>4075</v>
      </c>
      <c r="CF250" t="b">
        <v>1</v>
      </c>
      <c r="CG250" t="b">
        <v>1</v>
      </c>
      <c r="CH250" t="s">
        <v>5681</v>
      </c>
      <c r="CI250" t="s">
        <v>4075</v>
      </c>
      <c r="CJ250" t="b">
        <v>1</v>
      </c>
      <c r="CK250" t="b">
        <v>1</v>
      </c>
      <c r="CL250" t="s">
        <v>2301</v>
      </c>
      <c r="CM250" t="s">
        <v>2301</v>
      </c>
      <c r="CN250" t="s">
        <v>4075</v>
      </c>
      <c r="CO250" t="s">
        <v>200</v>
      </c>
      <c r="CP250" t="s">
        <v>4075</v>
      </c>
      <c r="CQ250" t="s">
        <v>2301</v>
      </c>
      <c r="CR250" t="b">
        <v>1</v>
      </c>
      <c r="CS250" t="s">
        <v>4075</v>
      </c>
      <c r="CT250">
        <v>2.0</v>
      </c>
      <c r="CU250">
        <v>1.0</v>
      </c>
      <c r="CV250" t="s">
        <v>4075</v>
      </c>
      <c r="CW250" t="s">
        <v>4075</v>
      </c>
      <c r="CX250" t="s">
        <v>5682</v>
      </c>
      <c r="CY250" t="s">
        <v>4075</v>
      </c>
      <c r="CZ250" s="5">
        <v>44481.047939814816</v>
      </c>
      <c r="DA250" t="s">
        <v>5683</v>
      </c>
    </row>
    <row r="251">
      <c r="A251" t="s">
        <v>98</v>
      </c>
      <c r="B251" t="s">
        <v>4075</v>
      </c>
      <c r="C251" t="s">
        <v>4075</v>
      </c>
      <c r="D251" t="s">
        <v>5684</v>
      </c>
      <c r="E251" t="s">
        <v>5258</v>
      </c>
      <c r="F251" s="2">
        <v>38417.0</v>
      </c>
      <c r="G251" t="s">
        <v>1466</v>
      </c>
      <c r="H251" t="s">
        <v>4075</v>
      </c>
      <c r="I251" s="3" t="str">
        <f>HYPERLINK("https://api.typeform.com/responses/files/66ffc70ac389a0fb90ad8f4c98e3b1abf6221a3a6960653b7e238f66fa896c1e/1F3034CC_E687_4098_9EC7_0E88D9C41225.jpeg")</f>
        <v>https://api.typeform.com/responses/files/66ffc70ac389a0fb90ad8f4c98e3b1abf6221a3a6960653b7e238f66fa896c1e/1F3034CC_E687_4098_9EC7_0E88D9C41225.jpeg</v>
      </c>
      <c r="J251" t="s">
        <v>5685</v>
      </c>
      <c r="K251" t="b">
        <v>1</v>
      </c>
      <c r="L251" s="4" t="s">
        <v>5686</v>
      </c>
      <c r="M251" s="4" t="s">
        <v>3243</v>
      </c>
      <c r="N251" t="s">
        <v>149</v>
      </c>
      <c r="O251" t="s">
        <v>546</v>
      </c>
      <c r="P251" t="s">
        <v>5687</v>
      </c>
      <c r="Q251" t="s">
        <v>152</v>
      </c>
      <c r="R251" t="s">
        <v>5685</v>
      </c>
      <c r="S251" s="4" t="s">
        <v>3243</v>
      </c>
      <c r="T251" s="4" t="s">
        <v>5686</v>
      </c>
      <c r="U251" t="s">
        <v>3028</v>
      </c>
      <c r="V251" t="s">
        <v>5373</v>
      </c>
      <c r="W251" t="s">
        <v>261</v>
      </c>
      <c r="X251" t="s">
        <v>4075</v>
      </c>
      <c r="Y251" t="s">
        <v>158</v>
      </c>
      <c r="Z251" t="s">
        <v>262</v>
      </c>
      <c r="AA251" t="s">
        <v>4075</v>
      </c>
      <c r="AB251" t="s">
        <v>4075</v>
      </c>
      <c r="AC251" s="3" t="str">
        <f>HYPERLINK("https://api.typeform.com/responses/files/6db8a25a21067e0884b95944b6044b0e685b5acf503a9c3a3a5110793f02e419/4E3BA9C3_4981_431A_A530_F1475D474DB0.jpeg")</f>
        <v>https://api.typeform.com/responses/files/6db8a25a21067e0884b95944b6044b0e685b5acf503a9c3a3a5110793f02e419/4E3BA9C3_4981_431A_A530_F1475D474DB0.jpeg</v>
      </c>
      <c r="AD251" t="s">
        <v>118</v>
      </c>
      <c r="AE251" t="s">
        <v>1220</v>
      </c>
      <c r="AF251" t="s">
        <v>5263</v>
      </c>
      <c r="AG251">
        <v>9.0</v>
      </c>
      <c r="AH251" t="s">
        <v>5688</v>
      </c>
      <c r="AI251" t="s">
        <v>121</v>
      </c>
      <c r="AJ251" t="s">
        <v>4075</v>
      </c>
      <c r="AK251" t="s">
        <v>179</v>
      </c>
      <c r="AL251" t="s">
        <v>5689</v>
      </c>
      <c r="AM251" t="s">
        <v>4075</v>
      </c>
      <c r="AN251" t="s">
        <v>4075</v>
      </c>
      <c r="AO251" t="s">
        <v>125</v>
      </c>
      <c r="AP251">
        <v>4.0</v>
      </c>
      <c r="AQ251" t="s">
        <v>126</v>
      </c>
      <c r="AR251" t="s">
        <v>5690</v>
      </c>
      <c r="AS251" t="b">
        <v>0</v>
      </c>
      <c r="AT251" t="s">
        <v>4075</v>
      </c>
      <c r="AU251" t="s">
        <v>4075</v>
      </c>
      <c r="AV251">
        <v>4.0</v>
      </c>
      <c r="AW251" t="b">
        <v>1</v>
      </c>
      <c r="AX251" t="s">
        <v>1902</v>
      </c>
      <c r="AY251" s="4" t="s">
        <v>518</v>
      </c>
      <c r="AZ251" t="b">
        <v>0</v>
      </c>
      <c r="BA251" t="b">
        <v>0</v>
      </c>
      <c r="BB251" t="s">
        <v>4075</v>
      </c>
      <c r="BC251" t="s">
        <v>4075</v>
      </c>
      <c r="BD251" t="s">
        <v>5691</v>
      </c>
      <c r="BE251" t="s">
        <v>4075</v>
      </c>
      <c r="BF251" t="s">
        <v>4075</v>
      </c>
      <c r="BG251" t="s">
        <v>4075</v>
      </c>
      <c r="BH251" t="s">
        <v>132</v>
      </c>
      <c r="BI251">
        <v>4.0</v>
      </c>
      <c r="BJ251" t="s">
        <v>5692</v>
      </c>
      <c r="BK251">
        <v>4.0</v>
      </c>
      <c r="BL251">
        <v>4.0</v>
      </c>
      <c r="BM251" t="s">
        <v>5693</v>
      </c>
      <c r="BN251">
        <v>4.0</v>
      </c>
      <c r="BO251">
        <v>4.0</v>
      </c>
      <c r="BP251" t="s">
        <v>5694</v>
      </c>
      <c r="BQ251" t="s">
        <v>1931</v>
      </c>
      <c r="BR251" t="s">
        <v>5695</v>
      </c>
      <c r="BS251" t="s">
        <v>5696</v>
      </c>
      <c r="BT251" t="s">
        <v>4075</v>
      </c>
      <c r="BU251" t="s">
        <v>5697</v>
      </c>
      <c r="BV251" s="3" t="str">
        <f>HYPERLINK("https://api.typeform.com/responses/files/87841f71a1d4d3e16f389eb81a89eaa532a2e3ccd20ffdcf4e8a4f024b8da043/image.jpg")</f>
        <v>https://api.typeform.com/responses/files/87841f71a1d4d3e16f389eb81a89eaa532a2e3ccd20ffdcf4e8a4f024b8da043/image.jpg</v>
      </c>
      <c r="BW251" t="b">
        <v>1</v>
      </c>
      <c r="BX251" t="s">
        <v>1394</v>
      </c>
      <c r="BY251" t="s">
        <v>140</v>
      </c>
      <c r="BZ251" t="s">
        <v>4075</v>
      </c>
      <c r="CA251" t="s">
        <v>1395</v>
      </c>
      <c r="CB251" t="s">
        <v>4075</v>
      </c>
      <c r="CC251" t="s">
        <v>4075</v>
      </c>
      <c r="CD251">
        <v>0.0</v>
      </c>
      <c r="CE251" t="s">
        <v>4075</v>
      </c>
      <c r="CF251" t="b">
        <v>0</v>
      </c>
      <c r="CG251" t="b">
        <v>0</v>
      </c>
      <c r="CH251" t="s">
        <v>1420</v>
      </c>
      <c r="CI251" t="s">
        <v>4075</v>
      </c>
      <c r="CJ251" t="b">
        <v>0</v>
      </c>
      <c r="CK251" t="b">
        <v>0</v>
      </c>
      <c r="CL251" t="s">
        <v>163</v>
      </c>
      <c r="CM251" t="s">
        <v>2301</v>
      </c>
      <c r="CN251" t="s">
        <v>4075</v>
      </c>
      <c r="CO251" t="s">
        <v>5698</v>
      </c>
      <c r="CP251" t="s">
        <v>4075</v>
      </c>
      <c r="CQ251" t="s">
        <v>163</v>
      </c>
      <c r="CR251" t="b">
        <v>1</v>
      </c>
      <c r="CS251" t="s">
        <v>4075</v>
      </c>
      <c r="CT251">
        <v>3.0</v>
      </c>
      <c r="CU251">
        <v>0.0</v>
      </c>
      <c r="CV251" t="s">
        <v>4075</v>
      </c>
      <c r="CW251" t="s">
        <v>4075</v>
      </c>
      <c r="CX251" s="4" t="s">
        <v>5699</v>
      </c>
      <c r="CY251" t="s">
        <v>4075</v>
      </c>
      <c r="CZ251" s="5">
        <v>44481.70554398148</v>
      </c>
      <c r="DA251" t="s">
        <v>5700</v>
      </c>
    </row>
    <row r="252">
      <c r="A252" t="s">
        <v>98</v>
      </c>
      <c r="B252" t="s">
        <v>4075</v>
      </c>
      <c r="C252" t="s">
        <v>4075</v>
      </c>
      <c r="D252" t="s">
        <v>5239</v>
      </c>
      <c r="E252" t="s">
        <v>5701</v>
      </c>
      <c r="F252" s="2">
        <v>37400.0</v>
      </c>
      <c r="G252" t="s">
        <v>1466</v>
      </c>
      <c r="H252" t="s">
        <v>4075</v>
      </c>
      <c r="I252" s="3" t="str">
        <f>HYPERLINK("fa35d3738df0-526EF4DE_5CA5_4863_A61D_1AC535251CD0.jpeg")</f>
        <v>fa35d3738df0-526EF4DE_5CA5_4863_A61D_1AC535251CD0.jpeg</v>
      </c>
      <c r="J252" t="s">
        <v>5702</v>
      </c>
      <c r="K252" t="b">
        <v>1</v>
      </c>
      <c r="L252" s="4" t="s">
        <v>5703</v>
      </c>
      <c r="M252" t="s">
        <v>5704</v>
      </c>
      <c r="N252" t="s">
        <v>105</v>
      </c>
      <c r="O252" t="s">
        <v>5705</v>
      </c>
      <c r="P252" t="s">
        <v>5118</v>
      </c>
      <c r="Q252" t="s">
        <v>152</v>
      </c>
      <c r="R252" t="s">
        <v>5702</v>
      </c>
      <c r="S252" t="s">
        <v>5706</v>
      </c>
      <c r="T252" s="4" t="s">
        <v>5707</v>
      </c>
      <c r="U252" t="s">
        <v>3028</v>
      </c>
      <c r="V252" t="s">
        <v>5708</v>
      </c>
      <c r="W252" t="s">
        <v>261</v>
      </c>
      <c r="X252" t="s">
        <v>4075</v>
      </c>
      <c r="Y252" t="s">
        <v>158</v>
      </c>
      <c r="Z252" t="s">
        <v>262</v>
      </c>
      <c r="AA252" t="s">
        <v>4075</v>
      </c>
      <c r="AB252" t="s">
        <v>4075</v>
      </c>
      <c r="AC252" s="3" t="str">
        <f>HYPERLINK("99890387fda2-EB8CB3DD_09C3_4332_A2A4_BC8216B7B5DA.png")</f>
        <v>99890387fda2-EB8CB3DD_09C3_4332_A2A4_BC8216B7B5DA.png</v>
      </c>
      <c r="AD252" t="s">
        <v>479</v>
      </c>
      <c r="AE252" t="s">
        <v>729</v>
      </c>
      <c r="AF252" t="s">
        <v>2651</v>
      </c>
      <c r="AG252">
        <v>3.0</v>
      </c>
      <c r="AH252" s="4" t="s">
        <v>1428</v>
      </c>
      <c r="AI252" t="s">
        <v>386</v>
      </c>
      <c r="AJ252" t="s">
        <v>4075</v>
      </c>
      <c r="AK252" t="s">
        <v>5709</v>
      </c>
      <c r="AL252" t="s">
        <v>5710</v>
      </c>
      <c r="AM252" t="s">
        <v>4075</v>
      </c>
      <c r="AN252" t="s">
        <v>4075</v>
      </c>
      <c r="AO252" t="s">
        <v>486</v>
      </c>
      <c r="AP252">
        <v>4.0</v>
      </c>
      <c r="AQ252" t="s">
        <v>1480</v>
      </c>
      <c r="AR252" t="s">
        <v>5711</v>
      </c>
      <c r="AS252" t="b">
        <v>1</v>
      </c>
      <c r="AT252" t="b">
        <v>1</v>
      </c>
      <c r="AU252" t="s">
        <v>4075</v>
      </c>
      <c r="AV252">
        <v>4.0</v>
      </c>
      <c r="AW252" t="b">
        <v>1</v>
      </c>
      <c r="AX252" s="4" t="s">
        <v>1521</v>
      </c>
      <c r="AY252" s="4" t="s">
        <v>170</v>
      </c>
      <c r="AZ252" t="b">
        <v>1</v>
      </c>
      <c r="BA252" t="b">
        <v>1</v>
      </c>
      <c r="BB252" t="b">
        <v>1</v>
      </c>
      <c r="BC252" t="s">
        <v>5712</v>
      </c>
      <c r="BD252" t="s">
        <v>4075</v>
      </c>
      <c r="BE252" t="s">
        <v>4075</v>
      </c>
      <c r="BF252" t="s">
        <v>4075</v>
      </c>
      <c r="BG252" t="s">
        <v>4075</v>
      </c>
      <c r="BH252" t="s">
        <v>132</v>
      </c>
      <c r="BI252">
        <v>4.0</v>
      </c>
      <c r="BJ252" t="s">
        <v>5713</v>
      </c>
      <c r="BK252">
        <v>3.0</v>
      </c>
      <c r="BL252">
        <v>4.0</v>
      </c>
      <c r="BM252" t="s">
        <v>5714</v>
      </c>
      <c r="BN252">
        <v>2.0</v>
      </c>
      <c r="BO252">
        <v>2.0</v>
      </c>
      <c r="BP252" t="s">
        <v>5715</v>
      </c>
      <c r="BQ252" t="s">
        <v>1931</v>
      </c>
      <c r="BR252" t="s">
        <v>5716</v>
      </c>
      <c r="BS252" t="s">
        <v>5717</v>
      </c>
      <c r="BT252" t="s">
        <v>4075</v>
      </c>
      <c r="BU252" t="s">
        <v>5718</v>
      </c>
      <c r="BV252" s="3" t="str">
        <f>HYPERLINK("https://api.typeform.com/responses/files/1e9d89af936c9d76882dbf51c774c9443f093434ab486702fbd5335dfa8be8be/2CEFA2C1_0E42_48F8_8DFC_A16B4238201C.jpeg")</f>
        <v>https://api.typeform.com/responses/files/1e9d89af936c9d76882dbf51c774c9443f093434ab486702fbd5335dfa8be8be/2CEFA2C1_0E42_48F8_8DFC_A16B4238201C.jpeg</v>
      </c>
      <c r="BW252" t="b">
        <v>1</v>
      </c>
      <c r="BX252" t="s">
        <v>1394</v>
      </c>
      <c r="BY252" t="s">
        <v>140</v>
      </c>
      <c r="BZ252" t="s">
        <v>4075</v>
      </c>
      <c r="CA252" t="s">
        <v>1395</v>
      </c>
      <c r="CB252" t="s">
        <v>4075</v>
      </c>
      <c r="CC252" t="s">
        <v>4075</v>
      </c>
      <c r="CD252">
        <v>0.0</v>
      </c>
      <c r="CE252" t="s">
        <v>4075</v>
      </c>
      <c r="CF252" t="b">
        <v>1</v>
      </c>
      <c r="CG252" t="b">
        <v>1</v>
      </c>
      <c r="CH252" t="s">
        <v>4167</v>
      </c>
      <c r="CI252" t="s">
        <v>4075</v>
      </c>
      <c r="CJ252" t="b">
        <v>1</v>
      </c>
      <c r="CK252" t="b">
        <v>1</v>
      </c>
      <c r="CL252" t="s">
        <v>2301</v>
      </c>
      <c r="CM252" t="s">
        <v>2301</v>
      </c>
      <c r="CN252" t="s">
        <v>4075</v>
      </c>
      <c r="CO252" t="s">
        <v>1635</v>
      </c>
      <c r="CP252" t="s">
        <v>4075</v>
      </c>
      <c r="CQ252" t="s">
        <v>2301</v>
      </c>
      <c r="CR252" t="b">
        <v>1</v>
      </c>
      <c r="CS252" t="s">
        <v>4075</v>
      </c>
      <c r="CT252">
        <v>3.0</v>
      </c>
      <c r="CU252">
        <v>1.0</v>
      </c>
      <c r="CV252" t="s">
        <v>4075</v>
      </c>
      <c r="CW252" t="s">
        <v>4075</v>
      </c>
      <c r="CX252" s="4" t="s">
        <v>5719</v>
      </c>
      <c r="CY252" t="s">
        <v>4075</v>
      </c>
      <c r="CZ252" s="5">
        <v>44481.71074074074</v>
      </c>
      <c r="DA252" t="s">
        <v>5720</v>
      </c>
    </row>
    <row r="253">
      <c r="A253" t="s">
        <v>98</v>
      </c>
      <c r="B253" t="s">
        <v>4075</v>
      </c>
      <c r="C253" t="s">
        <v>4075</v>
      </c>
      <c r="D253" t="s">
        <v>5721</v>
      </c>
      <c r="E253" t="s">
        <v>5722</v>
      </c>
      <c r="F253" s="2">
        <v>38056.0</v>
      </c>
      <c r="G253" t="s">
        <v>1360</v>
      </c>
      <c r="H253" t="s">
        <v>4075</v>
      </c>
      <c r="I253" s="3" t="str">
        <f>HYPERLINK("82fe2534df35-unnamed.jpg")</f>
        <v>82fe2534df35-unnamed.jpg</v>
      </c>
      <c r="J253" t="s">
        <v>5723</v>
      </c>
      <c r="K253" t="b">
        <v>1</v>
      </c>
      <c r="L253" s="4" t="s">
        <v>5724</v>
      </c>
      <c r="M253" t="s">
        <v>5725</v>
      </c>
      <c r="N253" t="s">
        <v>149</v>
      </c>
      <c r="O253" t="s">
        <v>5726</v>
      </c>
      <c r="P253" t="s">
        <v>5727</v>
      </c>
      <c r="Q253" t="s">
        <v>189</v>
      </c>
      <c r="R253" t="s">
        <v>5728</v>
      </c>
      <c r="S253" t="s">
        <v>5729</v>
      </c>
      <c r="T253" s="4" t="s">
        <v>5730</v>
      </c>
      <c r="U253" t="s">
        <v>2313</v>
      </c>
      <c r="V253" t="s">
        <v>5731</v>
      </c>
      <c r="W253" t="s">
        <v>2290</v>
      </c>
      <c r="X253" t="s">
        <v>4075</v>
      </c>
      <c r="Y253" t="s">
        <v>158</v>
      </c>
      <c r="Z253" t="s">
        <v>262</v>
      </c>
      <c r="AA253" t="s">
        <v>4075</v>
      </c>
      <c r="AB253" t="s">
        <v>4075</v>
      </c>
      <c r="AC253" s="3" t="str">
        <f>HYPERLINK("2ca0dbda2507-Screenshot_2021_10_07_3.30.05_PM.png")</f>
        <v>2ca0dbda2507-Screenshot_2021_10_07_3.30.05_PM.png</v>
      </c>
      <c r="AD253" t="s">
        <v>118</v>
      </c>
      <c r="AE253" t="s">
        <v>729</v>
      </c>
      <c r="AF253" t="s">
        <v>1019</v>
      </c>
      <c r="AG253">
        <v>2019.0</v>
      </c>
      <c r="AH253" s="4" t="s">
        <v>1428</v>
      </c>
      <c r="AI253" t="s">
        <v>386</v>
      </c>
      <c r="AJ253" t="s">
        <v>4075</v>
      </c>
      <c r="AK253" t="s">
        <v>139</v>
      </c>
      <c r="AL253" t="s">
        <v>199</v>
      </c>
      <c r="AM253" t="s">
        <v>4075</v>
      </c>
      <c r="AN253" t="s">
        <v>4075</v>
      </c>
      <c r="AO253" t="s">
        <v>335</v>
      </c>
      <c r="AP253">
        <v>3.0</v>
      </c>
      <c r="AQ253" t="s">
        <v>461</v>
      </c>
      <c r="AR253" t="s">
        <v>5732</v>
      </c>
      <c r="AS253" t="b">
        <v>1</v>
      </c>
      <c r="AT253" t="b">
        <v>0</v>
      </c>
      <c r="AU253" t="s">
        <v>4075</v>
      </c>
      <c r="AV253">
        <v>5.0</v>
      </c>
      <c r="AW253" t="b">
        <v>1</v>
      </c>
      <c r="AX253" t="s">
        <v>2797</v>
      </c>
      <c r="AY253" s="4" t="s">
        <v>170</v>
      </c>
      <c r="AZ253" t="b">
        <v>0</v>
      </c>
      <c r="BA253" t="b">
        <v>0</v>
      </c>
      <c r="BB253" t="s">
        <v>4075</v>
      </c>
      <c r="BC253" t="s">
        <v>4075</v>
      </c>
      <c r="BD253" t="s">
        <v>5733</v>
      </c>
      <c r="BE253" t="s">
        <v>4075</v>
      </c>
      <c r="BF253" t="s">
        <v>4075</v>
      </c>
      <c r="BG253" t="s">
        <v>4075</v>
      </c>
      <c r="BH253" t="s">
        <v>132</v>
      </c>
      <c r="BI253">
        <v>3.0</v>
      </c>
      <c r="BJ253" s="4" t="s">
        <v>339</v>
      </c>
      <c r="BK253">
        <v>3.0</v>
      </c>
      <c r="BL253">
        <v>3.0</v>
      </c>
      <c r="BM253" t="s">
        <v>3585</v>
      </c>
      <c r="BN253">
        <v>3.0</v>
      </c>
      <c r="BO253">
        <v>3.0</v>
      </c>
      <c r="BP253" t="s">
        <v>5734</v>
      </c>
      <c r="BQ253" t="s">
        <v>5735</v>
      </c>
      <c r="BR253" t="s">
        <v>5736</v>
      </c>
      <c r="BS253" t="s">
        <v>5737</v>
      </c>
      <c r="BT253" t="s">
        <v>4075</v>
      </c>
      <c r="BU253" t="s">
        <v>606</v>
      </c>
      <c r="BV253" s="3" t="str">
        <f>HYPERLINK("https://api.typeform.com/responses/files/1e09e7ca55388799de4a1ea2fd3a98eda639081a2bff059efcc3587b30d5f3cb/unnamed__1_.jpg")</f>
        <v>https://api.typeform.com/responses/files/1e09e7ca55388799de4a1ea2fd3a98eda639081a2bff059efcc3587b30d5f3cb/unnamed__1_.jpg</v>
      </c>
      <c r="BW253" t="b">
        <v>1</v>
      </c>
      <c r="BX253" t="s">
        <v>1394</v>
      </c>
      <c r="BY253" t="s">
        <v>140</v>
      </c>
      <c r="BZ253" t="s">
        <v>4075</v>
      </c>
      <c r="CA253" t="s">
        <v>1395</v>
      </c>
      <c r="CB253" t="s">
        <v>4075</v>
      </c>
      <c r="CC253" t="s">
        <v>4075</v>
      </c>
      <c r="CD253">
        <v>0.0</v>
      </c>
      <c r="CE253" t="s">
        <v>4075</v>
      </c>
      <c r="CF253" t="b">
        <v>1</v>
      </c>
      <c r="CG253" t="b">
        <v>1</v>
      </c>
      <c r="CH253" t="s">
        <v>1935</v>
      </c>
      <c r="CI253" t="s">
        <v>4075</v>
      </c>
      <c r="CJ253" t="b">
        <v>1</v>
      </c>
      <c r="CK253" t="b">
        <v>1</v>
      </c>
      <c r="CL253" t="s">
        <v>2301</v>
      </c>
      <c r="CM253" t="s">
        <v>2301</v>
      </c>
      <c r="CN253" t="s">
        <v>4075</v>
      </c>
      <c r="CO253" t="s">
        <v>2624</v>
      </c>
      <c r="CP253" t="s">
        <v>4075</v>
      </c>
      <c r="CQ253" t="s">
        <v>2301</v>
      </c>
      <c r="CR253" t="b">
        <v>1</v>
      </c>
      <c r="CS253" t="s">
        <v>4075</v>
      </c>
      <c r="CT253">
        <v>3.0</v>
      </c>
      <c r="CU253">
        <v>2.0</v>
      </c>
      <c r="CV253" t="s">
        <v>4075</v>
      </c>
      <c r="CW253" t="s">
        <v>4075</v>
      </c>
      <c r="CX253" s="4" t="s">
        <v>5738</v>
      </c>
      <c r="CY253" t="s">
        <v>4075</v>
      </c>
      <c r="CZ253" s="5">
        <v>44481.711180555554</v>
      </c>
      <c r="DA253" t="s">
        <v>5739</v>
      </c>
    </row>
    <row r="254">
      <c r="A254" t="s">
        <v>98</v>
      </c>
      <c r="B254" t="s">
        <v>4075</v>
      </c>
      <c r="C254" t="s">
        <v>4075</v>
      </c>
      <c r="D254" t="s">
        <v>5740</v>
      </c>
      <c r="E254" t="s">
        <v>5741</v>
      </c>
      <c r="F254" s="2">
        <v>38416.0</v>
      </c>
      <c r="G254" t="s">
        <v>1466</v>
      </c>
      <c r="H254" t="s">
        <v>4075</v>
      </c>
      <c r="I254" s="3" t="str">
        <f>HYPERLINK("89f95c8c3fe1-IMG_4116.PNG")</f>
        <v>89f95c8c3fe1-IMG_4116.PNG</v>
      </c>
      <c r="J254" t="s">
        <v>5742</v>
      </c>
      <c r="K254" t="b">
        <v>1</v>
      </c>
      <c r="L254" s="4" t="s">
        <v>5743</v>
      </c>
      <c r="M254" t="s">
        <v>5744</v>
      </c>
      <c r="N254" t="s">
        <v>354</v>
      </c>
      <c r="O254" t="s">
        <v>4075</v>
      </c>
      <c r="P254" t="s">
        <v>5745</v>
      </c>
      <c r="Q254" t="s">
        <v>189</v>
      </c>
      <c r="R254" t="s">
        <v>5746</v>
      </c>
      <c r="S254" t="s">
        <v>5747</v>
      </c>
      <c r="T254" s="4" t="s">
        <v>5748</v>
      </c>
      <c r="U254" t="s">
        <v>3028</v>
      </c>
      <c r="V254" t="s">
        <v>3130</v>
      </c>
      <c r="W254" t="s">
        <v>2290</v>
      </c>
      <c r="X254" t="s">
        <v>4075</v>
      </c>
      <c r="Y254" t="s">
        <v>158</v>
      </c>
      <c r="Z254" t="s">
        <v>262</v>
      </c>
      <c r="AA254" t="s">
        <v>4075</v>
      </c>
      <c r="AB254" t="s">
        <v>4075</v>
      </c>
      <c r="AC254" s="3" t="str">
        <f>HYPERLINK("40851325d1be-image_55415491.JPG")</f>
        <v>40851325d1be-image_55415491.JPG</v>
      </c>
      <c r="AD254" t="s">
        <v>758</v>
      </c>
      <c r="AE254" t="s">
        <v>729</v>
      </c>
      <c r="AF254" t="s">
        <v>459</v>
      </c>
      <c r="AG254">
        <v>12.0</v>
      </c>
      <c r="AH254" s="4" t="s">
        <v>5749</v>
      </c>
      <c r="AI254" t="s">
        <v>205</v>
      </c>
      <c r="AJ254" t="s">
        <v>4075</v>
      </c>
      <c r="AK254" t="s">
        <v>5750</v>
      </c>
      <c r="AL254" t="s">
        <v>460</v>
      </c>
      <c r="AM254" t="s">
        <v>4075</v>
      </c>
      <c r="AN254" t="s">
        <v>4075</v>
      </c>
      <c r="AO254" t="s">
        <v>125</v>
      </c>
      <c r="AP254">
        <v>4.0</v>
      </c>
      <c r="AQ254" t="s">
        <v>268</v>
      </c>
      <c r="AR254" t="s">
        <v>139</v>
      </c>
      <c r="AS254" t="b">
        <v>1</v>
      </c>
      <c r="AT254" t="b">
        <v>1</v>
      </c>
      <c r="AU254" t="s">
        <v>4075</v>
      </c>
      <c r="AV254">
        <v>4.0</v>
      </c>
      <c r="AW254" t="b">
        <v>0</v>
      </c>
      <c r="AX254" t="s">
        <v>4075</v>
      </c>
      <c r="AY254" t="s">
        <v>4075</v>
      </c>
      <c r="AZ254" t="b">
        <v>0</v>
      </c>
      <c r="BA254" t="b">
        <v>1</v>
      </c>
      <c r="BB254" t="b">
        <v>1</v>
      </c>
      <c r="BC254" t="s">
        <v>5751</v>
      </c>
      <c r="BD254" t="s">
        <v>4075</v>
      </c>
      <c r="BE254" t="s">
        <v>4075</v>
      </c>
      <c r="BF254" t="s">
        <v>4075</v>
      </c>
      <c r="BG254" t="s">
        <v>4075</v>
      </c>
      <c r="BH254" t="s">
        <v>132</v>
      </c>
      <c r="BI254">
        <v>1.0</v>
      </c>
      <c r="BJ254" t="s">
        <v>4637</v>
      </c>
      <c r="BK254">
        <v>1.0</v>
      </c>
      <c r="BL254">
        <v>1.0</v>
      </c>
      <c r="BM254" t="s">
        <v>4637</v>
      </c>
      <c r="BN254">
        <v>3.0</v>
      </c>
      <c r="BO254">
        <v>4.0</v>
      </c>
      <c r="BP254" t="s">
        <v>621</v>
      </c>
      <c r="BQ254" t="s">
        <v>4618</v>
      </c>
      <c r="BR254" t="s">
        <v>5752</v>
      </c>
      <c r="BS254" t="s">
        <v>4637</v>
      </c>
      <c r="BT254" t="s">
        <v>4075</v>
      </c>
      <c r="BU254" t="s">
        <v>4637</v>
      </c>
      <c r="BV254" s="3" t="str">
        <f>HYPERLINK("https://api.typeform.com/responses/files/9d5248d9fb058494829087b0d32ba41f9874d1e03f879378344caa1a4f03e0fb/image_67182081.JPG")</f>
        <v>https://api.typeform.com/responses/files/9d5248d9fb058494829087b0d32ba41f9874d1e03f879378344caa1a4f03e0fb/image_67182081.JPG</v>
      </c>
      <c r="BW254" t="b">
        <v>1</v>
      </c>
      <c r="BX254" t="s">
        <v>1394</v>
      </c>
      <c r="BY254" t="s">
        <v>822</v>
      </c>
      <c r="BZ254" t="s">
        <v>1419</v>
      </c>
      <c r="CA254" t="s">
        <v>4075</v>
      </c>
      <c r="CB254" t="s">
        <v>4075</v>
      </c>
      <c r="CC254" t="s">
        <v>4075</v>
      </c>
      <c r="CD254">
        <v>0.0</v>
      </c>
      <c r="CE254" t="s">
        <v>4075</v>
      </c>
      <c r="CF254" t="b">
        <v>1</v>
      </c>
      <c r="CG254" t="b">
        <v>1</v>
      </c>
      <c r="CH254" t="s">
        <v>168</v>
      </c>
      <c r="CI254" t="s">
        <v>4075</v>
      </c>
      <c r="CJ254" t="b">
        <v>1</v>
      </c>
      <c r="CK254" t="b">
        <v>1</v>
      </c>
      <c r="CL254" t="s">
        <v>362</v>
      </c>
      <c r="CM254" t="s">
        <v>362</v>
      </c>
      <c r="CN254" t="s">
        <v>4075</v>
      </c>
      <c r="CO254" t="s">
        <v>2325</v>
      </c>
      <c r="CP254" t="s">
        <v>4075</v>
      </c>
      <c r="CQ254" t="s">
        <v>362</v>
      </c>
      <c r="CR254" t="b">
        <v>1</v>
      </c>
      <c r="CS254" t="s">
        <v>4075</v>
      </c>
      <c r="CT254">
        <v>0.0</v>
      </c>
      <c r="CU254">
        <v>0.0</v>
      </c>
      <c r="CV254" t="s">
        <v>4075</v>
      </c>
      <c r="CW254" t="s">
        <v>4075</v>
      </c>
      <c r="CX254" s="4" t="s">
        <v>5753</v>
      </c>
      <c r="CY254" t="s">
        <v>4075</v>
      </c>
      <c r="CZ254" s="5">
        <v>44481.71878472222</v>
      </c>
      <c r="DA254" t="s">
        <v>5754</v>
      </c>
    </row>
    <row r="255">
      <c r="A255" t="s">
        <v>98</v>
      </c>
      <c r="B255" t="s">
        <v>4075</v>
      </c>
      <c r="C255" t="s">
        <v>4075</v>
      </c>
      <c r="D255" t="s">
        <v>5755</v>
      </c>
      <c r="E255" t="s">
        <v>5756</v>
      </c>
      <c r="F255" s="2">
        <v>38424.0</v>
      </c>
      <c r="G255" t="s">
        <v>1466</v>
      </c>
      <c r="H255" t="s">
        <v>4075</v>
      </c>
      <c r="I255" s="3" t="str">
        <f>HYPERLINK("https://api.typeform.com/responses/files/68565add80ac58504277fd180a3d9fe343f525f498755c4959862059db62fb06/faceshot.jpg")</f>
        <v>https://api.typeform.com/responses/files/68565add80ac58504277fd180a3d9fe343f525f498755c4959862059db62fb06/faceshot.jpg</v>
      </c>
      <c r="J255" t="s">
        <v>5757</v>
      </c>
      <c r="K255" t="b">
        <v>1</v>
      </c>
      <c r="L255" s="4" t="s">
        <v>5758</v>
      </c>
      <c r="M255" t="s">
        <v>5759</v>
      </c>
      <c r="N255" t="s">
        <v>149</v>
      </c>
      <c r="O255" t="s">
        <v>4075</v>
      </c>
      <c r="P255" t="s">
        <v>5760</v>
      </c>
      <c r="Q255" t="s">
        <v>189</v>
      </c>
      <c r="R255" t="s">
        <v>5761</v>
      </c>
      <c r="S255" t="s">
        <v>5762</v>
      </c>
      <c r="T255" s="4" t="s">
        <v>5763</v>
      </c>
      <c r="U255" t="s">
        <v>4963</v>
      </c>
      <c r="V255" t="s">
        <v>5764</v>
      </c>
      <c r="W255" t="s">
        <v>2290</v>
      </c>
      <c r="X255" t="s">
        <v>4075</v>
      </c>
      <c r="Y255" t="s">
        <v>158</v>
      </c>
      <c r="Z255" t="s">
        <v>262</v>
      </c>
      <c r="AA255" t="s">
        <v>4075</v>
      </c>
      <c r="AB255" t="s">
        <v>4075</v>
      </c>
      <c r="AC255" s="3" t="str">
        <f>HYPERLINK("https://api.typeform.com/responses/files/915ef2774ca7283ae254f7086cf324a76474eef485381060c3a6f1531c9a1a2a/IMG_2103.jpg")</f>
        <v>https://api.typeform.com/responses/files/915ef2774ca7283ae254f7086cf324a76474eef485381060c3a6f1531c9a1a2a/IMG_2103.jpg</v>
      </c>
      <c r="AD255" t="s">
        <v>118</v>
      </c>
      <c r="AE255" t="s">
        <v>729</v>
      </c>
      <c r="AF255" t="s">
        <v>2651</v>
      </c>
      <c r="AG255">
        <v>15.0</v>
      </c>
      <c r="AH255" s="4" t="s">
        <v>339</v>
      </c>
      <c r="AI255" t="s">
        <v>386</v>
      </c>
      <c r="AJ255" t="s">
        <v>4075</v>
      </c>
      <c r="AK255" t="s">
        <v>4075</v>
      </c>
      <c r="AL255" t="s">
        <v>1043</v>
      </c>
      <c r="AM255" t="s">
        <v>4075</v>
      </c>
      <c r="AN255" t="s">
        <v>4075</v>
      </c>
      <c r="AO255" t="s">
        <v>1479</v>
      </c>
      <c r="AP255">
        <v>4.0</v>
      </c>
      <c r="AQ255" t="s">
        <v>303</v>
      </c>
      <c r="AR255" t="s">
        <v>5765</v>
      </c>
      <c r="AS255" t="b">
        <v>1</v>
      </c>
      <c r="AT255" t="b">
        <v>0</v>
      </c>
      <c r="AU255" t="s">
        <v>4075</v>
      </c>
      <c r="AV255">
        <v>5.0</v>
      </c>
      <c r="AW255" t="b">
        <v>0</v>
      </c>
      <c r="AX255" t="s">
        <v>4075</v>
      </c>
      <c r="AY255" t="s">
        <v>4075</v>
      </c>
      <c r="AZ255" t="b">
        <v>0</v>
      </c>
      <c r="BA255" t="b">
        <v>0</v>
      </c>
      <c r="BB255" t="s">
        <v>4075</v>
      </c>
      <c r="BC255" t="s">
        <v>4075</v>
      </c>
      <c r="BD255" t="s">
        <v>5766</v>
      </c>
      <c r="BE255" t="s">
        <v>4075</v>
      </c>
      <c r="BF255" t="s">
        <v>4075</v>
      </c>
      <c r="BG255" t="s">
        <v>4075</v>
      </c>
      <c r="BH255" t="s">
        <v>132</v>
      </c>
      <c r="BI255">
        <v>1.0</v>
      </c>
      <c r="BJ255" t="s">
        <v>4637</v>
      </c>
      <c r="BK255">
        <v>3.0</v>
      </c>
      <c r="BL255">
        <v>3.0</v>
      </c>
      <c r="BM255" t="s">
        <v>5767</v>
      </c>
      <c r="BN255">
        <v>4.0</v>
      </c>
      <c r="BO255">
        <v>5.0</v>
      </c>
      <c r="BP255" t="s">
        <v>5768</v>
      </c>
      <c r="BQ255" t="s">
        <v>5769</v>
      </c>
      <c r="BR255" t="s">
        <v>5770</v>
      </c>
      <c r="BS255" t="s">
        <v>5771</v>
      </c>
      <c r="BT255" t="s">
        <v>4075</v>
      </c>
      <c r="BU255" t="s">
        <v>5772</v>
      </c>
      <c r="BV255" s="3" t="str">
        <f>HYPERLINK("https://api.typeform.com/responses/files/aa8ae90070266f74d794b13e7fd824221fbdabb982e4fa80224211d740b2ecc4/IMG_2161.jpg")</f>
        <v>https://api.typeform.com/responses/files/aa8ae90070266f74d794b13e7fd824221fbdabb982e4fa80224211d740b2ecc4/IMG_2161.jpg</v>
      </c>
      <c r="BW255" t="b">
        <v>1</v>
      </c>
      <c r="BX255" t="s">
        <v>1394</v>
      </c>
      <c r="BY255" t="s">
        <v>140</v>
      </c>
      <c r="BZ255" t="s">
        <v>4075</v>
      </c>
      <c r="CA255" t="s">
        <v>1395</v>
      </c>
      <c r="CB255" t="s">
        <v>4075</v>
      </c>
      <c r="CC255" t="s">
        <v>4075</v>
      </c>
      <c r="CD255">
        <v>0.0</v>
      </c>
      <c r="CE255" t="s">
        <v>4075</v>
      </c>
      <c r="CF255" t="b">
        <v>0</v>
      </c>
      <c r="CG255" t="b">
        <v>1</v>
      </c>
      <c r="CH255" t="s">
        <v>2096</v>
      </c>
      <c r="CI255" t="s">
        <v>4075</v>
      </c>
      <c r="CJ255" t="b">
        <v>1</v>
      </c>
      <c r="CK255" t="b">
        <v>1</v>
      </c>
      <c r="CL255" t="s">
        <v>2301</v>
      </c>
      <c r="CM255" t="s">
        <v>4075</v>
      </c>
      <c r="CN255" t="s">
        <v>4075</v>
      </c>
      <c r="CO255" t="s">
        <v>2500</v>
      </c>
      <c r="CP255" t="s">
        <v>4075</v>
      </c>
      <c r="CQ255" t="s">
        <v>4075</v>
      </c>
      <c r="CR255" t="b">
        <v>1</v>
      </c>
      <c r="CS255" t="s">
        <v>4075</v>
      </c>
      <c r="CT255">
        <v>0.0</v>
      </c>
      <c r="CU255">
        <v>2.0</v>
      </c>
      <c r="CV255" t="s">
        <v>4075</v>
      </c>
      <c r="CW255" t="s">
        <v>4075</v>
      </c>
      <c r="CX255" s="4" t="s">
        <v>5773</v>
      </c>
      <c r="CY255" t="s">
        <v>4075</v>
      </c>
      <c r="CZ255" s="5">
        <v>44481.723703703705</v>
      </c>
      <c r="DA255" t="s">
        <v>5774</v>
      </c>
    </row>
    <row r="256">
      <c r="A256" t="s">
        <v>98</v>
      </c>
      <c r="B256" t="s">
        <v>4075</v>
      </c>
      <c r="C256" t="s">
        <v>4075</v>
      </c>
      <c r="D256" t="s">
        <v>5775</v>
      </c>
      <c r="E256" t="s">
        <v>5776</v>
      </c>
      <c r="F256" s="2">
        <v>38535.0</v>
      </c>
      <c r="G256" t="s">
        <v>1466</v>
      </c>
      <c r="H256" t="s">
        <v>4075</v>
      </c>
      <c r="I256" s="3" t="str">
        <f>HYPERLINK("https://api.typeform.com/responses/files/b26809f31bc62ccdc82e555716bedc1d6645605debd2ae14a50a435df2c472fb/9674F506_E7CA_44A4_8C4E_256F38E64290.jpeg")</f>
        <v>https://api.typeform.com/responses/files/b26809f31bc62ccdc82e555716bedc1d6645605debd2ae14a50a435df2c472fb/9674F506_E7CA_44A4_8C4E_256F38E64290.jpeg</v>
      </c>
      <c r="J256" t="s">
        <v>5777</v>
      </c>
      <c r="K256" t="b">
        <v>1</v>
      </c>
      <c r="L256" s="4" t="s">
        <v>5778</v>
      </c>
      <c r="M256" t="s">
        <v>5779</v>
      </c>
      <c r="N256" t="s">
        <v>255</v>
      </c>
      <c r="O256" t="s">
        <v>4075</v>
      </c>
      <c r="P256" t="s">
        <v>5780</v>
      </c>
      <c r="Q256" t="s">
        <v>189</v>
      </c>
      <c r="R256" t="s">
        <v>5781</v>
      </c>
      <c r="S256" t="s">
        <v>5779</v>
      </c>
      <c r="T256" s="4" t="s">
        <v>5782</v>
      </c>
      <c r="U256" t="s">
        <v>3176</v>
      </c>
      <c r="V256" t="s">
        <v>2458</v>
      </c>
      <c r="W256" t="s">
        <v>2290</v>
      </c>
      <c r="X256" t="s">
        <v>4075</v>
      </c>
      <c r="Y256" t="s">
        <v>158</v>
      </c>
      <c r="Z256" t="s">
        <v>262</v>
      </c>
      <c r="AA256" t="s">
        <v>4075</v>
      </c>
      <c r="AB256" t="s">
        <v>4075</v>
      </c>
      <c r="AC256" s="3" t="str">
        <f>HYPERLINK("https://api.typeform.com/responses/files/d72f6bf7d2b2c9e7baf727c8f036ced9053c1d3def82cdf8dc2215971e85d5df/09C62EC8_248A_4AA8_ADEC_7383882CA2B6.jpeg")</f>
        <v>https://api.typeform.com/responses/files/d72f6bf7d2b2c9e7baf727c8f036ced9053c1d3def82cdf8dc2215971e85d5df/09C62EC8_248A_4AA8_ADEC_7383882CA2B6.jpeg</v>
      </c>
      <c r="AD256" t="s">
        <v>118</v>
      </c>
      <c r="AE256" t="s">
        <v>781</v>
      </c>
      <c r="AF256" t="s">
        <v>2904</v>
      </c>
      <c r="AG256">
        <v>1.0</v>
      </c>
      <c r="AH256" t="s">
        <v>5783</v>
      </c>
      <c r="AI256" t="s">
        <v>121</v>
      </c>
      <c r="AJ256" t="s">
        <v>4075</v>
      </c>
      <c r="AK256" t="s">
        <v>4075</v>
      </c>
      <c r="AL256" t="s">
        <v>621</v>
      </c>
      <c r="AM256" t="s">
        <v>4075</v>
      </c>
      <c r="AN256" t="s">
        <v>4075</v>
      </c>
      <c r="AO256" t="s">
        <v>335</v>
      </c>
      <c r="AP256">
        <v>5.0</v>
      </c>
      <c r="AQ256" t="s">
        <v>1070</v>
      </c>
      <c r="AR256" t="s">
        <v>1071</v>
      </c>
      <c r="AS256" t="b">
        <v>1</v>
      </c>
      <c r="AT256" t="b">
        <v>0</v>
      </c>
      <c r="AU256" t="s">
        <v>4075</v>
      </c>
      <c r="AV256">
        <v>5.0</v>
      </c>
      <c r="AW256" t="b">
        <v>1</v>
      </c>
      <c r="AX256" t="s">
        <v>1902</v>
      </c>
      <c r="AY256" t="s">
        <v>2597</v>
      </c>
      <c r="AZ256" t="b">
        <v>0</v>
      </c>
      <c r="BA256" t="b">
        <v>0</v>
      </c>
      <c r="BB256" t="s">
        <v>4075</v>
      </c>
      <c r="BC256" t="s">
        <v>4075</v>
      </c>
      <c r="BD256" t="s">
        <v>1071</v>
      </c>
      <c r="BE256" t="s">
        <v>4075</v>
      </c>
      <c r="BF256" t="s">
        <v>4075</v>
      </c>
      <c r="BG256" t="s">
        <v>4075</v>
      </c>
      <c r="BH256" t="s">
        <v>132</v>
      </c>
      <c r="BI256">
        <v>4.0</v>
      </c>
      <c r="BJ256" t="s">
        <v>5784</v>
      </c>
      <c r="BK256">
        <v>5.0</v>
      </c>
      <c r="BL256">
        <v>4.0</v>
      </c>
      <c r="BM256" t="s">
        <v>5785</v>
      </c>
      <c r="BN256">
        <v>4.0</v>
      </c>
      <c r="BO256">
        <v>4.0</v>
      </c>
      <c r="BP256" t="s">
        <v>5786</v>
      </c>
      <c r="BQ256" t="s">
        <v>945</v>
      </c>
      <c r="BR256" t="s">
        <v>5787</v>
      </c>
      <c r="BS256" t="s">
        <v>5788</v>
      </c>
      <c r="BT256" t="s">
        <v>4075</v>
      </c>
      <c r="BU256" t="s">
        <v>5789</v>
      </c>
      <c r="BV256" s="3" t="str">
        <f>HYPERLINK("https://api.typeform.com/responses/files/a6959c73c9ab517df4ba44a4a7cfc276c42a65ca471a0d16325f05f5d3f682e1/A65ACA28_CCB0_4A39_BC29_F3B66334CBC6.jpeg")</f>
        <v>https://api.typeform.com/responses/files/a6959c73c9ab517df4ba44a4a7cfc276c42a65ca471a0d16325f05f5d3f682e1/A65ACA28_CCB0_4A39_BC29_F3B66334CBC6.jpeg</v>
      </c>
      <c r="BW256" t="b">
        <v>1</v>
      </c>
      <c r="BX256" t="s">
        <v>1394</v>
      </c>
      <c r="BY256" t="s">
        <v>140</v>
      </c>
      <c r="BZ256" t="s">
        <v>4075</v>
      </c>
      <c r="CA256" t="s">
        <v>1395</v>
      </c>
      <c r="CB256" t="s">
        <v>4075</v>
      </c>
      <c r="CC256" t="s">
        <v>4075</v>
      </c>
      <c r="CD256">
        <v>0.0</v>
      </c>
      <c r="CE256" t="s">
        <v>4075</v>
      </c>
      <c r="CF256" t="b">
        <v>1</v>
      </c>
      <c r="CG256" t="b">
        <v>0</v>
      </c>
      <c r="CH256" t="s">
        <v>5790</v>
      </c>
      <c r="CI256" t="s">
        <v>4075</v>
      </c>
      <c r="CJ256" t="b">
        <v>0</v>
      </c>
      <c r="CK256" t="b">
        <v>1</v>
      </c>
      <c r="CL256" t="s">
        <v>198</v>
      </c>
      <c r="CM256" t="s">
        <v>198</v>
      </c>
      <c r="CN256" t="s">
        <v>4075</v>
      </c>
      <c r="CO256" t="s">
        <v>1397</v>
      </c>
      <c r="CP256" t="s">
        <v>4075</v>
      </c>
      <c r="CQ256" t="s">
        <v>4075</v>
      </c>
      <c r="CR256" t="b">
        <v>1</v>
      </c>
      <c r="CS256" t="s">
        <v>4075</v>
      </c>
      <c r="CT256">
        <v>0.0</v>
      </c>
      <c r="CU256">
        <v>0.0</v>
      </c>
      <c r="CV256" t="s">
        <v>4075</v>
      </c>
      <c r="CW256" t="s">
        <v>4075</v>
      </c>
      <c r="CX256" s="4" t="s">
        <v>3042</v>
      </c>
      <c r="CY256" t="s">
        <v>4075</v>
      </c>
      <c r="CZ256" s="5">
        <v>44481.72734953704</v>
      </c>
      <c r="DA256" t="s">
        <v>5791</v>
      </c>
    </row>
    <row r="257">
      <c r="A257" t="s">
        <v>98</v>
      </c>
      <c r="B257" t="s">
        <v>4075</v>
      </c>
      <c r="C257" t="s">
        <v>4075</v>
      </c>
      <c r="D257" t="s">
        <v>5792</v>
      </c>
      <c r="E257" t="s">
        <v>5793</v>
      </c>
      <c r="F257" s="2">
        <v>38473.0</v>
      </c>
      <c r="G257" t="s">
        <v>1562</v>
      </c>
      <c r="H257" t="s">
        <v>4075</v>
      </c>
      <c r="I257" s="3" t="str">
        <f>HYPERLINK("https://api.typeform.com/responses/files/ff82edbb806ae119e1b7f832dd6b9376092cad91d54e566e99f86d612f4de8ca/bts_boy_with_luv_feat_halsey.jpg")</f>
        <v>https://api.typeform.com/responses/files/ff82edbb806ae119e1b7f832dd6b9376092cad91d54e566e99f86d612f4de8ca/bts_boy_with_luv_feat_halsey.jpg</v>
      </c>
      <c r="J257" t="s">
        <v>5794</v>
      </c>
      <c r="K257" t="b">
        <v>1</v>
      </c>
      <c r="L257" s="4" t="s">
        <v>5795</v>
      </c>
      <c r="M257" t="s">
        <v>5796</v>
      </c>
      <c r="N257" t="s">
        <v>105</v>
      </c>
      <c r="O257" t="s">
        <v>5797</v>
      </c>
      <c r="P257" t="s">
        <v>5798</v>
      </c>
      <c r="Q257" t="s">
        <v>189</v>
      </c>
      <c r="R257" t="s">
        <v>5794</v>
      </c>
      <c r="S257" t="s">
        <v>5799</v>
      </c>
      <c r="T257" s="4" t="s">
        <v>5800</v>
      </c>
      <c r="U257" t="s">
        <v>2380</v>
      </c>
      <c r="V257" t="s">
        <v>5801</v>
      </c>
      <c r="W257" t="s">
        <v>261</v>
      </c>
      <c r="X257" t="s">
        <v>4075</v>
      </c>
      <c r="Y257" t="s">
        <v>158</v>
      </c>
      <c r="Z257" t="s">
        <v>262</v>
      </c>
      <c r="AA257" t="s">
        <v>4075</v>
      </c>
      <c r="AB257" t="s">
        <v>4075</v>
      </c>
      <c r="AC257" s="3" t="str">
        <f>HYPERLINK("https://api.typeform.com/responses/files/54ff3dcbc8334940b081ce746383756603abc015342960ca356126781810f451/as_bts_continue_to_rise_2175634.webp")</f>
        <v>https://api.typeform.com/responses/files/54ff3dcbc8334940b081ce746383756603abc015342960ca356126781810f451/as_bts_continue_to_rise_2175634.webp</v>
      </c>
      <c r="AD257" t="s">
        <v>118</v>
      </c>
      <c r="AE257" t="s">
        <v>1220</v>
      </c>
      <c r="AF257" t="s">
        <v>5802</v>
      </c>
      <c r="AG257">
        <v>0.0</v>
      </c>
      <c r="AH257" s="4" t="s">
        <v>5803</v>
      </c>
      <c r="AI257" t="s">
        <v>121</v>
      </c>
      <c r="AJ257" t="s">
        <v>4075</v>
      </c>
      <c r="AK257" t="s">
        <v>4075</v>
      </c>
      <c r="AL257" t="s">
        <v>621</v>
      </c>
      <c r="AM257" t="s">
        <v>4075</v>
      </c>
      <c r="AN257" t="s">
        <v>4075</v>
      </c>
      <c r="AO257" t="s">
        <v>125</v>
      </c>
      <c r="AP257">
        <v>4.0</v>
      </c>
      <c r="AQ257" t="s">
        <v>126</v>
      </c>
      <c r="AR257" t="s">
        <v>2004</v>
      </c>
      <c r="AS257" t="b">
        <v>1</v>
      </c>
      <c r="AT257" t="b">
        <v>0</v>
      </c>
      <c r="AU257" t="s">
        <v>4075</v>
      </c>
      <c r="AV257">
        <v>4.0</v>
      </c>
      <c r="AW257" t="b">
        <v>1</v>
      </c>
      <c r="AX257" t="s">
        <v>1902</v>
      </c>
      <c r="AY257" s="4" t="s">
        <v>170</v>
      </c>
      <c r="AZ257" t="b">
        <v>0</v>
      </c>
      <c r="BA257" t="b">
        <v>0</v>
      </c>
      <c r="BB257" t="s">
        <v>4075</v>
      </c>
      <c r="BC257" t="s">
        <v>4075</v>
      </c>
      <c r="BD257" t="s">
        <v>2004</v>
      </c>
      <c r="BE257" t="s">
        <v>4075</v>
      </c>
      <c r="BF257" t="s">
        <v>4075</v>
      </c>
      <c r="BG257" t="s">
        <v>4075</v>
      </c>
      <c r="BH257" t="s">
        <v>132</v>
      </c>
      <c r="BI257">
        <v>4.0</v>
      </c>
      <c r="BJ257" t="s">
        <v>5804</v>
      </c>
      <c r="BK257">
        <v>4.0</v>
      </c>
      <c r="BL257">
        <v>5.0</v>
      </c>
      <c r="BM257" t="s">
        <v>2004</v>
      </c>
      <c r="BN257">
        <v>5.0</v>
      </c>
      <c r="BO257">
        <v>5.0</v>
      </c>
      <c r="BP257" t="s">
        <v>5805</v>
      </c>
      <c r="BQ257" t="s">
        <v>1606</v>
      </c>
      <c r="BR257" t="s">
        <v>5806</v>
      </c>
      <c r="BS257" t="s">
        <v>5807</v>
      </c>
      <c r="BT257" t="s">
        <v>4075</v>
      </c>
      <c r="BU257" t="s">
        <v>5808</v>
      </c>
      <c r="BV257" s="3" t="str">
        <f>HYPERLINK("https://api.typeform.com/responses/files/9bd581c4b47124d10f80751a12035ba2294b4e4061adae0c69c5c8d2e4f762a3/bts_boy_with_luv_feat_halsey.jpg")</f>
        <v>https://api.typeform.com/responses/files/9bd581c4b47124d10f80751a12035ba2294b4e4061adae0c69c5c8d2e4f762a3/bts_boy_with_luv_feat_halsey.jpg</v>
      </c>
      <c r="BW257" t="b">
        <v>1</v>
      </c>
      <c r="BX257" t="s">
        <v>1394</v>
      </c>
      <c r="BY257" t="s">
        <v>140</v>
      </c>
      <c r="BZ257" t="s">
        <v>4075</v>
      </c>
      <c r="CA257" t="s">
        <v>1395</v>
      </c>
      <c r="CB257" t="s">
        <v>4075</v>
      </c>
      <c r="CC257" t="s">
        <v>4075</v>
      </c>
      <c r="CD257">
        <v>0.0</v>
      </c>
      <c r="CE257" t="s">
        <v>4075</v>
      </c>
      <c r="CF257" t="b">
        <v>1</v>
      </c>
      <c r="CG257" t="b">
        <v>1</v>
      </c>
      <c r="CH257" t="s">
        <v>168</v>
      </c>
      <c r="CI257" t="s">
        <v>4075</v>
      </c>
      <c r="CJ257" t="b">
        <v>1</v>
      </c>
      <c r="CK257" t="b">
        <v>1</v>
      </c>
      <c r="CL257" t="s">
        <v>198</v>
      </c>
      <c r="CM257" t="s">
        <v>4075</v>
      </c>
      <c r="CN257" t="s">
        <v>4075</v>
      </c>
      <c r="CO257" t="s">
        <v>200</v>
      </c>
      <c r="CP257" t="s">
        <v>4075</v>
      </c>
      <c r="CQ257" t="s">
        <v>4075</v>
      </c>
      <c r="CR257" t="b">
        <v>1</v>
      </c>
      <c r="CS257" t="s">
        <v>4075</v>
      </c>
      <c r="CT257">
        <v>0.0</v>
      </c>
      <c r="CU257">
        <v>0.0</v>
      </c>
      <c r="CV257" t="s">
        <v>4075</v>
      </c>
      <c r="CW257" t="s">
        <v>4075</v>
      </c>
      <c r="CX257" s="4" t="s">
        <v>5809</v>
      </c>
      <c r="CY257" t="s">
        <v>4075</v>
      </c>
      <c r="CZ257" s="5">
        <v>44481.73023148148</v>
      </c>
      <c r="DA257" t="s">
        <v>5810</v>
      </c>
    </row>
    <row r="258">
      <c r="A258" t="s">
        <v>98</v>
      </c>
      <c r="B258" t="s">
        <v>4075</v>
      </c>
      <c r="C258" t="s">
        <v>4075</v>
      </c>
      <c r="D258" t="s">
        <v>5811</v>
      </c>
      <c r="E258" t="s">
        <v>5812</v>
      </c>
      <c r="F258" s="2">
        <v>38686.0</v>
      </c>
      <c r="G258" t="s">
        <v>1466</v>
      </c>
      <c r="H258" t="s">
        <v>4075</v>
      </c>
      <c r="I258" s="3" t="str">
        <f>HYPERLINK("https://api.typeform.com/responses/files/a4ae87471c1fc2a5b96cebdff21770a4fd9e112182c3c46922f633d122ffbf28/IMG_0078.jpg")</f>
        <v>https://api.typeform.com/responses/files/a4ae87471c1fc2a5b96cebdff21770a4fd9e112182c3c46922f633d122ffbf28/IMG_0078.jpg</v>
      </c>
      <c r="J258" t="s">
        <v>5813</v>
      </c>
      <c r="K258" t="b">
        <v>1</v>
      </c>
      <c r="L258" s="4" t="s">
        <v>5814</v>
      </c>
      <c r="M258" t="s">
        <v>5815</v>
      </c>
      <c r="N258" t="s">
        <v>105</v>
      </c>
      <c r="O258" t="s">
        <v>5816</v>
      </c>
      <c r="P258" t="s">
        <v>5817</v>
      </c>
      <c r="Q258" t="s">
        <v>189</v>
      </c>
      <c r="R258" t="s">
        <v>5818</v>
      </c>
      <c r="S258" t="s">
        <v>5815</v>
      </c>
      <c r="T258" s="4" t="s">
        <v>5819</v>
      </c>
      <c r="U258" t="s">
        <v>5820</v>
      </c>
      <c r="V258" t="s">
        <v>5821</v>
      </c>
      <c r="W258" t="s">
        <v>2290</v>
      </c>
      <c r="X258" t="s">
        <v>4075</v>
      </c>
      <c r="Y258" t="s">
        <v>158</v>
      </c>
      <c r="Z258" t="s">
        <v>262</v>
      </c>
      <c r="AA258" t="s">
        <v>4075</v>
      </c>
      <c r="AB258" t="s">
        <v>4075</v>
      </c>
      <c r="AC258" s="3" t="str">
        <f>HYPERLINK("https://api.typeform.com/responses/files/58d0f56b8003759722a804c8102ff43b2c8744b9583f9f75fd087e3da3c4023d/Report_Card.png")</f>
        <v>https://api.typeform.com/responses/files/58d0f56b8003759722a804c8102ff43b2c8744b9583f9f75fd087e3da3c4023d/Report_Card.png</v>
      </c>
      <c r="AD258" t="s">
        <v>118</v>
      </c>
      <c r="AE258" t="s">
        <v>1220</v>
      </c>
      <c r="AF258" t="s">
        <v>5822</v>
      </c>
      <c r="AG258">
        <v>0.0</v>
      </c>
      <c r="AH258" s="4" t="s">
        <v>1521</v>
      </c>
      <c r="AI258" t="s">
        <v>121</v>
      </c>
      <c r="AJ258" t="s">
        <v>4075</v>
      </c>
      <c r="AK258" t="s">
        <v>5823</v>
      </c>
      <c r="AL258" t="s">
        <v>621</v>
      </c>
      <c r="AM258" t="s">
        <v>4075</v>
      </c>
      <c r="AN258" t="s">
        <v>4075</v>
      </c>
      <c r="AO258" t="s">
        <v>486</v>
      </c>
      <c r="AP258">
        <v>6.0</v>
      </c>
      <c r="AQ258" t="s">
        <v>1520</v>
      </c>
      <c r="AR258" t="s">
        <v>5515</v>
      </c>
      <c r="AS258" t="b">
        <v>0</v>
      </c>
      <c r="AT258" t="s">
        <v>4075</v>
      </c>
      <c r="AU258" t="s">
        <v>4075</v>
      </c>
      <c r="AV258">
        <v>6.0</v>
      </c>
      <c r="AW258" t="b">
        <v>1</v>
      </c>
      <c r="AX258" t="s">
        <v>1902</v>
      </c>
      <c r="AY258" s="4" t="s">
        <v>518</v>
      </c>
      <c r="AZ258" t="b">
        <v>0</v>
      </c>
      <c r="BA258" t="b">
        <v>0</v>
      </c>
      <c r="BB258" t="s">
        <v>4075</v>
      </c>
      <c r="BC258" t="s">
        <v>4075</v>
      </c>
      <c r="BD258" t="s">
        <v>5824</v>
      </c>
      <c r="BE258" t="s">
        <v>4075</v>
      </c>
      <c r="BF258" t="s">
        <v>4075</v>
      </c>
      <c r="BG258" t="s">
        <v>4075</v>
      </c>
      <c r="BH258" t="s">
        <v>132</v>
      </c>
      <c r="BI258">
        <v>1.0</v>
      </c>
      <c r="BJ258" t="s">
        <v>5825</v>
      </c>
      <c r="BK258">
        <v>2.0</v>
      </c>
      <c r="BL258">
        <v>5.0</v>
      </c>
      <c r="BM258" t="s">
        <v>5826</v>
      </c>
      <c r="BN258">
        <v>3.0</v>
      </c>
      <c r="BO258">
        <v>6.0</v>
      </c>
      <c r="BP258" t="s">
        <v>5827</v>
      </c>
      <c r="BQ258" t="s">
        <v>4618</v>
      </c>
      <c r="BR258" t="s">
        <v>5828</v>
      </c>
      <c r="BS258" t="s">
        <v>5829</v>
      </c>
      <c r="BT258" t="s">
        <v>4075</v>
      </c>
      <c r="BU258" t="s">
        <v>528</v>
      </c>
      <c r="BV258" s="3" t="str">
        <f>HYPERLINK("https://api.typeform.com/responses/files/d55fa50adfc038882fa4048eed25827d67a107af9360052225cff1dc75d99f06/Report_Card.png")</f>
        <v>https://api.typeform.com/responses/files/d55fa50adfc038882fa4048eed25827d67a107af9360052225cff1dc75d99f06/Report_Card.png</v>
      </c>
      <c r="BW258" t="b">
        <v>1</v>
      </c>
      <c r="BX258" t="s">
        <v>1394</v>
      </c>
      <c r="BY258" t="s">
        <v>140</v>
      </c>
      <c r="BZ258" t="s">
        <v>4075</v>
      </c>
      <c r="CA258" t="s">
        <v>1395</v>
      </c>
      <c r="CB258" t="s">
        <v>4075</v>
      </c>
      <c r="CC258" t="s">
        <v>4075</v>
      </c>
      <c r="CD258">
        <v>0.0</v>
      </c>
      <c r="CE258" t="s">
        <v>4075</v>
      </c>
      <c r="CF258" t="b">
        <v>0</v>
      </c>
      <c r="CG258" t="b">
        <v>0</v>
      </c>
      <c r="CH258" t="s">
        <v>168</v>
      </c>
      <c r="CI258" t="s">
        <v>4075</v>
      </c>
      <c r="CJ258" t="b">
        <v>1</v>
      </c>
      <c r="CK258" t="b">
        <v>0</v>
      </c>
      <c r="CL258" t="s">
        <v>541</v>
      </c>
      <c r="CM258" t="s">
        <v>541</v>
      </c>
      <c r="CN258" t="s">
        <v>4075</v>
      </c>
      <c r="CO258" t="s">
        <v>200</v>
      </c>
      <c r="CP258" t="s">
        <v>4075</v>
      </c>
      <c r="CQ258" t="s">
        <v>541</v>
      </c>
      <c r="CR258" t="b">
        <v>1</v>
      </c>
      <c r="CS258" t="s">
        <v>4075</v>
      </c>
      <c r="CT258">
        <v>0.0</v>
      </c>
      <c r="CU258">
        <v>0.0</v>
      </c>
      <c r="CV258" t="s">
        <v>4075</v>
      </c>
      <c r="CW258" t="s">
        <v>4075</v>
      </c>
      <c r="CX258" s="4" t="s">
        <v>5830</v>
      </c>
      <c r="CY258" t="s">
        <v>4075</v>
      </c>
      <c r="CZ258" s="5">
        <v>44481.73736111111</v>
      </c>
      <c r="DA258" t="s">
        <v>5831</v>
      </c>
    </row>
    <row r="259">
      <c r="A259" t="s">
        <v>98</v>
      </c>
      <c r="B259" t="s">
        <v>4075</v>
      </c>
      <c r="C259" t="s">
        <v>4075</v>
      </c>
      <c r="D259" t="s">
        <v>5832</v>
      </c>
      <c r="E259" t="s">
        <v>5833</v>
      </c>
      <c r="F259" s="2">
        <v>38103.0</v>
      </c>
      <c r="G259" t="s">
        <v>1360</v>
      </c>
      <c r="H259" t="s">
        <v>4075</v>
      </c>
      <c r="I259" s="3" t="str">
        <f>HYPERLINK("8de7cf13e024-PicsArt_10_07_03.08.36.jpg")</f>
        <v>8de7cf13e024-PicsArt_10_07_03.08.36.jpg</v>
      </c>
      <c r="J259" t="s">
        <v>5834</v>
      </c>
      <c r="K259" t="b">
        <v>1</v>
      </c>
      <c r="L259" s="4" t="s">
        <v>5835</v>
      </c>
      <c r="M259" t="s">
        <v>5836</v>
      </c>
      <c r="N259" t="s">
        <v>149</v>
      </c>
      <c r="O259" t="s">
        <v>4075</v>
      </c>
      <c r="P259" t="s">
        <v>5837</v>
      </c>
      <c r="Q259" t="s">
        <v>152</v>
      </c>
      <c r="R259" t="s">
        <v>5838</v>
      </c>
      <c r="S259" t="s">
        <v>5839</v>
      </c>
      <c r="T259" s="4" t="s">
        <v>5840</v>
      </c>
      <c r="U259" t="s">
        <v>2722</v>
      </c>
      <c r="V259" t="s">
        <v>5841</v>
      </c>
      <c r="W259" t="s">
        <v>2290</v>
      </c>
      <c r="X259" t="s">
        <v>4075</v>
      </c>
      <c r="Y259" t="s">
        <v>158</v>
      </c>
      <c r="Z259" t="s">
        <v>262</v>
      </c>
      <c r="AA259" t="s">
        <v>4075</v>
      </c>
      <c r="AB259" t="s">
        <v>4075</v>
      </c>
      <c r="AC259" s="3" t="str">
        <f>HYPERLINK("603a5bb3cac9-notas.png")</f>
        <v>603a5bb3cac9-notas.png</v>
      </c>
      <c r="AD259" t="s">
        <v>118</v>
      </c>
      <c r="AE259" t="s">
        <v>729</v>
      </c>
      <c r="AF259" t="s">
        <v>4631</v>
      </c>
      <c r="AG259">
        <v>15.0</v>
      </c>
      <c r="AH259" t="s">
        <v>5842</v>
      </c>
      <c r="AI259" t="s">
        <v>162</v>
      </c>
      <c r="AJ259" t="s">
        <v>4075</v>
      </c>
      <c r="AK259" t="s">
        <v>5843</v>
      </c>
      <c r="AL259" t="s">
        <v>5844</v>
      </c>
      <c r="AM259" t="s">
        <v>4075</v>
      </c>
      <c r="AN259" t="s">
        <v>4075</v>
      </c>
      <c r="AO259" t="s">
        <v>125</v>
      </c>
      <c r="AP259">
        <v>4.0</v>
      </c>
      <c r="AQ259" t="s">
        <v>2240</v>
      </c>
      <c r="AR259" t="s">
        <v>5845</v>
      </c>
      <c r="AS259" t="b">
        <v>1</v>
      </c>
      <c r="AT259" t="b">
        <v>1</v>
      </c>
      <c r="AU259" t="s">
        <v>4075</v>
      </c>
      <c r="AV259">
        <v>2.0</v>
      </c>
      <c r="AW259" t="b">
        <v>0</v>
      </c>
      <c r="AX259" t="s">
        <v>4075</v>
      </c>
      <c r="AY259" t="s">
        <v>4075</v>
      </c>
      <c r="AZ259" t="b">
        <v>0</v>
      </c>
      <c r="BA259" t="b">
        <v>1</v>
      </c>
      <c r="BB259" t="b">
        <v>0</v>
      </c>
      <c r="BC259" t="s">
        <v>5846</v>
      </c>
      <c r="BD259" t="s">
        <v>4075</v>
      </c>
      <c r="BE259" t="s">
        <v>4075</v>
      </c>
      <c r="BF259" t="s">
        <v>4075</v>
      </c>
      <c r="BG259" t="s">
        <v>4075</v>
      </c>
      <c r="BH259" t="s">
        <v>132</v>
      </c>
      <c r="BI259">
        <v>2.0</v>
      </c>
      <c r="BJ259" t="s">
        <v>5847</v>
      </c>
      <c r="BK259">
        <v>4.0</v>
      </c>
      <c r="BL259">
        <v>3.0</v>
      </c>
      <c r="BM259" t="s">
        <v>5848</v>
      </c>
      <c r="BN259">
        <v>5.0</v>
      </c>
      <c r="BO259">
        <v>4.0</v>
      </c>
      <c r="BP259" t="s">
        <v>5849</v>
      </c>
      <c r="BQ259" t="s">
        <v>5850</v>
      </c>
      <c r="BR259" t="s">
        <v>5851</v>
      </c>
      <c r="BS259" t="s">
        <v>5852</v>
      </c>
      <c r="BT259" t="s">
        <v>4075</v>
      </c>
      <c r="BU259" t="s">
        <v>5853</v>
      </c>
      <c r="BV259" s="3" t="str">
        <f>HYPERLINK("https://api.typeform.com/responses/files/aad63959564565e4396416401ede6cfae19dbccb6f792df8b1ad856d1fcc9e3f/20211008_132239.jpg")</f>
        <v>https://api.typeform.com/responses/files/aad63959564565e4396416401ede6cfae19dbccb6f792df8b1ad856d1fcc9e3f/20211008_132239.jpg</v>
      </c>
      <c r="BW259" t="b">
        <v>1</v>
      </c>
      <c r="BX259" t="s">
        <v>1394</v>
      </c>
      <c r="BY259" t="s">
        <v>140</v>
      </c>
      <c r="BZ259" t="s">
        <v>4075</v>
      </c>
      <c r="CA259" t="s">
        <v>1395</v>
      </c>
      <c r="CB259" t="s">
        <v>4075</v>
      </c>
      <c r="CC259" t="s">
        <v>4075</v>
      </c>
      <c r="CD259">
        <v>0.0</v>
      </c>
      <c r="CE259" t="s">
        <v>4075</v>
      </c>
      <c r="CF259" t="b">
        <v>1</v>
      </c>
      <c r="CG259" t="b">
        <v>0</v>
      </c>
      <c r="CH259" t="s">
        <v>4029</v>
      </c>
      <c r="CI259" t="s">
        <v>4075</v>
      </c>
      <c r="CJ259" t="b">
        <v>1</v>
      </c>
      <c r="CK259" t="b">
        <v>1</v>
      </c>
      <c r="CL259" t="s">
        <v>387</v>
      </c>
      <c r="CM259" t="s">
        <v>4075</v>
      </c>
      <c r="CN259" t="s">
        <v>4075</v>
      </c>
      <c r="CO259" t="s">
        <v>5854</v>
      </c>
      <c r="CP259" t="s">
        <v>4075</v>
      </c>
      <c r="CQ259" t="s">
        <v>4075</v>
      </c>
      <c r="CR259" t="b">
        <v>1</v>
      </c>
      <c r="CS259" t="s">
        <v>4075</v>
      </c>
      <c r="CT259">
        <v>0.0</v>
      </c>
      <c r="CU259">
        <v>0.0</v>
      </c>
      <c r="CV259" t="s">
        <v>4075</v>
      </c>
      <c r="CW259" t="s">
        <v>4075</v>
      </c>
      <c r="CX259" s="4" t="s">
        <v>5855</v>
      </c>
      <c r="CY259" t="s">
        <v>4075</v>
      </c>
      <c r="CZ259" s="5">
        <v>44481.75983796296</v>
      </c>
      <c r="DA259" t="s">
        <v>5856</v>
      </c>
    </row>
    <row r="260">
      <c r="A260" t="s">
        <v>98</v>
      </c>
      <c r="B260" t="s">
        <v>4075</v>
      </c>
      <c r="C260" t="s">
        <v>4075</v>
      </c>
      <c r="D260" t="s">
        <v>5857</v>
      </c>
      <c r="E260" t="s">
        <v>5812</v>
      </c>
      <c r="F260" s="2">
        <v>38686.0</v>
      </c>
      <c r="G260" t="s">
        <v>1466</v>
      </c>
      <c r="H260" t="s">
        <v>4075</v>
      </c>
      <c r="I260" s="3" t="str">
        <f>HYPERLINK("https://api.typeform.com/responses/files/dbda533a719c3748de47b54f60f47d04611d8063088a25a141aba57b4d2fd55b/20211012_130859.jpg")</f>
        <v>https://api.typeform.com/responses/files/dbda533a719c3748de47b54f60f47d04611d8063088a25a141aba57b4d2fd55b/20211012_130859.jpg</v>
      </c>
      <c r="J260" t="s">
        <v>5858</v>
      </c>
      <c r="K260" t="b">
        <v>1</v>
      </c>
      <c r="L260" s="4" t="s">
        <v>5859</v>
      </c>
      <c r="M260" t="s">
        <v>5860</v>
      </c>
      <c r="N260" t="s">
        <v>105</v>
      </c>
      <c r="O260" t="s">
        <v>5861</v>
      </c>
      <c r="P260" t="s">
        <v>5817</v>
      </c>
      <c r="Q260" t="s">
        <v>189</v>
      </c>
      <c r="R260" t="s">
        <v>5818</v>
      </c>
      <c r="S260" t="s">
        <v>5862</v>
      </c>
      <c r="T260" s="4" t="s">
        <v>5819</v>
      </c>
      <c r="U260" t="s">
        <v>3078</v>
      </c>
      <c r="V260" t="s">
        <v>5863</v>
      </c>
      <c r="W260" t="s">
        <v>261</v>
      </c>
      <c r="X260" t="s">
        <v>4075</v>
      </c>
      <c r="Y260" t="s">
        <v>158</v>
      </c>
      <c r="Z260" t="s">
        <v>262</v>
      </c>
      <c r="AA260" t="s">
        <v>4075</v>
      </c>
      <c r="AB260" t="s">
        <v>4075</v>
      </c>
      <c r="AC260" s="3" t="str">
        <f>HYPERLINK("https://api.typeform.com/responses/files/30b493b12bf2404a4d1df2d35b7c95d0089b0dab83809ca75f7629ce5081bbdb/sky01.jpg")</f>
        <v>https://api.typeform.com/responses/files/30b493b12bf2404a4d1df2d35b7c95d0089b0dab83809ca75f7629ce5081bbdb/sky01.jpg</v>
      </c>
      <c r="AD260" t="s">
        <v>3642</v>
      </c>
      <c r="AE260" t="s">
        <v>1780</v>
      </c>
      <c r="AF260" t="s">
        <v>4075</v>
      </c>
      <c r="AG260" t="s">
        <v>4075</v>
      </c>
      <c r="AH260" t="s">
        <v>4075</v>
      </c>
      <c r="AI260" t="s">
        <v>121</v>
      </c>
      <c r="AJ260" t="s">
        <v>4075</v>
      </c>
      <c r="AK260" t="s">
        <v>3370</v>
      </c>
      <c r="AL260" t="s">
        <v>621</v>
      </c>
      <c r="AM260" t="s">
        <v>4075</v>
      </c>
      <c r="AN260" t="s">
        <v>4075</v>
      </c>
      <c r="AO260" t="s">
        <v>486</v>
      </c>
      <c r="AP260">
        <v>1.0</v>
      </c>
      <c r="AQ260" t="s">
        <v>1520</v>
      </c>
      <c r="AR260" t="s">
        <v>5864</v>
      </c>
      <c r="AS260" t="b">
        <v>1</v>
      </c>
      <c r="AT260" t="b">
        <v>0</v>
      </c>
      <c r="AU260" t="s">
        <v>4075</v>
      </c>
      <c r="AV260">
        <v>4.0</v>
      </c>
      <c r="AW260" t="b">
        <v>0</v>
      </c>
      <c r="AX260" t="s">
        <v>4075</v>
      </c>
      <c r="AY260" t="s">
        <v>4075</v>
      </c>
      <c r="AZ260" t="b">
        <v>0</v>
      </c>
      <c r="BA260" t="b">
        <v>0</v>
      </c>
      <c r="BB260" t="s">
        <v>4075</v>
      </c>
      <c r="BC260" t="s">
        <v>4075</v>
      </c>
      <c r="BD260" t="s">
        <v>5864</v>
      </c>
      <c r="BE260" t="s">
        <v>4075</v>
      </c>
      <c r="BF260" t="s">
        <v>4075</v>
      </c>
      <c r="BG260" t="s">
        <v>4075</v>
      </c>
      <c r="BH260" t="s">
        <v>132</v>
      </c>
      <c r="BI260">
        <v>2.0</v>
      </c>
      <c r="BJ260" t="s">
        <v>5865</v>
      </c>
      <c r="BK260">
        <v>2.0</v>
      </c>
      <c r="BL260">
        <v>5.0</v>
      </c>
      <c r="BM260" t="s">
        <v>5866</v>
      </c>
      <c r="BN260">
        <v>4.0</v>
      </c>
      <c r="BO260">
        <v>5.0</v>
      </c>
      <c r="BP260" t="s">
        <v>5867</v>
      </c>
      <c r="BQ260" t="s">
        <v>2964</v>
      </c>
      <c r="BR260" t="s">
        <v>5868</v>
      </c>
      <c r="BS260" t="s">
        <v>5869</v>
      </c>
      <c r="BT260" t="s">
        <v>4075</v>
      </c>
      <c r="BU260" t="s">
        <v>5870</v>
      </c>
      <c r="BV260" s="3" t="str">
        <f>HYPERLINK("https://api.typeform.com/responses/files/65fa195e335630997934c3b997029467f7cca1dac7bf49daf6f49de145b2d9ee/sky01.jpg")</f>
        <v>https://api.typeform.com/responses/files/65fa195e335630997934c3b997029467f7cca1dac7bf49daf6f49de145b2d9ee/sky01.jpg</v>
      </c>
      <c r="BW260" t="b">
        <v>1</v>
      </c>
      <c r="BX260" t="s">
        <v>1394</v>
      </c>
      <c r="BY260" t="s">
        <v>140</v>
      </c>
      <c r="BZ260" t="s">
        <v>4075</v>
      </c>
      <c r="CA260" t="s">
        <v>1395</v>
      </c>
      <c r="CB260" t="s">
        <v>4075</v>
      </c>
      <c r="CC260" t="s">
        <v>4075</v>
      </c>
      <c r="CD260">
        <v>0.0</v>
      </c>
      <c r="CE260" t="s">
        <v>4075</v>
      </c>
      <c r="CF260" t="b">
        <v>0</v>
      </c>
      <c r="CG260" t="b">
        <v>0</v>
      </c>
      <c r="CH260" t="s">
        <v>5871</v>
      </c>
      <c r="CI260" t="s">
        <v>4075</v>
      </c>
      <c r="CJ260" t="b">
        <v>0</v>
      </c>
      <c r="CK260" t="b">
        <v>0</v>
      </c>
      <c r="CL260" t="s">
        <v>541</v>
      </c>
      <c r="CM260" t="s">
        <v>541</v>
      </c>
      <c r="CN260" t="s">
        <v>4075</v>
      </c>
      <c r="CO260" t="s">
        <v>200</v>
      </c>
      <c r="CP260" t="s">
        <v>4075</v>
      </c>
      <c r="CQ260" t="s">
        <v>541</v>
      </c>
      <c r="CR260" t="b">
        <v>1</v>
      </c>
      <c r="CS260" t="s">
        <v>4075</v>
      </c>
      <c r="CT260">
        <v>0.0</v>
      </c>
      <c r="CU260">
        <v>0.0</v>
      </c>
      <c r="CV260" t="s">
        <v>4075</v>
      </c>
      <c r="CW260" t="s">
        <v>4075</v>
      </c>
      <c r="CX260" s="4" t="s">
        <v>419</v>
      </c>
      <c r="CY260" t="s">
        <v>4075</v>
      </c>
      <c r="CZ260" s="5">
        <v>44481.77329861111</v>
      </c>
      <c r="DA260" t="s">
        <v>5872</v>
      </c>
    </row>
    <row r="261">
      <c r="A261" t="s">
        <v>98</v>
      </c>
      <c r="B261" t="s">
        <v>4075</v>
      </c>
      <c r="C261" t="s">
        <v>4075</v>
      </c>
      <c r="D261" t="s">
        <v>5873</v>
      </c>
      <c r="E261" t="s">
        <v>5874</v>
      </c>
      <c r="F261" s="2">
        <v>38103.0</v>
      </c>
      <c r="G261" t="s">
        <v>1466</v>
      </c>
      <c r="H261" t="s">
        <v>4075</v>
      </c>
      <c r="I261" s="3" t="str">
        <f>HYPERLINK("https://api.typeform.com/responses/files/8cdf96ef3c25ac897fb127f0ef9ca8303b6f5e72735cad141969f74c7ed6c25d/IMG_20211007_150802__01.jpg")</f>
        <v>https://api.typeform.com/responses/files/8cdf96ef3c25ac897fb127f0ef9ca8303b6f5e72735cad141969f74c7ed6c25d/IMG_20211007_150802__01.jpg</v>
      </c>
      <c r="J261" t="s">
        <v>5875</v>
      </c>
      <c r="K261" t="b">
        <v>1</v>
      </c>
      <c r="L261" s="4" t="s">
        <v>5876</v>
      </c>
      <c r="M261" t="s">
        <v>5877</v>
      </c>
      <c r="N261" t="s">
        <v>354</v>
      </c>
      <c r="O261" t="s">
        <v>4075</v>
      </c>
      <c r="P261" t="s">
        <v>5878</v>
      </c>
      <c r="Q261" t="s">
        <v>292</v>
      </c>
      <c r="R261" t="s">
        <v>5875</v>
      </c>
      <c r="S261" t="s">
        <v>5877</v>
      </c>
      <c r="T261" s="4" t="s">
        <v>5879</v>
      </c>
      <c r="U261" t="s">
        <v>2722</v>
      </c>
      <c r="V261" t="s">
        <v>5880</v>
      </c>
      <c r="W261" t="s">
        <v>2290</v>
      </c>
      <c r="X261" t="s">
        <v>4075</v>
      </c>
      <c r="Y261" t="s">
        <v>158</v>
      </c>
      <c r="Z261" t="s">
        <v>262</v>
      </c>
      <c r="AA261" t="s">
        <v>4075</v>
      </c>
      <c r="AB261" t="s">
        <v>4075</v>
      </c>
      <c r="AC261" s="3" t="str">
        <f>HYPERLINK("https://api.typeform.com/responses/files/d0df172b288dcf50b8dbdee36a39702ab87bc4a0a56e1669be1ee44fd6fa8a59/Screenshot_2021_10_13_9.01.29_AM.png")</f>
        <v>https://api.typeform.com/responses/files/d0df172b288dcf50b8dbdee36a39702ab87bc4a0a56e1669be1ee44fd6fa8a59/Screenshot_2021_10_13_9.01.29_AM.png</v>
      </c>
      <c r="AD261" t="s">
        <v>118</v>
      </c>
      <c r="AE261" t="s">
        <v>729</v>
      </c>
      <c r="AF261" t="s">
        <v>1170</v>
      </c>
      <c r="AG261">
        <v>15.0</v>
      </c>
      <c r="AH261" t="s">
        <v>5881</v>
      </c>
      <c r="AI261" t="s">
        <v>386</v>
      </c>
      <c r="AJ261" t="s">
        <v>4075</v>
      </c>
      <c r="AK261" t="s">
        <v>4075</v>
      </c>
      <c r="AL261" t="s">
        <v>1043</v>
      </c>
      <c r="AM261" t="s">
        <v>4075</v>
      </c>
      <c r="AN261" t="s">
        <v>4075</v>
      </c>
      <c r="AO261" t="s">
        <v>335</v>
      </c>
      <c r="AP261">
        <v>7.0</v>
      </c>
      <c r="AQ261" t="s">
        <v>303</v>
      </c>
      <c r="AR261" t="s">
        <v>5882</v>
      </c>
      <c r="AS261" t="b">
        <v>1</v>
      </c>
      <c r="AT261" t="b">
        <v>0</v>
      </c>
      <c r="AU261" t="s">
        <v>4075</v>
      </c>
      <c r="AV261">
        <v>5.0</v>
      </c>
      <c r="AW261" t="b">
        <v>0</v>
      </c>
      <c r="AX261" t="s">
        <v>4075</v>
      </c>
      <c r="AY261" t="s">
        <v>4075</v>
      </c>
      <c r="AZ261" t="b">
        <v>0</v>
      </c>
      <c r="BA261" t="b">
        <v>0</v>
      </c>
      <c r="BB261" t="s">
        <v>4075</v>
      </c>
      <c r="BC261" t="s">
        <v>4075</v>
      </c>
      <c r="BD261" t="s">
        <v>5882</v>
      </c>
      <c r="BE261" t="s">
        <v>4075</v>
      </c>
      <c r="BF261" t="s">
        <v>4075</v>
      </c>
      <c r="BG261" t="s">
        <v>4075</v>
      </c>
      <c r="BH261" t="s">
        <v>132</v>
      </c>
      <c r="BI261">
        <v>1.0</v>
      </c>
      <c r="BJ261" t="s">
        <v>5883</v>
      </c>
      <c r="BK261">
        <v>3.0</v>
      </c>
      <c r="BL261">
        <v>4.0</v>
      </c>
      <c r="BM261" t="s">
        <v>5884</v>
      </c>
      <c r="BN261">
        <v>3.0</v>
      </c>
      <c r="BO261">
        <v>1.0</v>
      </c>
      <c r="BP261" t="s">
        <v>5885</v>
      </c>
      <c r="BQ261" t="s">
        <v>945</v>
      </c>
      <c r="BR261" t="s">
        <v>5886</v>
      </c>
      <c r="BS261" t="s">
        <v>5887</v>
      </c>
      <c r="BT261" t="s">
        <v>4075</v>
      </c>
      <c r="BU261" t="s">
        <v>5888</v>
      </c>
      <c r="BV261" s="3" t="str">
        <f>HYPERLINK("https://api.typeform.com/responses/files/1ef9fd7103ff33ea8b12ae21a74f356afa5126c01abe7979aec9cfe1467e08b2/IMG_20211012_130443__01.jpg")</f>
        <v>https://api.typeform.com/responses/files/1ef9fd7103ff33ea8b12ae21a74f356afa5126c01abe7979aec9cfe1467e08b2/IMG_20211012_130443__01.jpg</v>
      </c>
      <c r="BW261" t="b">
        <v>1</v>
      </c>
      <c r="BX261" t="s">
        <v>1394</v>
      </c>
      <c r="BY261" t="s">
        <v>140</v>
      </c>
      <c r="BZ261" t="s">
        <v>4075</v>
      </c>
      <c r="CA261" t="s">
        <v>1395</v>
      </c>
      <c r="CB261" t="s">
        <v>4075</v>
      </c>
      <c r="CC261" t="s">
        <v>4075</v>
      </c>
      <c r="CD261">
        <v>0.0</v>
      </c>
      <c r="CE261" t="s">
        <v>4075</v>
      </c>
      <c r="CF261" t="b">
        <v>1</v>
      </c>
      <c r="CG261" t="b">
        <v>1</v>
      </c>
      <c r="CH261" t="s">
        <v>4188</v>
      </c>
      <c r="CI261" t="s">
        <v>4075</v>
      </c>
      <c r="CJ261" t="b">
        <v>1</v>
      </c>
      <c r="CK261" t="b">
        <v>1</v>
      </c>
      <c r="CL261" t="s">
        <v>387</v>
      </c>
      <c r="CM261" t="s">
        <v>387</v>
      </c>
      <c r="CN261" t="s">
        <v>4075</v>
      </c>
      <c r="CO261" t="s">
        <v>1635</v>
      </c>
      <c r="CP261" t="s">
        <v>4075</v>
      </c>
      <c r="CQ261" t="s">
        <v>387</v>
      </c>
      <c r="CR261" t="b">
        <v>1</v>
      </c>
      <c r="CS261" t="s">
        <v>4075</v>
      </c>
      <c r="CT261">
        <v>1.0</v>
      </c>
      <c r="CU261">
        <v>0.0</v>
      </c>
      <c r="CV261" t="s">
        <v>4075</v>
      </c>
      <c r="CW261" t="s">
        <v>4075</v>
      </c>
      <c r="CX261" t="s">
        <v>620</v>
      </c>
      <c r="CY261" t="s">
        <v>4075</v>
      </c>
      <c r="CZ261" s="5">
        <v>44483.798113425924</v>
      </c>
      <c r="DA261" t="s">
        <v>5889</v>
      </c>
    </row>
    <row r="262">
      <c r="A262" t="s">
        <v>98</v>
      </c>
      <c r="B262" t="s">
        <v>4075</v>
      </c>
      <c r="C262" t="s">
        <v>4075</v>
      </c>
      <c r="D262" t="s">
        <v>4525</v>
      </c>
      <c r="E262" t="s">
        <v>4526</v>
      </c>
      <c r="F262" s="2">
        <v>38093.0</v>
      </c>
      <c r="G262" t="s">
        <v>1466</v>
      </c>
      <c r="H262" t="s">
        <v>4075</v>
      </c>
      <c r="I262" s="3" t="str">
        <f>HYPERLINK("https://api.typeform.com/responses/files/b2b92589c2e2b6b208875bccb65fe88d4e0f1e538c092ad265b340156f5e0155/Screenshot_2021_10_07_3.07.36_PM.png")</f>
        <v>https://api.typeform.com/responses/files/b2b92589c2e2b6b208875bccb65fe88d4e0f1e538c092ad265b340156f5e0155/Screenshot_2021_10_07_3.07.36_PM.png</v>
      </c>
      <c r="J262" t="s">
        <v>5890</v>
      </c>
      <c r="K262" t="b">
        <v>1</v>
      </c>
      <c r="L262" s="4" t="s">
        <v>4528</v>
      </c>
      <c r="M262" t="s">
        <v>5891</v>
      </c>
      <c r="N262" t="s">
        <v>149</v>
      </c>
      <c r="O262" t="s">
        <v>5892</v>
      </c>
      <c r="P262" t="s">
        <v>5893</v>
      </c>
      <c r="Q262" t="s">
        <v>189</v>
      </c>
      <c r="R262" t="s">
        <v>5894</v>
      </c>
      <c r="S262" t="s">
        <v>5895</v>
      </c>
      <c r="T262" s="4" t="s">
        <v>4534</v>
      </c>
      <c r="U262" t="s">
        <v>3199</v>
      </c>
      <c r="V262" t="s">
        <v>4664</v>
      </c>
      <c r="W262" t="s">
        <v>2290</v>
      </c>
      <c r="X262" t="s">
        <v>4075</v>
      </c>
      <c r="Y262" t="s">
        <v>158</v>
      </c>
      <c r="Z262" t="s">
        <v>262</v>
      </c>
      <c r="AA262" t="s">
        <v>4075</v>
      </c>
      <c r="AB262" t="s">
        <v>4075</v>
      </c>
      <c r="AC262" s="3" t="str">
        <f>HYPERLINK("https://api.typeform.com/responses/files/74c41e77c18264b1094e653da602e2e7b67ec5f11268db0f227c10f17ae7d721/Screenshot_2021_10_07_3.18.29_PM.png")</f>
        <v>https://api.typeform.com/responses/files/74c41e77c18264b1094e653da602e2e7b67ec5f11268db0f227c10f17ae7d721/Screenshot_2021_10_07_3.18.29_PM.png</v>
      </c>
      <c r="AD262" t="s">
        <v>118</v>
      </c>
      <c r="AE262" t="s">
        <v>729</v>
      </c>
      <c r="AF262" t="s">
        <v>2292</v>
      </c>
      <c r="AG262">
        <v>15.0</v>
      </c>
      <c r="AH262" s="4" t="s">
        <v>273</v>
      </c>
      <c r="AI262" t="s">
        <v>205</v>
      </c>
      <c r="AJ262" t="s">
        <v>4075</v>
      </c>
      <c r="AK262" t="s">
        <v>139</v>
      </c>
      <c r="AL262" t="s">
        <v>199</v>
      </c>
      <c r="AM262" t="s">
        <v>4075</v>
      </c>
      <c r="AN262" t="s">
        <v>4075</v>
      </c>
      <c r="AO262" t="s">
        <v>335</v>
      </c>
      <c r="AP262">
        <v>4.0</v>
      </c>
      <c r="AQ262" t="s">
        <v>1520</v>
      </c>
      <c r="AR262" t="s">
        <v>5896</v>
      </c>
      <c r="AS262" t="b">
        <v>1</v>
      </c>
      <c r="AT262" t="b">
        <v>1</v>
      </c>
      <c r="AU262" t="s">
        <v>4075</v>
      </c>
      <c r="AV262">
        <v>5.0</v>
      </c>
      <c r="AW262" t="b">
        <v>0</v>
      </c>
      <c r="AX262" t="s">
        <v>4075</v>
      </c>
      <c r="AY262" t="s">
        <v>4075</v>
      </c>
      <c r="AZ262" t="b">
        <v>0</v>
      </c>
      <c r="BA262" t="b">
        <v>1</v>
      </c>
      <c r="BB262" t="b">
        <v>0</v>
      </c>
      <c r="BC262" t="s">
        <v>5249</v>
      </c>
      <c r="BD262" t="s">
        <v>4075</v>
      </c>
      <c r="BE262" t="s">
        <v>4075</v>
      </c>
      <c r="BF262" t="s">
        <v>4075</v>
      </c>
      <c r="BG262" t="s">
        <v>4075</v>
      </c>
      <c r="BH262" t="s">
        <v>132</v>
      </c>
      <c r="BI262">
        <v>1.0</v>
      </c>
      <c r="BJ262" t="s">
        <v>5897</v>
      </c>
      <c r="BK262">
        <v>3.0</v>
      </c>
      <c r="BL262">
        <v>5.0</v>
      </c>
      <c r="BM262" t="s">
        <v>5898</v>
      </c>
      <c r="BN262">
        <v>1.0</v>
      </c>
      <c r="BO262">
        <v>6.0</v>
      </c>
      <c r="BP262" t="s">
        <v>5899</v>
      </c>
      <c r="BQ262" t="s">
        <v>5900</v>
      </c>
      <c r="BR262" t="s">
        <v>5901</v>
      </c>
      <c r="BS262" t="s">
        <v>5902</v>
      </c>
      <c r="BT262" t="s">
        <v>4075</v>
      </c>
      <c r="BU262" t="s">
        <v>5903</v>
      </c>
      <c r="BV262" s="3" t="str">
        <f>HYPERLINK("https://api.typeform.com/responses/files/081b19d320fdb775de8c4284cf195996225eb688aa61e7e23eefe9fcf94155c8/Screenshot_2021_10_14_3.22.34_PM.png")</f>
        <v>https://api.typeform.com/responses/files/081b19d320fdb775de8c4284cf195996225eb688aa61e7e23eefe9fcf94155c8/Screenshot_2021_10_14_3.22.34_PM.png</v>
      </c>
      <c r="BW262" t="b">
        <v>1</v>
      </c>
      <c r="BX262" t="s">
        <v>1394</v>
      </c>
      <c r="BY262" t="s">
        <v>140</v>
      </c>
      <c r="BZ262" t="s">
        <v>4075</v>
      </c>
      <c r="CA262" t="s">
        <v>1395</v>
      </c>
      <c r="CB262" t="s">
        <v>4075</v>
      </c>
      <c r="CC262" t="s">
        <v>4075</v>
      </c>
      <c r="CD262">
        <v>0.0</v>
      </c>
      <c r="CE262" t="s">
        <v>4075</v>
      </c>
      <c r="CF262" t="b">
        <v>1</v>
      </c>
      <c r="CG262" t="b">
        <v>1</v>
      </c>
      <c r="CH262" t="s">
        <v>4869</v>
      </c>
      <c r="CI262" t="s">
        <v>4075</v>
      </c>
      <c r="CJ262" t="b">
        <v>1</v>
      </c>
      <c r="CK262" t="b">
        <v>0</v>
      </c>
      <c r="CL262" t="s">
        <v>2301</v>
      </c>
      <c r="CM262" t="s">
        <v>4075</v>
      </c>
      <c r="CN262" t="s">
        <v>4075</v>
      </c>
      <c r="CO262" t="s">
        <v>2888</v>
      </c>
      <c r="CP262" t="s">
        <v>4075</v>
      </c>
      <c r="CQ262" t="s">
        <v>4075</v>
      </c>
      <c r="CR262" t="b">
        <v>1</v>
      </c>
      <c r="CS262" t="s">
        <v>4075</v>
      </c>
      <c r="CT262">
        <v>1.0</v>
      </c>
      <c r="CU262">
        <v>1.0</v>
      </c>
      <c r="CV262" t="s">
        <v>4075</v>
      </c>
      <c r="CW262" t="s">
        <v>4075</v>
      </c>
      <c r="CX262" s="4" t="s">
        <v>734</v>
      </c>
      <c r="CY262" t="s">
        <v>4075</v>
      </c>
      <c r="CZ262" s="5">
        <v>44483.8078125</v>
      </c>
      <c r="DA262" t="s">
        <v>5904</v>
      </c>
    </row>
    <row r="263">
      <c r="A263" t="s">
        <v>98</v>
      </c>
      <c r="B263" t="s">
        <v>4075</v>
      </c>
      <c r="C263" t="s">
        <v>4075</v>
      </c>
      <c r="D263" t="s">
        <v>5905</v>
      </c>
      <c r="E263" t="s">
        <v>5240</v>
      </c>
      <c r="F263" s="2">
        <v>38625.0</v>
      </c>
      <c r="G263" t="s">
        <v>1360</v>
      </c>
      <c r="H263" t="s">
        <v>4075</v>
      </c>
      <c r="I263" s="3" t="str">
        <f>HYPERLINK("https://api.typeform.com/responses/files/75457ba11d450dba2c46b1d8e54655640d51d5773768ee382a5ed92647b05427/E3C0902F_234F_4AB8_B8EF_0A86526E45CA.jpeg")</f>
        <v>https://api.typeform.com/responses/files/75457ba11d450dba2c46b1d8e54655640d51d5773768ee382a5ed92647b05427/E3C0902F_234F_4AB8_B8EF_0A86526E45CA.jpeg</v>
      </c>
      <c r="J263" t="s">
        <v>5906</v>
      </c>
      <c r="K263" t="b">
        <v>1</v>
      </c>
      <c r="L263" s="4" t="s">
        <v>5907</v>
      </c>
      <c r="M263" t="s">
        <v>5908</v>
      </c>
      <c r="N263" t="s">
        <v>354</v>
      </c>
      <c r="O263" t="s">
        <v>4075</v>
      </c>
      <c r="P263" t="s">
        <v>5909</v>
      </c>
      <c r="Q263" t="s">
        <v>152</v>
      </c>
      <c r="R263" t="s">
        <v>5906</v>
      </c>
      <c r="S263" t="s">
        <v>5910</v>
      </c>
      <c r="T263" s="4" t="s">
        <v>5911</v>
      </c>
      <c r="U263" t="s">
        <v>2313</v>
      </c>
      <c r="V263" t="s">
        <v>2514</v>
      </c>
      <c r="W263" t="s">
        <v>2290</v>
      </c>
      <c r="X263" t="s">
        <v>4075</v>
      </c>
      <c r="Y263" t="s">
        <v>158</v>
      </c>
      <c r="Z263" t="s">
        <v>262</v>
      </c>
      <c r="AA263" t="s">
        <v>4075</v>
      </c>
      <c r="AB263" t="s">
        <v>4075</v>
      </c>
      <c r="AC263" s="3" t="str">
        <f>HYPERLINK("https://api.typeform.com/responses/files/1074df3cf60d424a8aaa26662a70a0bef52e90edf9f7508c1bfea8f98825da21/0CD3E32C_5E4C_468E_81D7_E022228CF12F.jpeg")</f>
        <v>https://api.typeform.com/responses/files/1074df3cf60d424a8aaa26662a70a0bef52e90edf9f7508c1bfea8f98825da21/0CD3E32C_5E4C_468E_81D7_E022228CF12F.jpeg</v>
      </c>
      <c r="AD263" t="s">
        <v>118</v>
      </c>
      <c r="AE263" t="s">
        <v>729</v>
      </c>
      <c r="AF263" t="s">
        <v>1019</v>
      </c>
      <c r="AG263">
        <v>13.0</v>
      </c>
      <c r="AH263" t="s">
        <v>5912</v>
      </c>
      <c r="AI263" t="s">
        <v>205</v>
      </c>
      <c r="AJ263" t="s">
        <v>4075</v>
      </c>
      <c r="AK263" t="s">
        <v>5913</v>
      </c>
      <c r="AL263" t="s">
        <v>199</v>
      </c>
      <c r="AM263" t="s">
        <v>4075</v>
      </c>
      <c r="AN263" t="s">
        <v>4075</v>
      </c>
      <c r="AO263" t="s">
        <v>335</v>
      </c>
      <c r="AP263">
        <v>5.0</v>
      </c>
      <c r="AQ263" t="s">
        <v>126</v>
      </c>
      <c r="AR263" t="s">
        <v>5914</v>
      </c>
      <c r="AS263" t="b">
        <v>1</v>
      </c>
      <c r="AT263" t="b">
        <v>1</v>
      </c>
      <c r="AU263" t="s">
        <v>4075</v>
      </c>
      <c r="AV263">
        <v>4.0</v>
      </c>
      <c r="AW263" t="b">
        <v>0</v>
      </c>
      <c r="AX263" t="s">
        <v>4075</v>
      </c>
      <c r="AY263" t="s">
        <v>4075</v>
      </c>
      <c r="AZ263" t="b">
        <v>0</v>
      </c>
      <c r="BA263" t="b">
        <v>0</v>
      </c>
      <c r="BB263" t="s">
        <v>4075</v>
      </c>
      <c r="BC263" t="s">
        <v>4075</v>
      </c>
      <c r="BD263" t="s">
        <v>127</v>
      </c>
      <c r="BE263" t="s">
        <v>4075</v>
      </c>
      <c r="BF263" t="s">
        <v>4075</v>
      </c>
      <c r="BG263" t="s">
        <v>4075</v>
      </c>
      <c r="BH263" t="s">
        <v>132</v>
      </c>
      <c r="BI263">
        <v>1.0</v>
      </c>
      <c r="BJ263" s="4" t="s">
        <v>130</v>
      </c>
      <c r="BK263">
        <v>1.0</v>
      </c>
      <c r="BL263">
        <v>1.0</v>
      </c>
      <c r="BM263" s="4" t="s">
        <v>130</v>
      </c>
      <c r="BN263">
        <v>1.0</v>
      </c>
      <c r="BO263">
        <v>2.0</v>
      </c>
      <c r="BP263" t="s">
        <v>5915</v>
      </c>
      <c r="BQ263" t="s">
        <v>3728</v>
      </c>
      <c r="BR263" t="s">
        <v>5916</v>
      </c>
      <c r="BS263" t="s">
        <v>5917</v>
      </c>
      <c r="BT263" t="s">
        <v>4075</v>
      </c>
      <c r="BU263" t="s">
        <v>5918</v>
      </c>
      <c r="BV263" s="3" t="str">
        <f>HYPERLINK("https://api.typeform.com/responses/files/f5651a0f64e1add2f7c1c07f5428fe26bf2908c3e42a6f0da461dd3db99e086b/image.jpg")</f>
        <v>https://api.typeform.com/responses/files/f5651a0f64e1add2f7c1c07f5428fe26bf2908c3e42a6f0da461dd3db99e086b/image.jpg</v>
      </c>
      <c r="BW263" t="b">
        <v>1</v>
      </c>
      <c r="BX263" t="s">
        <v>1394</v>
      </c>
      <c r="BY263" t="s">
        <v>140</v>
      </c>
      <c r="BZ263" t="s">
        <v>4075</v>
      </c>
      <c r="CA263" t="s">
        <v>1395</v>
      </c>
      <c r="CB263" t="s">
        <v>4075</v>
      </c>
      <c r="CC263" t="s">
        <v>4075</v>
      </c>
      <c r="CD263">
        <v>0.0</v>
      </c>
      <c r="CE263" t="s">
        <v>4075</v>
      </c>
      <c r="CF263" t="b">
        <v>0</v>
      </c>
      <c r="CG263" t="b">
        <v>1</v>
      </c>
      <c r="CH263" t="s">
        <v>5919</v>
      </c>
      <c r="CI263" t="s">
        <v>4075</v>
      </c>
      <c r="CJ263" t="b">
        <v>1</v>
      </c>
      <c r="CK263" t="b">
        <v>1</v>
      </c>
      <c r="CL263" t="s">
        <v>387</v>
      </c>
      <c r="CM263" t="s">
        <v>541</v>
      </c>
      <c r="CN263" t="s">
        <v>4075</v>
      </c>
      <c r="CO263" t="s">
        <v>200</v>
      </c>
      <c r="CP263" t="s">
        <v>4075</v>
      </c>
      <c r="CQ263" t="s">
        <v>387</v>
      </c>
      <c r="CR263" t="b">
        <v>1</v>
      </c>
      <c r="CS263" t="s">
        <v>4075</v>
      </c>
      <c r="CT263">
        <v>1.0</v>
      </c>
      <c r="CU263">
        <v>0.0</v>
      </c>
      <c r="CV263" t="s">
        <v>4075</v>
      </c>
      <c r="CW263" t="s">
        <v>4075</v>
      </c>
      <c r="CX263" s="4" t="s">
        <v>5920</v>
      </c>
      <c r="CY263" t="s">
        <v>4075</v>
      </c>
      <c r="CZ263" s="5">
        <v>44483.81054398148</v>
      </c>
      <c r="DA263" t="s">
        <v>5921</v>
      </c>
    </row>
    <row r="264">
      <c r="A264" t="s">
        <v>98</v>
      </c>
      <c r="B264" t="s">
        <v>4075</v>
      </c>
      <c r="C264" t="s">
        <v>4075</v>
      </c>
      <c r="D264" t="s">
        <v>4232</v>
      </c>
      <c r="E264" t="s">
        <v>5922</v>
      </c>
      <c r="F264" s="2">
        <v>38267.0</v>
      </c>
      <c r="G264" t="s">
        <v>1360</v>
      </c>
      <c r="H264" t="s">
        <v>4075</v>
      </c>
      <c r="I264" s="3" t="str">
        <f>HYPERLINK("https://api.typeform.com/responses/files/46c1b31aab6f8c5f8bf24efd12c08f6128c17211e48f1109f9657a0dfd0b9fa0/image.jpg")</f>
        <v>https://api.typeform.com/responses/files/46c1b31aab6f8c5f8bf24efd12c08f6128c17211e48f1109f9657a0dfd0b9fa0/image.jpg</v>
      </c>
      <c r="J264" t="s">
        <v>5923</v>
      </c>
      <c r="K264" t="b">
        <v>1</v>
      </c>
      <c r="L264" s="4" t="s">
        <v>5924</v>
      </c>
      <c r="M264" t="s">
        <v>5925</v>
      </c>
      <c r="N264" t="s">
        <v>105</v>
      </c>
      <c r="O264" t="s">
        <v>5926</v>
      </c>
      <c r="P264" t="s">
        <v>5927</v>
      </c>
      <c r="Q264" t="s">
        <v>189</v>
      </c>
      <c r="R264" t="s">
        <v>5928</v>
      </c>
      <c r="S264" t="s">
        <v>5925</v>
      </c>
      <c r="T264" s="4" t="s">
        <v>5929</v>
      </c>
      <c r="U264" t="s">
        <v>5930</v>
      </c>
      <c r="V264" t="s">
        <v>5931</v>
      </c>
      <c r="W264" t="s">
        <v>113</v>
      </c>
      <c r="X264" t="s">
        <v>4075</v>
      </c>
      <c r="Y264" t="s">
        <v>158</v>
      </c>
      <c r="Z264" t="s">
        <v>195</v>
      </c>
      <c r="AA264" t="s">
        <v>4075</v>
      </c>
      <c r="AB264" t="s">
        <v>4075</v>
      </c>
      <c r="AC264" s="3" t="str">
        <f>HYPERLINK("https://api.typeform.com/responses/files/c2a41151ddb6e66bb78b1a28ef45259db768cdc590e1c9cf5eeaa97d2478cb3d/3FFB0E88_72F6_4C1F_84EA_66A157F45002.jpeg")</f>
        <v>https://api.typeform.com/responses/files/c2a41151ddb6e66bb78b1a28ef45259db768cdc590e1c9cf5eeaa97d2478cb3d/3FFB0E88_72F6_4C1F_84EA_66A157F45002.jpeg</v>
      </c>
      <c r="AD264" t="s">
        <v>118</v>
      </c>
      <c r="AE264" t="s">
        <v>729</v>
      </c>
      <c r="AF264" t="s">
        <v>197</v>
      </c>
      <c r="AG264">
        <v>2.0</v>
      </c>
      <c r="AH264" s="4" t="s">
        <v>547</v>
      </c>
      <c r="AI264" t="s">
        <v>162</v>
      </c>
      <c r="AJ264" t="s">
        <v>4075</v>
      </c>
      <c r="AK264" t="s">
        <v>528</v>
      </c>
      <c r="AL264" t="s">
        <v>199</v>
      </c>
      <c r="AM264" t="s">
        <v>4075</v>
      </c>
      <c r="AN264" t="s">
        <v>4075</v>
      </c>
      <c r="AO264" t="s">
        <v>486</v>
      </c>
      <c r="AP264">
        <v>4.0</v>
      </c>
      <c r="AQ264" t="s">
        <v>303</v>
      </c>
      <c r="AR264" t="s">
        <v>303</v>
      </c>
      <c r="AS264" t="b">
        <v>1</v>
      </c>
      <c r="AT264" t="b">
        <v>0</v>
      </c>
      <c r="AU264" t="s">
        <v>4075</v>
      </c>
      <c r="AV264">
        <v>6.0</v>
      </c>
      <c r="AW264" t="b">
        <v>0</v>
      </c>
      <c r="AX264" t="s">
        <v>4075</v>
      </c>
      <c r="AY264" t="s">
        <v>4075</v>
      </c>
      <c r="AZ264" t="b">
        <v>0</v>
      </c>
      <c r="BA264" t="b">
        <v>0</v>
      </c>
      <c r="BB264" t="s">
        <v>4075</v>
      </c>
      <c r="BC264" t="s">
        <v>4075</v>
      </c>
      <c r="BD264" t="s">
        <v>5932</v>
      </c>
      <c r="BE264" t="s">
        <v>4075</v>
      </c>
      <c r="BF264" t="s">
        <v>4075</v>
      </c>
      <c r="BG264" t="s">
        <v>4075</v>
      </c>
      <c r="BH264" t="s">
        <v>974</v>
      </c>
      <c r="BI264" t="s">
        <v>4075</v>
      </c>
      <c r="BJ264" t="s">
        <v>4075</v>
      </c>
      <c r="BK264" t="s">
        <v>4075</v>
      </c>
      <c r="BL264">
        <v>5.0</v>
      </c>
      <c r="BM264" t="s">
        <v>303</v>
      </c>
      <c r="BN264">
        <v>5.0</v>
      </c>
      <c r="BO264">
        <v>5.0</v>
      </c>
      <c r="BP264" t="s">
        <v>5933</v>
      </c>
      <c r="BQ264" t="s">
        <v>1050</v>
      </c>
      <c r="BR264" t="s">
        <v>5934</v>
      </c>
      <c r="BS264" t="s">
        <v>5935</v>
      </c>
      <c r="BT264" t="s">
        <v>4075</v>
      </c>
      <c r="BU264" t="s">
        <v>528</v>
      </c>
      <c r="BV264" s="3" t="str">
        <f>HYPERLINK("https://api.typeform.com/responses/files/2984af4ed41409b916189bfa0c913a476528637626bc6baecc44d098d0fa0a6d/4CAD1E1E_A4F2_4FD6_829E_AF376733A6BF.png")</f>
        <v>https://api.typeform.com/responses/files/2984af4ed41409b916189bfa0c913a476528637626bc6baecc44d098d0fa0a6d/4CAD1E1E_A4F2_4FD6_829E_AF376733A6BF.png</v>
      </c>
      <c r="BW264" t="b">
        <v>1</v>
      </c>
      <c r="BX264" t="s">
        <v>1394</v>
      </c>
      <c r="BY264" t="s">
        <v>140</v>
      </c>
      <c r="BZ264" t="s">
        <v>4075</v>
      </c>
      <c r="CA264" t="s">
        <v>1395</v>
      </c>
      <c r="CB264" t="s">
        <v>4075</v>
      </c>
      <c r="CC264" t="s">
        <v>4075</v>
      </c>
      <c r="CD264">
        <v>0.0</v>
      </c>
      <c r="CE264" t="s">
        <v>4075</v>
      </c>
      <c r="CF264" t="b">
        <v>1</v>
      </c>
      <c r="CG264" t="b">
        <v>1</v>
      </c>
      <c r="CH264" t="s">
        <v>168</v>
      </c>
      <c r="CI264" t="s">
        <v>4075</v>
      </c>
      <c r="CJ264" t="b">
        <v>1</v>
      </c>
      <c r="CK264" t="b">
        <v>1</v>
      </c>
      <c r="CL264" t="s">
        <v>387</v>
      </c>
      <c r="CM264" t="s">
        <v>387</v>
      </c>
      <c r="CN264" t="s">
        <v>4075</v>
      </c>
      <c r="CO264" t="s">
        <v>1248</v>
      </c>
      <c r="CP264" t="s">
        <v>4075</v>
      </c>
      <c r="CQ264" t="s">
        <v>387</v>
      </c>
      <c r="CR264" t="b">
        <v>1</v>
      </c>
      <c r="CS264" t="s">
        <v>4075</v>
      </c>
      <c r="CT264">
        <v>0.0</v>
      </c>
      <c r="CU264">
        <v>1.0</v>
      </c>
      <c r="CV264" t="s">
        <v>4075</v>
      </c>
      <c r="CW264" t="s">
        <v>4075</v>
      </c>
      <c r="CX264" t="s">
        <v>5936</v>
      </c>
      <c r="CY264" t="s">
        <v>4075</v>
      </c>
      <c r="CZ264" s="5">
        <v>44483.81761574074</v>
      </c>
      <c r="DA264" t="s">
        <v>5937</v>
      </c>
    </row>
    <row r="265">
      <c r="A265" t="s">
        <v>98</v>
      </c>
      <c r="B265" t="s">
        <v>4075</v>
      </c>
      <c r="C265" t="s">
        <v>4075</v>
      </c>
      <c r="D265" t="s">
        <v>5938</v>
      </c>
      <c r="E265" t="s">
        <v>5939</v>
      </c>
      <c r="F265" s="2">
        <v>38627.0</v>
      </c>
      <c r="G265" t="s">
        <v>1360</v>
      </c>
      <c r="H265" t="s">
        <v>4075</v>
      </c>
      <c r="I265" s="3" t="str">
        <f>HYPERLINK("https://api.typeform.com/responses/files/91a4d25a27acd44afdc6690143a9bbbe9a1035a44b8bb47a06ed32d6824c75a2/image.jpg")</f>
        <v>https://api.typeform.com/responses/files/91a4d25a27acd44afdc6690143a9bbbe9a1035a44b8bb47a06ed32d6824c75a2/image.jpg</v>
      </c>
      <c r="J265" t="s">
        <v>5940</v>
      </c>
      <c r="K265" t="b">
        <v>1</v>
      </c>
      <c r="L265" s="4" t="s">
        <v>5941</v>
      </c>
      <c r="M265" t="s">
        <v>5942</v>
      </c>
      <c r="N265" t="s">
        <v>149</v>
      </c>
      <c r="O265" t="s">
        <v>5943</v>
      </c>
      <c r="P265" t="s">
        <v>5944</v>
      </c>
      <c r="Q265" t="s">
        <v>292</v>
      </c>
      <c r="R265" t="s">
        <v>5945</v>
      </c>
      <c r="S265" t="s">
        <v>5942</v>
      </c>
      <c r="T265" s="4" t="s">
        <v>5941</v>
      </c>
      <c r="U265" t="s">
        <v>3199</v>
      </c>
      <c r="V265" t="s">
        <v>4664</v>
      </c>
      <c r="W265" t="s">
        <v>2290</v>
      </c>
      <c r="X265" t="s">
        <v>4075</v>
      </c>
      <c r="Y265" t="s">
        <v>158</v>
      </c>
      <c r="Z265" t="s">
        <v>262</v>
      </c>
      <c r="AA265" t="s">
        <v>4075</v>
      </c>
      <c r="AB265" t="s">
        <v>4075</v>
      </c>
      <c r="AC265" s="3" t="str">
        <f>HYPERLINK("https://api.typeform.com/responses/files/e488bdfce3b2d5a11338809ddf1864601e1cf984d6e03410c952b0445e66ebbe/image.jpg")</f>
        <v>https://api.typeform.com/responses/files/e488bdfce3b2d5a11338809ddf1864601e1cf984d6e03410c952b0445e66ebbe/image.jpg</v>
      </c>
      <c r="AD265" t="s">
        <v>118</v>
      </c>
      <c r="AE265" t="s">
        <v>1220</v>
      </c>
      <c r="AF265" t="s">
        <v>4374</v>
      </c>
      <c r="AG265">
        <v>13.0</v>
      </c>
      <c r="AH265" s="4" t="s">
        <v>4262</v>
      </c>
      <c r="AI265" t="s">
        <v>121</v>
      </c>
      <c r="AJ265" t="s">
        <v>4075</v>
      </c>
      <c r="AK265" t="s">
        <v>179</v>
      </c>
      <c r="AL265" t="s">
        <v>199</v>
      </c>
      <c r="AM265" t="s">
        <v>4075</v>
      </c>
      <c r="AN265" t="s">
        <v>4075</v>
      </c>
      <c r="AO265" t="s">
        <v>125</v>
      </c>
      <c r="AP265">
        <v>4.0</v>
      </c>
      <c r="AQ265" t="s">
        <v>4222</v>
      </c>
      <c r="AR265" t="s">
        <v>5946</v>
      </c>
      <c r="AS265" t="b">
        <v>1</v>
      </c>
      <c r="AT265" t="b">
        <v>1</v>
      </c>
      <c r="AU265" t="s">
        <v>4075</v>
      </c>
      <c r="AV265">
        <v>5.0</v>
      </c>
      <c r="AW265" t="b">
        <v>0</v>
      </c>
      <c r="AX265" t="s">
        <v>4075</v>
      </c>
      <c r="AY265" t="s">
        <v>4075</v>
      </c>
      <c r="AZ265" t="b">
        <v>0</v>
      </c>
      <c r="BA265" t="b">
        <v>1</v>
      </c>
      <c r="BB265" t="b">
        <v>0</v>
      </c>
      <c r="BC265" t="s">
        <v>5947</v>
      </c>
      <c r="BD265" t="s">
        <v>4075</v>
      </c>
      <c r="BE265" t="s">
        <v>4075</v>
      </c>
      <c r="BF265" t="s">
        <v>4075</v>
      </c>
      <c r="BG265" t="s">
        <v>4075</v>
      </c>
      <c r="BH265" t="s">
        <v>132</v>
      </c>
      <c r="BI265">
        <v>1.0</v>
      </c>
      <c r="BJ265" t="s">
        <v>5948</v>
      </c>
      <c r="BK265">
        <v>2.0</v>
      </c>
      <c r="BL265">
        <v>3.0</v>
      </c>
      <c r="BM265" t="s">
        <v>5949</v>
      </c>
      <c r="BN265">
        <v>3.0</v>
      </c>
      <c r="BO265">
        <v>5.0</v>
      </c>
      <c r="BP265" t="s">
        <v>5950</v>
      </c>
      <c r="BQ265" t="s">
        <v>1258</v>
      </c>
      <c r="BR265" t="s">
        <v>5951</v>
      </c>
      <c r="BS265" t="s">
        <v>5952</v>
      </c>
      <c r="BT265" t="s">
        <v>4075</v>
      </c>
      <c r="BU265" t="s">
        <v>179</v>
      </c>
      <c r="BV265" s="3" t="str">
        <f>HYPERLINK("https://api.typeform.com/responses/files/4c10efa8fbabdd748bf83cd08beea1f8b30a596c69a67415432f90d58c7cbc35/image.jpg")</f>
        <v>https://api.typeform.com/responses/files/4c10efa8fbabdd748bf83cd08beea1f8b30a596c69a67415432f90d58c7cbc35/image.jpg</v>
      </c>
      <c r="BW265" t="b">
        <v>1</v>
      </c>
      <c r="BX265" t="s">
        <v>1394</v>
      </c>
      <c r="BY265" t="s">
        <v>140</v>
      </c>
      <c r="BZ265" t="s">
        <v>4075</v>
      </c>
      <c r="CA265" t="s">
        <v>1395</v>
      </c>
      <c r="CB265" t="s">
        <v>4075</v>
      </c>
      <c r="CC265" t="s">
        <v>4075</v>
      </c>
      <c r="CD265">
        <v>0.0</v>
      </c>
      <c r="CE265" t="s">
        <v>4075</v>
      </c>
      <c r="CF265" t="b">
        <v>1</v>
      </c>
      <c r="CG265" t="b">
        <v>1</v>
      </c>
      <c r="CH265" t="s">
        <v>168</v>
      </c>
      <c r="CI265" t="s">
        <v>4075</v>
      </c>
      <c r="CJ265" t="b">
        <v>1</v>
      </c>
      <c r="CK265" t="b">
        <v>1</v>
      </c>
      <c r="CL265" t="s">
        <v>387</v>
      </c>
      <c r="CM265" t="s">
        <v>541</v>
      </c>
      <c r="CN265" t="s">
        <v>4075</v>
      </c>
      <c r="CO265" t="s">
        <v>1688</v>
      </c>
      <c r="CP265" t="s">
        <v>4075</v>
      </c>
      <c r="CQ265" t="s">
        <v>2301</v>
      </c>
      <c r="CR265" t="b">
        <v>1</v>
      </c>
      <c r="CS265" t="s">
        <v>4075</v>
      </c>
      <c r="CT265">
        <v>0.0</v>
      </c>
      <c r="CU265">
        <v>0.0</v>
      </c>
      <c r="CV265" t="s">
        <v>4075</v>
      </c>
      <c r="CW265" t="s">
        <v>4075</v>
      </c>
      <c r="CX265" s="4" t="s">
        <v>5953</v>
      </c>
      <c r="CY265" t="s">
        <v>4075</v>
      </c>
      <c r="CZ265" s="5">
        <v>44484.01640046296</v>
      </c>
      <c r="DA265" t="s">
        <v>5954</v>
      </c>
    </row>
    <row r="266">
      <c r="A266" t="s">
        <v>98</v>
      </c>
      <c r="B266" t="s">
        <v>4075</v>
      </c>
      <c r="C266" t="s">
        <v>4075</v>
      </c>
      <c r="D266" t="s">
        <v>5955</v>
      </c>
      <c r="E266" t="s">
        <v>5956</v>
      </c>
      <c r="F266" s="2">
        <v>37875.0</v>
      </c>
      <c r="G266" t="s">
        <v>1360</v>
      </c>
      <c r="H266" t="s">
        <v>4075</v>
      </c>
      <c r="I266" s="3" t="str">
        <f>HYPERLINK("231514a1d22e-received_190476569889161.jpeg")</f>
        <v>231514a1d22e-received_190476569889161.jpeg</v>
      </c>
      <c r="J266" t="s">
        <v>5957</v>
      </c>
      <c r="K266" t="b">
        <v>1</v>
      </c>
      <c r="L266" s="4" t="s">
        <v>5958</v>
      </c>
      <c r="M266" t="s">
        <v>5959</v>
      </c>
      <c r="N266" t="s">
        <v>354</v>
      </c>
      <c r="O266" t="s">
        <v>5960</v>
      </c>
      <c r="P266" t="s">
        <v>5961</v>
      </c>
      <c r="Q266" t="s">
        <v>152</v>
      </c>
      <c r="R266" t="s">
        <v>5957</v>
      </c>
      <c r="S266" t="s">
        <v>5962</v>
      </c>
      <c r="T266" s="4" t="s">
        <v>5963</v>
      </c>
      <c r="U266" t="s">
        <v>5964</v>
      </c>
      <c r="V266" t="s">
        <v>5965</v>
      </c>
      <c r="W266" t="s">
        <v>2290</v>
      </c>
      <c r="X266" t="s">
        <v>4075</v>
      </c>
      <c r="Y266" t="s">
        <v>158</v>
      </c>
      <c r="Z266" t="s">
        <v>262</v>
      </c>
      <c r="AA266" t="s">
        <v>4075</v>
      </c>
      <c r="AB266" t="s">
        <v>4075</v>
      </c>
      <c r="AC266" s="3" t="str">
        <f>HYPERLINK("b6f23c124d6c-Screenshot_2021_10_07_3.33.42_PM.png")</f>
        <v>b6f23c124d6c-Screenshot_2021_10_07_3.33.42_PM.png</v>
      </c>
      <c r="AD266" t="s">
        <v>118</v>
      </c>
      <c r="AE266" t="s">
        <v>729</v>
      </c>
      <c r="AF266" t="s">
        <v>1196</v>
      </c>
      <c r="AG266">
        <v>15.0</v>
      </c>
      <c r="AH266" t="s">
        <v>5966</v>
      </c>
      <c r="AI266" t="s">
        <v>205</v>
      </c>
      <c r="AJ266" t="s">
        <v>4075</v>
      </c>
      <c r="AK266" t="s">
        <v>4075</v>
      </c>
      <c r="AL266" t="s">
        <v>5967</v>
      </c>
      <c r="AM266" t="s">
        <v>4075</v>
      </c>
      <c r="AN266" t="s">
        <v>4075</v>
      </c>
      <c r="AO266" t="s">
        <v>125</v>
      </c>
      <c r="AP266">
        <v>5.0</v>
      </c>
      <c r="AQ266" t="s">
        <v>2240</v>
      </c>
      <c r="AR266" t="s">
        <v>5968</v>
      </c>
      <c r="AS266" t="b">
        <v>1</v>
      </c>
      <c r="AT266" t="b">
        <v>0</v>
      </c>
      <c r="AU266" t="s">
        <v>4075</v>
      </c>
      <c r="AV266">
        <v>2.0</v>
      </c>
      <c r="AW266" t="b">
        <v>0</v>
      </c>
      <c r="AX266" t="s">
        <v>4075</v>
      </c>
      <c r="AY266" t="s">
        <v>4075</v>
      </c>
      <c r="AZ266" t="b">
        <v>0</v>
      </c>
      <c r="BA266" t="b">
        <v>0</v>
      </c>
      <c r="BB266" t="s">
        <v>4075</v>
      </c>
      <c r="BC266" t="s">
        <v>4075</v>
      </c>
      <c r="BD266" t="s">
        <v>5969</v>
      </c>
      <c r="BE266" t="s">
        <v>4075</v>
      </c>
      <c r="BF266" t="s">
        <v>4075</v>
      </c>
      <c r="BG266" t="s">
        <v>4075</v>
      </c>
      <c r="BH266" t="s">
        <v>132</v>
      </c>
      <c r="BI266">
        <v>1.0</v>
      </c>
      <c r="BJ266" t="s">
        <v>5970</v>
      </c>
      <c r="BK266">
        <v>1.0</v>
      </c>
      <c r="BL266">
        <v>7.0</v>
      </c>
      <c r="BM266" t="s">
        <v>5971</v>
      </c>
      <c r="BN266">
        <v>4.0</v>
      </c>
      <c r="BO266">
        <v>6.0</v>
      </c>
      <c r="BP266" t="s">
        <v>5972</v>
      </c>
      <c r="BQ266" t="s">
        <v>1258</v>
      </c>
      <c r="BR266" t="s">
        <v>5973</v>
      </c>
      <c r="BS266" t="s">
        <v>5974</v>
      </c>
      <c r="BT266" t="s">
        <v>4075</v>
      </c>
      <c r="BU266" t="s">
        <v>5975</v>
      </c>
      <c r="BV266" s="3" t="str">
        <f>HYPERLINK("https://api.typeform.com/responses/files/abfdc3500c9a22bad91f38e7a42c92080592402bdb183bae174d8e73fda472b0/IMG_20211015_131345.jpg")</f>
        <v>https://api.typeform.com/responses/files/abfdc3500c9a22bad91f38e7a42c92080592402bdb183bae174d8e73fda472b0/IMG_20211015_131345.jpg</v>
      </c>
      <c r="BW266" t="b">
        <v>1</v>
      </c>
      <c r="BX266" t="s">
        <v>1394</v>
      </c>
      <c r="BY266" t="s">
        <v>140</v>
      </c>
      <c r="BZ266" t="s">
        <v>4075</v>
      </c>
      <c r="CA266" t="s">
        <v>1395</v>
      </c>
      <c r="CB266" t="s">
        <v>4075</v>
      </c>
      <c r="CC266" t="s">
        <v>4075</v>
      </c>
      <c r="CD266">
        <v>0.0</v>
      </c>
      <c r="CE266" t="s">
        <v>4075</v>
      </c>
      <c r="CF266" t="b">
        <v>1</v>
      </c>
      <c r="CG266" t="b">
        <v>1</v>
      </c>
      <c r="CH266" t="s">
        <v>5976</v>
      </c>
      <c r="CI266" t="s">
        <v>4075</v>
      </c>
      <c r="CJ266" t="b">
        <v>1</v>
      </c>
      <c r="CK266" t="b">
        <v>1</v>
      </c>
      <c r="CL266" t="s">
        <v>387</v>
      </c>
      <c r="CM266" t="s">
        <v>387</v>
      </c>
      <c r="CN266" t="s">
        <v>4075</v>
      </c>
      <c r="CO266" t="s">
        <v>2888</v>
      </c>
      <c r="CP266" t="s">
        <v>4075</v>
      </c>
      <c r="CQ266" t="s">
        <v>4075</v>
      </c>
      <c r="CR266" t="b">
        <v>1</v>
      </c>
      <c r="CS266" t="s">
        <v>4075</v>
      </c>
      <c r="CT266">
        <v>2.0</v>
      </c>
      <c r="CU266">
        <v>1.0</v>
      </c>
      <c r="CV266" t="s">
        <v>4075</v>
      </c>
      <c r="CW266" t="s">
        <v>4075</v>
      </c>
      <c r="CX266" s="4" t="s">
        <v>1073</v>
      </c>
      <c r="CY266" t="s">
        <v>4075</v>
      </c>
      <c r="CZ266" s="5">
        <v>44484.71938657408</v>
      </c>
      <c r="DA266" t="s">
        <v>5977</v>
      </c>
    </row>
    <row r="267">
      <c r="A267" t="s">
        <v>98</v>
      </c>
      <c r="B267" t="s">
        <v>4075</v>
      </c>
      <c r="C267" t="s">
        <v>4075</v>
      </c>
      <c r="D267" t="s">
        <v>5978</v>
      </c>
      <c r="E267" t="s">
        <v>5979</v>
      </c>
      <c r="F267" s="2">
        <v>38226.0</v>
      </c>
      <c r="G267" t="s">
        <v>1466</v>
      </c>
      <c r="H267" t="s">
        <v>4075</v>
      </c>
      <c r="I267" s="3" t="str">
        <f>HYPERLINK("https://api.typeform.com/responses/files/b7739857b1b758b0bc27cf04c70498644ecd2aeb40790628bef2f2c0b1fdc856/35BE0AD6_9228_4799_B10F_7DAD6902C136.jpeg")</f>
        <v>https://api.typeform.com/responses/files/b7739857b1b758b0bc27cf04c70498644ecd2aeb40790628bef2f2c0b1fdc856/35BE0AD6_9228_4799_B10F_7DAD6902C136.jpeg</v>
      </c>
      <c r="J267" t="s">
        <v>5980</v>
      </c>
      <c r="K267" t="b">
        <v>1</v>
      </c>
      <c r="L267" s="4" t="s">
        <v>5981</v>
      </c>
      <c r="M267" t="s">
        <v>5982</v>
      </c>
      <c r="N267" t="s">
        <v>149</v>
      </c>
      <c r="O267" t="s">
        <v>1014</v>
      </c>
      <c r="P267" t="s">
        <v>5983</v>
      </c>
      <c r="Q267" t="s">
        <v>1510</v>
      </c>
      <c r="R267" t="s">
        <v>5984</v>
      </c>
      <c r="S267" t="s">
        <v>5985</v>
      </c>
      <c r="T267" s="4" t="s">
        <v>5986</v>
      </c>
      <c r="U267" t="s">
        <v>5987</v>
      </c>
      <c r="V267" t="s">
        <v>5988</v>
      </c>
      <c r="W267" t="s">
        <v>2290</v>
      </c>
      <c r="X267" t="s">
        <v>4075</v>
      </c>
      <c r="Y267" t="s">
        <v>158</v>
      </c>
      <c r="Z267" t="s">
        <v>262</v>
      </c>
      <c r="AA267" t="s">
        <v>4075</v>
      </c>
      <c r="AB267" t="s">
        <v>4075</v>
      </c>
      <c r="AC267" s="3" t="str">
        <f>HYPERLINK("https://api.typeform.com/responses/files/00b6af8739e75b116ed0029aecd31fc5f0258fb515a2cb3f81a1262a7b9b3fe2/image.jpg")</f>
        <v>https://api.typeform.com/responses/files/00b6af8739e75b116ed0029aecd31fc5f0258fb515a2cb3f81a1262a7b9b3fe2/image.jpg</v>
      </c>
      <c r="AD267" t="s">
        <v>118</v>
      </c>
      <c r="AE267" t="s">
        <v>1220</v>
      </c>
      <c r="AF267" t="s">
        <v>1196</v>
      </c>
      <c r="AG267">
        <v>13.0</v>
      </c>
      <c r="AH267" t="s">
        <v>5989</v>
      </c>
      <c r="AI267" t="s">
        <v>121</v>
      </c>
      <c r="AJ267" t="s">
        <v>4075</v>
      </c>
      <c r="AK267" t="s">
        <v>199</v>
      </c>
      <c r="AL267" t="s">
        <v>5990</v>
      </c>
      <c r="AM267" t="s">
        <v>4075</v>
      </c>
      <c r="AN267" t="s">
        <v>4075</v>
      </c>
      <c r="AO267" t="s">
        <v>335</v>
      </c>
      <c r="AP267">
        <v>3.0</v>
      </c>
      <c r="AQ267" t="s">
        <v>201</v>
      </c>
      <c r="AR267" t="s">
        <v>5991</v>
      </c>
      <c r="AS267" t="b">
        <v>1</v>
      </c>
      <c r="AT267" t="b">
        <v>0</v>
      </c>
      <c r="AU267" t="s">
        <v>4075</v>
      </c>
      <c r="AV267">
        <v>4.0</v>
      </c>
      <c r="AW267" t="b">
        <v>0</v>
      </c>
      <c r="AX267" t="s">
        <v>4075</v>
      </c>
      <c r="AY267" t="s">
        <v>4075</v>
      </c>
      <c r="AZ267" t="b">
        <v>0</v>
      </c>
      <c r="BA267" t="b">
        <v>1</v>
      </c>
      <c r="BB267" t="b">
        <v>0</v>
      </c>
      <c r="BC267" t="s">
        <v>5992</v>
      </c>
      <c r="BD267" t="s">
        <v>4075</v>
      </c>
      <c r="BE267" t="s">
        <v>4075</v>
      </c>
      <c r="BF267" t="s">
        <v>4075</v>
      </c>
      <c r="BG267" t="s">
        <v>4075</v>
      </c>
      <c r="BH267" t="s">
        <v>132</v>
      </c>
      <c r="BI267">
        <v>2.0</v>
      </c>
      <c r="BJ267" t="s">
        <v>5993</v>
      </c>
      <c r="BK267">
        <v>3.0</v>
      </c>
      <c r="BL267">
        <v>2.0</v>
      </c>
      <c r="BM267" t="s">
        <v>5994</v>
      </c>
      <c r="BN267">
        <v>3.0</v>
      </c>
      <c r="BO267">
        <v>2.0</v>
      </c>
      <c r="BP267" t="s">
        <v>5995</v>
      </c>
      <c r="BQ267" t="s">
        <v>1050</v>
      </c>
      <c r="BR267" t="s">
        <v>5996</v>
      </c>
      <c r="BS267" t="s">
        <v>5997</v>
      </c>
      <c r="BT267" t="s">
        <v>4075</v>
      </c>
      <c r="BU267" t="s">
        <v>179</v>
      </c>
      <c r="BV267" s="3" t="str">
        <f>HYPERLINK("https://api.typeform.com/responses/files/942b4d34feb9a9e0b36dbc08ad945718eb514f60b271f4c0e61c7e15a0d9ed2d/image.jpg")</f>
        <v>https://api.typeform.com/responses/files/942b4d34feb9a9e0b36dbc08ad945718eb514f60b271f4c0e61c7e15a0d9ed2d/image.jpg</v>
      </c>
      <c r="BW267" t="b">
        <v>1</v>
      </c>
      <c r="BX267" t="s">
        <v>1394</v>
      </c>
      <c r="BY267" t="s">
        <v>140</v>
      </c>
      <c r="BZ267" t="s">
        <v>4075</v>
      </c>
      <c r="CA267" t="s">
        <v>1395</v>
      </c>
      <c r="CB267" t="s">
        <v>4075</v>
      </c>
      <c r="CC267" t="s">
        <v>4075</v>
      </c>
      <c r="CD267">
        <v>0.0</v>
      </c>
      <c r="CE267" t="s">
        <v>4075</v>
      </c>
      <c r="CF267" t="b">
        <v>0</v>
      </c>
      <c r="CG267" t="b">
        <v>0</v>
      </c>
      <c r="CH267" t="s">
        <v>1420</v>
      </c>
      <c r="CI267" t="s">
        <v>4075</v>
      </c>
      <c r="CJ267" t="b">
        <v>0</v>
      </c>
      <c r="CK267" t="b">
        <v>1</v>
      </c>
      <c r="CL267" t="s">
        <v>387</v>
      </c>
      <c r="CM267" t="s">
        <v>387</v>
      </c>
      <c r="CN267" t="s">
        <v>4075</v>
      </c>
      <c r="CO267" t="s">
        <v>1635</v>
      </c>
      <c r="CP267" t="s">
        <v>4075</v>
      </c>
      <c r="CQ267" t="s">
        <v>387</v>
      </c>
      <c r="CR267" t="b">
        <v>1</v>
      </c>
      <c r="CS267" t="s">
        <v>4075</v>
      </c>
      <c r="CT267">
        <v>1.0</v>
      </c>
      <c r="CU267">
        <v>0.0</v>
      </c>
      <c r="CV267" t="s">
        <v>4075</v>
      </c>
      <c r="CW267" t="s">
        <v>4075</v>
      </c>
      <c r="CX267" s="4" t="s">
        <v>5998</v>
      </c>
      <c r="CY267" t="s">
        <v>4075</v>
      </c>
      <c r="CZ267" s="5">
        <v>44484.71943287037</v>
      </c>
      <c r="DA267" t="s">
        <v>5999</v>
      </c>
    </row>
    <row r="268">
      <c r="A268" t="s">
        <v>98</v>
      </c>
      <c r="B268" t="s">
        <v>4075</v>
      </c>
      <c r="C268" t="s">
        <v>4075</v>
      </c>
      <c r="D268" t="s">
        <v>6000</v>
      </c>
      <c r="E268" t="s">
        <v>448</v>
      </c>
      <c r="F268" s="2">
        <v>37429.0</v>
      </c>
      <c r="G268" t="s">
        <v>1360</v>
      </c>
      <c r="H268" t="s">
        <v>4075</v>
      </c>
      <c r="I268" s="3" t="str">
        <f>HYPERLINK("https://api.typeform.com/responses/files/7831506e66f3ebb579983e2029506485aa141aa684ad94246fee7906ab100e77/Image.jpg")</f>
        <v>https://api.typeform.com/responses/files/7831506e66f3ebb579983e2029506485aa141aa684ad94246fee7906ab100e77/Image.jpg</v>
      </c>
      <c r="J268" t="s">
        <v>6001</v>
      </c>
      <c r="K268" t="b">
        <v>1</v>
      </c>
      <c r="L268" s="4" t="s">
        <v>6002</v>
      </c>
      <c r="M268" t="s">
        <v>6003</v>
      </c>
      <c r="N268" t="s">
        <v>354</v>
      </c>
      <c r="O268" t="s">
        <v>4075</v>
      </c>
      <c r="P268" t="s">
        <v>6004</v>
      </c>
      <c r="Q268" t="s">
        <v>189</v>
      </c>
      <c r="R268" t="s">
        <v>6005</v>
      </c>
      <c r="S268" t="s">
        <v>6003</v>
      </c>
      <c r="T268" s="4" t="s">
        <v>6006</v>
      </c>
      <c r="U268" t="s">
        <v>329</v>
      </c>
      <c r="V268" t="s">
        <v>6007</v>
      </c>
      <c r="W268" t="s">
        <v>261</v>
      </c>
      <c r="X268" t="s">
        <v>4075</v>
      </c>
      <c r="Y268" t="s">
        <v>158</v>
      </c>
      <c r="Z268" t="s">
        <v>159</v>
      </c>
      <c r="AA268" t="s">
        <v>4075</v>
      </c>
      <c r="AB268" t="s">
        <v>4075</v>
      </c>
      <c r="AC268" s="3" t="str">
        <f>HYPERLINK("https://api.typeform.com/responses/files/7cf78c157572b6459438c881df7bad9f66ebb1b1b563ecb3859de412c025c28e/Shiqing_report_card.pdf")</f>
        <v>https://api.typeform.com/responses/files/7cf78c157572b6459438c881df7bad9f66ebb1b1b563ecb3859de412c025c28e/Shiqing_report_card.pdf</v>
      </c>
      <c r="AD268" t="s">
        <v>118</v>
      </c>
      <c r="AE268" t="s">
        <v>1220</v>
      </c>
      <c r="AF268" t="s">
        <v>459</v>
      </c>
      <c r="AG268">
        <v>13.0</v>
      </c>
      <c r="AH268" t="s">
        <v>6008</v>
      </c>
      <c r="AI268" t="s">
        <v>162</v>
      </c>
      <c r="AJ268" t="s">
        <v>4075</v>
      </c>
      <c r="AK268" t="s">
        <v>4075</v>
      </c>
      <c r="AL268" t="s">
        <v>460</v>
      </c>
      <c r="AM268" t="s">
        <v>4075</v>
      </c>
      <c r="AN268" t="s">
        <v>4075</v>
      </c>
      <c r="AO268" t="s">
        <v>335</v>
      </c>
      <c r="AP268">
        <v>4.0</v>
      </c>
      <c r="AQ268" t="s">
        <v>2625</v>
      </c>
      <c r="AR268" t="s">
        <v>6009</v>
      </c>
      <c r="AS268" t="b">
        <v>1</v>
      </c>
      <c r="AT268" t="b">
        <v>1</v>
      </c>
      <c r="AU268" t="s">
        <v>4075</v>
      </c>
      <c r="AV268">
        <v>5.0</v>
      </c>
      <c r="AW268" t="b">
        <v>0</v>
      </c>
      <c r="AX268" t="s">
        <v>4075</v>
      </c>
      <c r="AY268" t="s">
        <v>4075</v>
      </c>
      <c r="AZ268" t="b">
        <v>1</v>
      </c>
      <c r="BA268" t="b">
        <v>1</v>
      </c>
      <c r="BB268" t="b">
        <v>0</v>
      </c>
      <c r="BC268" t="s">
        <v>6010</v>
      </c>
      <c r="BD268" t="s">
        <v>4075</v>
      </c>
      <c r="BE268" t="s">
        <v>4075</v>
      </c>
      <c r="BF268" t="s">
        <v>4075</v>
      </c>
      <c r="BG268" t="s">
        <v>4075</v>
      </c>
      <c r="BH268" t="s">
        <v>132</v>
      </c>
      <c r="BI268">
        <v>5.0</v>
      </c>
      <c r="BJ268" t="s">
        <v>6011</v>
      </c>
      <c r="BK268">
        <v>4.0</v>
      </c>
      <c r="BL268">
        <v>4.0</v>
      </c>
      <c r="BM268" t="s">
        <v>6012</v>
      </c>
      <c r="BN268">
        <v>4.0</v>
      </c>
      <c r="BO268">
        <v>3.0</v>
      </c>
      <c r="BP268" t="s">
        <v>6013</v>
      </c>
      <c r="BQ268" t="s">
        <v>6014</v>
      </c>
      <c r="BR268" t="s">
        <v>6015</v>
      </c>
      <c r="BS268" t="s">
        <v>6016</v>
      </c>
      <c r="BT268" t="s">
        <v>4075</v>
      </c>
      <c r="BU268" t="s">
        <v>6017</v>
      </c>
      <c r="BV268" s="3" t="str">
        <f>HYPERLINK("https://api.typeform.com/responses/files/7b944e7a0140adbe6c8e38dedb22c3573acfc43db651c3dcfac06fd104bcb271/SHI_QING_WEI___SPEAKHIRE_Parent.Guardian_Consent_Form.pdf")</f>
        <v>https://api.typeform.com/responses/files/7b944e7a0140adbe6c8e38dedb22c3573acfc43db651c3dcfac06fd104bcb271/SHI_QING_WEI___SPEAKHIRE_Parent.Guardian_Consent_Form.pdf</v>
      </c>
      <c r="BW268" t="b">
        <v>1</v>
      </c>
      <c r="BX268" t="s">
        <v>1394</v>
      </c>
      <c r="BY268" t="s">
        <v>140</v>
      </c>
      <c r="BZ268" t="s">
        <v>4075</v>
      </c>
      <c r="CA268" t="s">
        <v>1395</v>
      </c>
      <c r="CB268" t="s">
        <v>4075</v>
      </c>
      <c r="CC268" t="s">
        <v>4075</v>
      </c>
      <c r="CD268">
        <v>0.0</v>
      </c>
      <c r="CE268" t="s">
        <v>4075</v>
      </c>
      <c r="CF268" t="b">
        <v>0</v>
      </c>
      <c r="CG268" t="b">
        <v>0</v>
      </c>
      <c r="CH268" t="s">
        <v>168</v>
      </c>
      <c r="CI268" t="s">
        <v>4075</v>
      </c>
      <c r="CJ268" t="b">
        <v>1</v>
      </c>
      <c r="CK268" t="b">
        <v>0</v>
      </c>
      <c r="CL268" t="s">
        <v>362</v>
      </c>
      <c r="CM268" t="s">
        <v>4075</v>
      </c>
      <c r="CN268" t="s">
        <v>4075</v>
      </c>
      <c r="CO268" t="s">
        <v>2325</v>
      </c>
      <c r="CP268" t="s">
        <v>4075</v>
      </c>
      <c r="CQ268" t="s">
        <v>4075</v>
      </c>
      <c r="CR268" t="b">
        <v>1</v>
      </c>
      <c r="CS268" t="s">
        <v>4075</v>
      </c>
      <c r="CT268">
        <v>1.0</v>
      </c>
      <c r="CU268">
        <v>0.0</v>
      </c>
      <c r="CV268" t="s">
        <v>4075</v>
      </c>
      <c r="CW268" t="s">
        <v>4075</v>
      </c>
      <c r="CX268" s="4" t="s">
        <v>6018</v>
      </c>
      <c r="CY268" t="s">
        <v>4075</v>
      </c>
      <c r="CZ268" s="5">
        <v>44485.936956018515</v>
      </c>
      <c r="DA268" t="s">
        <v>6019</v>
      </c>
    </row>
    <row r="269">
      <c r="A269" t="s">
        <v>98</v>
      </c>
      <c r="B269" t="s">
        <v>4075</v>
      </c>
      <c r="C269" t="s">
        <v>4075</v>
      </c>
      <c r="D269" t="s">
        <v>6020</v>
      </c>
      <c r="E269" t="s">
        <v>6021</v>
      </c>
      <c r="F269" s="2">
        <v>38505.0</v>
      </c>
      <c r="G269" t="s">
        <v>1360</v>
      </c>
      <c r="H269" t="s">
        <v>4075</v>
      </c>
      <c r="I269" s="3" t="str">
        <f>HYPERLINK("https://api.typeform.com/responses/files/8f236080865226d0c7ca24cdb097779c054849dbbff4f2f5d532926a66d1ba7c/IMG_2942.jpg")</f>
        <v>https://api.typeform.com/responses/files/8f236080865226d0c7ca24cdb097779c054849dbbff4f2f5d532926a66d1ba7c/IMG_2942.jpg</v>
      </c>
      <c r="J269" t="s">
        <v>6022</v>
      </c>
      <c r="K269" t="b">
        <v>0</v>
      </c>
      <c r="L269" t="s">
        <v>4075</v>
      </c>
      <c r="M269" t="s">
        <v>6023</v>
      </c>
      <c r="N269" t="s">
        <v>149</v>
      </c>
      <c r="O269" t="s">
        <v>4075</v>
      </c>
      <c r="P269" t="s">
        <v>6024</v>
      </c>
      <c r="Q269" t="s">
        <v>152</v>
      </c>
      <c r="R269" t="s">
        <v>6025</v>
      </c>
      <c r="S269" t="s">
        <v>6026</v>
      </c>
      <c r="T269" s="4" t="s">
        <v>5644</v>
      </c>
      <c r="U269" t="s">
        <v>6027</v>
      </c>
      <c r="V269" t="s">
        <v>6028</v>
      </c>
      <c r="W269" t="s">
        <v>2290</v>
      </c>
      <c r="X269" t="s">
        <v>4075</v>
      </c>
      <c r="Y269" t="s">
        <v>158</v>
      </c>
      <c r="Z269" t="s">
        <v>262</v>
      </c>
      <c r="AA269" t="s">
        <v>4075</v>
      </c>
      <c r="AB269" t="s">
        <v>4075</v>
      </c>
      <c r="AC269" s="3" t="str">
        <f>HYPERLINK("https://api.typeform.com/responses/files/3142b1d2ed1f1d189d9810eeed6f80bb283b45204a032005e7e79c87b1277535/Screenshot_2021_10_13_5.36.07_PM.png")</f>
        <v>https://api.typeform.com/responses/files/3142b1d2ed1f1d189d9810eeed6f80bb283b45204a032005e7e79c87b1277535/Screenshot_2021_10_13_5.36.07_PM.png</v>
      </c>
      <c r="AD269" t="s">
        <v>758</v>
      </c>
      <c r="AE269" t="s">
        <v>729</v>
      </c>
      <c r="AF269" t="s">
        <v>363</v>
      </c>
      <c r="AG269">
        <v>12.0</v>
      </c>
      <c r="AH269" t="s">
        <v>6029</v>
      </c>
      <c r="AI269" t="s">
        <v>121</v>
      </c>
      <c r="AJ269" t="s">
        <v>4075</v>
      </c>
      <c r="AK269" t="s">
        <v>6030</v>
      </c>
      <c r="AL269" t="s">
        <v>6031</v>
      </c>
      <c r="AM269" t="s">
        <v>4075</v>
      </c>
      <c r="AN269" t="s">
        <v>4075</v>
      </c>
      <c r="AO269" t="s">
        <v>486</v>
      </c>
      <c r="AP269">
        <v>2.0</v>
      </c>
      <c r="AQ269" t="s">
        <v>303</v>
      </c>
      <c r="AR269" t="s">
        <v>6032</v>
      </c>
      <c r="AS269" t="b">
        <v>1</v>
      </c>
      <c r="AT269" t="b">
        <v>1</v>
      </c>
      <c r="AU269" t="s">
        <v>4075</v>
      </c>
      <c r="AV269">
        <v>5.0</v>
      </c>
      <c r="AW269" t="b">
        <v>0</v>
      </c>
      <c r="AX269" t="s">
        <v>4075</v>
      </c>
      <c r="AY269" t="s">
        <v>4075</v>
      </c>
      <c r="AZ269" t="b">
        <v>1</v>
      </c>
      <c r="BA269" t="b">
        <v>0</v>
      </c>
      <c r="BB269" t="s">
        <v>4075</v>
      </c>
      <c r="BC269" t="s">
        <v>4075</v>
      </c>
      <c r="BD269" t="s">
        <v>6033</v>
      </c>
      <c r="BE269" t="s">
        <v>4075</v>
      </c>
      <c r="BF269" t="s">
        <v>4075</v>
      </c>
      <c r="BG269" t="s">
        <v>4075</v>
      </c>
      <c r="BH269" t="s">
        <v>132</v>
      </c>
      <c r="BI269">
        <v>1.0</v>
      </c>
      <c r="BJ269" t="s">
        <v>6034</v>
      </c>
      <c r="BK269">
        <v>3.0</v>
      </c>
      <c r="BL269">
        <v>3.0</v>
      </c>
      <c r="BM269" t="s">
        <v>6035</v>
      </c>
      <c r="BN269">
        <v>3.0</v>
      </c>
      <c r="BO269">
        <v>4.0</v>
      </c>
      <c r="BP269" t="s">
        <v>6036</v>
      </c>
      <c r="BQ269" t="s">
        <v>4618</v>
      </c>
      <c r="BR269" t="s">
        <v>6037</v>
      </c>
      <c r="BS269" t="s">
        <v>6038</v>
      </c>
      <c r="BT269" t="s">
        <v>4075</v>
      </c>
      <c r="BU269" t="s">
        <v>606</v>
      </c>
      <c r="BV269" s="3" t="str">
        <f>HYPERLINK("https://api.typeform.com/responses/files/5bf1eb5d5f6cdf5870a6fa862e527b0a0d2bd987b8638bc3d96ea731fe78c96a/IMG_2943.jpg")</f>
        <v>https://api.typeform.com/responses/files/5bf1eb5d5f6cdf5870a6fa862e527b0a0d2bd987b8638bc3d96ea731fe78c96a/IMG_2943.jpg</v>
      </c>
      <c r="BW269" t="b">
        <v>1</v>
      </c>
      <c r="BX269" t="s">
        <v>1394</v>
      </c>
      <c r="BY269" t="s">
        <v>140</v>
      </c>
      <c r="BZ269" t="s">
        <v>4075</v>
      </c>
      <c r="CA269" t="s">
        <v>1395</v>
      </c>
      <c r="CB269" t="s">
        <v>4075</v>
      </c>
      <c r="CC269" t="s">
        <v>4075</v>
      </c>
      <c r="CD269">
        <v>0.0</v>
      </c>
      <c r="CE269" t="s">
        <v>4075</v>
      </c>
      <c r="CF269" t="b">
        <v>0</v>
      </c>
      <c r="CG269" t="b">
        <v>0</v>
      </c>
      <c r="CH269" t="s">
        <v>5132</v>
      </c>
      <c r="CI269" t="s">
        <v>4075</v>
      </c>
      <c r="CJ269" t="b">
        <v>0</v>
      </c>
      <c r="CK269" t="b">
        <v>0</v>
      </c>
      <c r="CL269" t="s">
        <v>362</v>
      </c>
      <c r="CM269" t="s">
        <v>362</v>
      </c>
      <c r="CN269" t="s">
        <v>4075</v>
      </c>
      <c r="CO269" t="s">
        <v>124</v>
      </c>
      <c r="CP269" t="s">
        <v>4075</v>
      </c>
      <c r="CQ269" t="s">
        <v>362</v>
      </c>
      <c r="CR269" t="b">
        <v>1</v>
      </c>
      <c r="CS269" t="s">
        <v>4075</v>
      </c>
      <c r="CT269">
        <v>0.0</v>
      </c>
      <c r="CU269">
        <v>0.0</v>
      </c>
      <c r="CV269" t="s">
        <v>4075</v>
      </c>
      <c r="CW269" t="s">
        <v>4075</v>
      </c>
      <c r="CX269" s="4" t="s">
        <v>6039</v>
      </c>
      <c r="CY269" t="s">
        <v>4075</v>
      </c>
      <c r="CZ269" s="5">
        <v>44486.708506944444</v>
      </c>
      <c r="DA269" t="s">
        <v>6040</v>
      </c>
    </row>
    <row r="270">
      <c r="A270" t="s">
        <v>98</v>
      </c>
      <c r="B270" t="s">
        <v>4075</v>
      </c>
      <c r="C270" t="s">
        <v>4075</v>
      </c>
      <c r="D270" t="s">
        <v>5326</v>
      </c>
      <c r="E270" t="s">
        <v>5327</v>
      </c>
      <c r="F270" s="2">
        <v>38074.0</v>
      </c>
      <c r="G270" t="s">
        <v>1360</v>
      </c>
      <c r="H270" t="s">
        <v>4075</v>
      </c>
      <c r="I270" s="3" t="str">
        <f>HYPERLINK("acfb83bb772a-image_6487327.JPG")</f>
        <v>acfb83bb772a-image_6487327.JPG</v>
      </c>
      <c r="J270" t="s">
        <v>5328</v>
      </c>
      <c r="K270" t="b">
        <v>1</v>
      </c>
      <c r="L270" s="4" t="s">
        <v>5329</v>
      </c>
      <c r="M270" t="s">
        <v>5334</v>
      </c>
      <c r="N270" t="s">
        <v>354</v>
      </c>
      <c r="O270" t="s">
        <v>5331</v>
      </c>
      <c r="P270" t="s">
        <v>6041</v>
      </c>
      <c r="Q270" t="s">
        <v>189</v>
      </c>
      <c r="R270" t="s">
        <v>5333</v>
      </c>
      <c r="S270" t="s">
        <v>5334</v>
      </c>
      <c r="T270" s="4" t="s">
        <v>5335</v>
      </c>
      <c r="U270" t="s">
        <v>2313</v>
      </c>
      <c r="V270" t="s">
        <v>2818</v>
      </c>
      <c r="W270" t="s">
        <v>2290</v>
      </c>
      <c r="X270" t="s">
        <v>4075</v>
      </c>
      <c r="Y270" t="s">
        <v>158</v>
      </c>
      <c r="Z270" t="s">
        <v>262</v>
      </c>
      <c r="AA270" t="s">
        <v>4075</v>
      </c>
      <c r="AB270" t="s">
        <v>4075</v>
      </c>
      <c r="AC270" s="3" t="str">
        <f>HYPERLINK("https://api.typeform.com/responses/files/15939c0474616635ac43ddaf8039033f6786dc1a7fc45433957852950d3f2c7a/Screenshot_2021_10_18_12.31.41_AM.png")</f>
        <v>https://api.typeform.com/responses/files/15939c0474616635ac43ddaf8039033f6786dc1a7fc45433957852950d3f2c7a/Screenshot_2021_10_18_12.31.41_AM.png</v>
      </c>
      <c r="AD270" t="s">
        <v>118</v>
      </c>
      <c r="AE270" t="s">
        <v>729</v>
      </c>
      <c r="AF270" t="s">
        <v>2292</v>
      </c>
      <c r="AG270">
        <v>14.0</v>
      </c>
      <c r="AH270" t="s">
        <v>6042</v>
      </c>
      <c r="AI270" t="s">
        <v>386</v>
      </c>
      <c r="AJ270" t="s">
        <v>4075</v>
      </c>
      <c r="AK270" t="s">
        <v>6043</v>
      </c>
      <c r="AL270" t="s">
        <v>4201</v>
      </c>
      <c r="AM270" t="s">
        <v>4075</v>
      </c>
      <c r="AN270" t="s">
        <v>4075</v>
      </c>
      <c r="AO270" t="s">
        <v>335</v>
      </c>
      <c r="AP270">
        <v>4.0</v>
      </c>
      <c r="AQ270" t="s">
        <v>126</v>
      </c>
      <c r="AR270" t="s">
        <v>6044</v>
      </c>
      <c r="AS270" t="b">
        <v>1</v>
      </c>
      <c r="AT270" t="b">
        <v>0</v>
      </c>
      <c r="AU270" t="s">
        <v>4075</v>
      </c>
      <c r="AV270">
        <v>4.0</v>
      </c>
      <c r="AW270" t="b">
        <v>0</v>
      </c>
      <c r="AX270" t="s">
        <v>4075</v>
      </c>
      <c r="AY270" t="s">
        <v>4075</v>
      </c>
      <c r="AZ270" t="b">
        <v>0</v>
      </c>
      <c r="BA270" t="b">
        <v>0</v>
      </c>
      <c r="BB270" t="s">
        <v>4075</v>
      </c>
      <c r="BC270" t="s">
        <v>4075</v>
      </c>
      <c r="BD270" t="s">
        <v>6044</v>
      </c>
      <c r="BE270" t="s">
        <v>4075</v>
      </c>
      <c r="BF270" t="s">
        <v>4075</v>
      </c>
      <c r="BG270" t="s">
        <v>4075</v>
      </c>
      <c r="BH270" t="s">
        <v>132</v>
      </c>
      <c r="BI270">
        <v>1.0</v>
      </c>
      <c r="BJ270" s="4" t="s">
        <v>339</v>
      </c>
      <c r="BK270">
        <v>1.0</v>
      </c>
      <c r="BL270">
        <v>4.0</v>
      </c>
      <c r="BM270" s="4" t="s">
        <v>273</v>
      </c>
      <c r="BN270">
        <v>2.0</v>
      </c>
      <c r="BO270">
        <v>4.0</v>
      </c>
      <c r="BP270" t="s">
        <v>6045</v>
      </c>
      <c r="BQ270" t="s">
        <v>916</v>
      </c>
      <c r="BR270" t="s">
        <v>6046</v>
      </c>
      <c r="BS270" t="s">
        <v>6047</v>
      </c>
      <c r="BT270" t="s">
        <v>4075</v>
      </c>
      <c r="BU270" t="s">
        <v>6048</v>
      </c>
      <c r="BV270" s="3" t="str">
        <f>HYPERLINK("https://api.typeform.com/responses/files/683c5d979c830427b109c3de59ceef7607d5e0531d3b9e2e33e2c6e83bdb8de7/image_67172865.JPG")</f>
        <v>https://api.typeform.com/responses/files/683c5d979c830427b109c3de59ceef7607d5e0531d3b9e2e33e2c6e83bdb8de7/image_67172865.JPG</v>
      </c>
      <c r="BW270" t="b">
        <v>1</v>
      </c>
      <c r="BX270" t="s">
        <v>1394</v>
      </c>
      <c r="BY270" t="s">
        <v>140</v>
      </c>
      <c r="BZ270" t="s">
        <v>4075</v>
      </c>
      <c r="CA270" t="s">
        <v>1395</v>
      </c>
      <c r="CB270" t="s">
        <v>4075</v>
      </c>
      <c r="CC270" t="s">
        <v>4075</v>
      </c>
      <c r="CD270">
        <v>0.0</v>
      </c>
      <c r="CE270" t="s">
        <v>4075</v>
      </c>
      <c r="CF270" t="b">
        <v>0</v>
      </c>
      <c r="CG270" t="b">
        <v>0</v>
      </c>
      <c r="CH270" t="s">
        <v>4604</v>
      </c>
      <c r="CI270" t="s">
        <v>4075</v>
      </c>
      <c r="CJ270" t="b">
        <v>1</v>
      </c>
      <c r="CK270" t="b">
        <v>0</v>
      </c>
      <c r="CL270" t="s">
        <v>2301</v>
      </c>
      <c r="CM270" t="s">
        <v>4075</v>
      </c>
      <c r="CN270" t="s">
        <v>4075</v>
      </c>
      <c r="CO270" t="s">
        <v>4605</v>
      </c>
      <c r="CP270" t="s">
        <v>4075</v>
      </c>
      <c r="CQ270" t="s">
        <v>4075</v>
      </c>
      <c r="CR270" t="b">
        <v>1</v>
      </c>
      <c r="CS270" t="s">
        <v>4075</v>
      </c>
      <c r="CT270">
        <v>0.0</v>
      </c>
      <c r="CU270">
        <v>0.0</v>
      </c>
      <c r="CV270" t="s">
        <v>4075</v>
      </c>
      <c r="CW270" t="s">
        <v>4075</v>
      </c>
      <c r="CX270" s="4" t="s">
        <v>339</v>
      </c>
      <c r="CY270" t="s">
        <v>4075</v>
      </c>
      <c r="CZ270" s="5">
        <v>44487.195752314816</v>
      </c>
      <c r="DA270" t="s">
        <v>6049</v>
      </c>
    </row>
    <row r="271">
      <c r="A271" t="s">
        <v>98</v>
      </c>
      <c r="B271" t="s">
        <v>4075</v>
      </c>
      <c r="C271" t="s">
        <v>4075</v>
      </c>
      <c r="D271" t="s">
        <v>5326</v>
      </c>
      <c r="E271" t="s">
        <v>5327</v>
      </c>
      <c r="F271" s="2">
        <v>44283.0</v>
      </c>
      <c r="G271" t="s">
        <v>1360</v>
      </c>
      <c r="H271" t="s">
        <v>4075</v>
      </c>
      <c r="I271" s="3" t="str">
        <f>HYPERLINK("https://api.typeform.com/responses/files/8692747be472623b1ca37fe2dafc64ba4943ecd6c5b4ceded972bb35471fd830/image_6487327.JPG")</f>
        <v>https://api.typeform.com/responses/files/8692747be472623b1ca37fe2dafc64ba4943ecd6c5b4ceded972bb35471fd830/image_6487327.JPG</v>
      </c>
      <c r="J271" t="s">
        <v>5328</v>
      </c>
      <c r="K271" t="b">
        <v>1</v>
      </c>
      <c r="L271" s="4" t="s">
        <v>5329</v>
      </c>
      <c r="M271" t="s">
        <v>6050</v>
      </c>
      <c r="N271" t="s">
        <v>354</v>
      </c>
      <c r="O271" t="s">
        <v>6051</v>
      </c>
      <c r="P271" t="s">
        <v>6041</v>
      </c>
      <c r="Q271" t="s">
        <v>189</v>
      </c>
      <c r="R271" t="s">
        <v>5333</v>
      </c>
      <c r="S271" t="s">
        <v>6050</v>
      </c>
      <c r="T271" s="4" t="s">
        <v>5335</v>
      </c>
      <c r="U271" t="s">
        <v>2313</v>
      </c>
      <c r="V271" t="s">
        <v>2818</v>
      </c>
      <c r="W271" t="s">
        <v>2290</v>
      </c>
      <c r="X271" t="s">
        <v>4075</v>
      </c>
      <c r="Y271" t="s">
        <v>158</v>
      </c>
      <c r="Z271" t="s">
        <v>262</v>
      </c>
      <c r="AA271" t="s">
        <v>4075</v>
      </c>
      <c r="AB271" t="s">
        <v>4075</v>
      </c>
      <c r="AC271" s="3" t="str">
        <f>HYPERLINK("https://api.typeform.com/responses/files/82d11c0b8c4747e1c4bda8e6b1660a765953bc20f0767088dcb442cf979bce6b/Screenshot_2021_10_18_12.31.41_AM.png")</f>
        <v>https://api.typeform.com/responses/files/82d11c0b8c4747e1c4bda8e6b1660a765953bc20f0767088dcb442cf979bce6b/Screenshot_2021_10_18_12.31.41_AM.png</v>
      </c>
      <c r="AD271" t="s">
        <v>118</v>
      </c>
      <c r="AE271" t="s">
        <v>729</v>
      </c>
      <c r="AF271" t="s">
        <v>2292</v>
      </c>
      <c r="AG271">
        <v>14.0</v>
      </c>
      <c r="AH271" t="s">
        <v>6052</v>
      </c>
      <c r="AI271" t="s">
        <v>386</v>
      </c>
      <c r="AJ271" t="s">
        <v>4075</v>
      </c>
      <c r="AK271" t="s">
        <v>139</v>
      </c>
      <c r="AL271" t="s">
        <v>199</v>
      </c>
      <c r="AM271" t="s">
        <v>4075</v>
      </c>
      <c r="AN271" t="s">
        <v>4075</v>
      </c>
      <c r="AO271" t="s">
        <v>335</v>
      </c>
      <c r="AP271">
        <v>3.0</v>
      </c>
      <c r="AQ271" t="s">
        <v>126</v>
      </c>
      <c r="AR271" t="s">
        <v>5337</v>
      </c>
      <c r="AS271" t="b">
        <v>1</v>
      </c>
      <c r="AT271" t="b">
        <v>0</v>
      </c>
      <c r="AU271" t="s">
        <v>4075</v>
      </c>
      <c r="AV271">
        <v>4.0</v>
      </c>
      <c r="AW271" t="b">
        <v>0</v>
      </c>
      <c r="AX271" t="s">
        <v>4075</v>
      </c>
      <c r="AY271" t="s">
        <v>4075</v>
      </c>
      <c r="AZ271" t="b">
        <v>0</v>
      </c>
      <c r="BA271" t="b">
        <v>0</v>
      </c>
      <c r="BB271" t="s">
        <v>4075</v>
      </c>
      <c r="BC271" t="s">
        <v>4075</v>
      </c>
      <c r="BD271" t="s">
        <v>5337</v>
      </c>
      <c r="BE271" t="s">
        <v>4075</v>
      </c>
      <c r="BF271" t="s">
        <v>4075</v>
      </c>
      <c r="BG271" t="s">
        <v>4075</v>
      </c>
      <c r="BH271" t="s">
        <v>132</v>
      </c>
      <c r="BI271">
        <v>1.0</v>
      </c>
      <c r="BJ271" s="4" t="s">
        <v>130</v>
      </c>
      <c r="BK271">
        <v>1.0</v>
      </c>
      <c r="BL271">
        <v>4.0</v>
      </c>
      <c r="BM271" s="4" t="s">
        <v>734</v>
      </c>
      <c r="BN271">
        <v>3.0</v>
      </c>
      <c r="BO271">
        <v>4.0</v>
      </c>
      <c r="BP271" t="s">
        <v>5338</v>
      </c>
      <c r="BQ271" t="s">
        <v>916</v>
      </c>
      <c r="BR271" t="s">
        <v>6053</v>
      </c>
      <c r="BS271" t="s">
        <v>6054</v>
      </c>
      <c r="BT271" t="s">
        <v>4075</v>
      </c>
      <c r="BU271" t="s">
        <v>139</v>
      </c>
      <c r="BV271" s="3" t="str">
        <f>HYPERLINK("https://api.typeform.com/responses/files/c33904278ecebc66e8f54898c721cdf5e26e8d7618895278722ce4270f17790e/image_67172865.JPG")</f>
        <v>https://api.typeform.com/responses/files/c33904278ecebc66e8f54898c721cdf5e26e8d7618895278722ce4270f17790e/image_67172865.JPG</v>
      </c>
      <c r="BW271" t="b">
        <v>1</v>
      </c>
      <c r="BX271" t="s">
        <v>1394</v>
      </c>
      <c r="BY271" t="s">
        <v>140</v>
      </c>
      <c r="BZ271" t="s">
        <v>4075</v>
      </c>
      <c r="CA271" t="s">
        <v>1395</v>
      </c>
      <c r="CB271" t="s">
        <v>4075</v>
      </c>
      <c r="CC271" t="s">
        <v>4075</v>
      </c>
      <c r="CD271">
        <v>0.0</v>
      </c>
      <c r="CE271" t="s">
        <v>4075</v>
      </c>
      <c r="CF271" t="b">
        <v>0</v>
      </c>
      <c r="CG271" t="b">
        <v>0</v>
      </c>
      <c r="CH271" t="s">
        <v>705</v>
      </c>
      <c r="CI271" t="s">
        <v>4075</v>
      </c>
      <c r="CJ271" t="b">
        <v>1</v>
      </c>
      <c r="CK271" t="b">
        <v>0</v>
      </c>
      <c r="CL271" t="s">
        <v>2301</v>
      </c>
      <c r="CM271" t="s">
        <v>4075</v>
      </c>
      <c r="CN271" t="s">
        <v>4075</v>
      </c>
      <c r="CO271" t="s">
        <v>1635</v>
      </c>
      <c r="CP271" t="s">
        <v>4075</v>
      </c>
      <c r="CQ271" t="s">
        <v>4075</v>
      </c>
      <c r="CR271" t="b">
        <v>1</v>
      </c>
      <c r="CS271" t="s">
        <v>4075</v>
      </c>
      <c r="CT271">
        <v>0.0</v>
      </c>
      <c r="CU271">
        <v>0.0</v>
      </c>
      <c r="CV271" t="s">
        <v>4075</v>
      </c>
      <c r="CW271" t="s">
        <v>4075</v>
      </c>
      <c r="CX271" s="4" t="s">
        <v>339</v>
      </c>
      <c r="CY271" t="s">
        <v>4075</v>
      </c>
      <c r="CZ271" s="5">
        <v>44487.72141203703</v>
      </c>
      <c r="DA271" t="s">
        <v>6055</v>
      </c>
    </row>
    <row r="272">
      <c r="A272" t="s">
        <v>98</v>
      </c>
      <c r="B272" t="s">
        <v>4075</v>
      </c>
      <c r="C272" t="s">
        <v>4075</v>
      </c>
      <c r="D272" t="s">
        <v>6056</v>
      </c>
      <c r="E272" t="s">
        <v>6057</v>
      </c>
      <c r="F272" s="2">
        <v>38475.0</v>
      </c>
      <c r="G272" t="s">
        <v>1360</v>
      </c>
      <c r="H272" t="s">
        <v>4075</v>
      </c>
      <c r="I272" s="3" t="str">
        <f>HYPERLINK("https://api.typeform.com/responses/files/9bf87c80734b9d5dba2e7decd0e24beea55ffb0ef2242d6f65b53b4de98ff8ba/Screen_Shot_2021_10_18_at_3.22.04_PM.png")</f>
        <v>https://api.typeform.com/responses/files/9bf87c80734b9d5dba2e7decd0e24beea55ffb0ef2242d6f65b53b4de98ff8ba/Screen_Shot_2021_10_18_at_3.22.04_PM.png</v>
      </c>
      <c r="J272" t="s">
        <v>6058</v>
      </c>
      <c r="K272" t="b">
        <v>1</v>
      </c>
      <c r="L272" s="4" t="s">
        <v>6059</v>
      </c>
      <c r="M272" t="s">
        <v>6060</v>
      </c>
      <c r="N272" t="s">
        <v>149</v>
      </c>
      <c r="O272" t="s">
        <v>6061</v>
      </c>
      <c r="P272" t="s">
        <v>6062</v>
      </c>
      <c r="Q272" t="s">
        <v>189</v>
      </c>
      <c r="R272" t="s">
        <v>6063</v>
      </c>
      <c r="S272" t="s">
        <v>6060</v>
      </c>
      <c r="T272" s="4" t="s">
        <v>6064</v>
      </c>
      <c r="U272" t="s">
        <v>1039</v>
      </c>
      <c r="V272" t="s">
        <v>4303</v>
      </c>
      <c r="W272" t="s">
        <v>113</v>
      </c>
      <c r="X272" t="s">
        <v>4075</v>
      </c>
      <c r="Y272" t="s">
        <v>158</v>
      </c>
      <c r="Z272" t="s">
        <v>159</v>
      </c>
      <c r="AA272" t="s">
        <v>4075</v>
      </c>
      <c r="AB272" t="s">
        <v>4075</v>
      </c>
      <c r="AC272" s="3" t="str">
        <f>HYPERLINK("https://api.typeform.com/responses/files/7230c886107f06e1a3621dc6cabff0c5f58a9d72a0814ec16bede17bad834e10/Screen_Shot_2021_10_18_at_4.10.10_PM.png")</f>
        <v>https://api.typeform.com/responses/files/7230c886107f06e1a3621dc6cabff0c5f58a9d72a0814ec16bede17bad834e10/Screen_Shot_2021_10_18_at_4.10.10_PM.png</v>
      </c>
      <c r="AD272" t="s">
        <v>118</v>
      </c>
      <c r="AE272" t="s">
        <v>729</v>
      </c>
      <c r="AF272" t="s">
        <v>197</v>
      </c>
      <c r="AG272">
        <v>3.0</v>
      </c>
      <c r="AH272" s="4" t="s">
        <v>734</v>
      </c>
      <c r="AI272" t="s">
        <v>162</v>
      </c>
      <c r="AJ272" t="s">
        <v>4075</v>
      </c>
      <c r="AK272" t="s">
        <v>139</v>
      </c>
      <c r="AL272" t="s">
        <v>1043</v>
      </c>
      <c r="AM272" t="s">
        <v>4075</v>
      </c>
      <c r="AN272" t="s">
        <v>4075</v>
      </c>
      <c r="AO272" t="s">
        <v>125</v>
      </c>
      <c r="AP272">
        <v>4.0</v>
      </c>
      <c r="AQ272" t="s">
        <v>126</v>
      </c>
      <c r="AR272" t="s">
        <v>1954</v>
      </c>
      <c r="AS272" t="b">
        <v>0</v>
      </c>
      <c r="AT272" t="s">
        <v>4075</v>
      </c>
      <c r="AU272" t="s">
        <v>4075</v>
      </c>
      <c r="AV272">
        <v>4.0</v>
      </c>
      <c r="AW272" t="b">
        <v>0</v>
      </c>
      <c r="AX272" t="s">
        <v>4075</v>
      </c>
      <c r="AY272" t="s">
        <v>4075</v>
      </c>
      <c r="AZ272" t="b">
        <v>0</v>
      </c>
      <c r="BA272" t="b">
        <v>0</v>
      </c>
      <c r="BB272" t="s">
        <v>4075</v>
      </c>
      <c r="BC272" t="s">
        <v>4075</v>
      </c>
      <c r="BD272" t="s">
        <v>544</v>
      </c>
      <c r="BE272" t="s">
        <v>4075</v>
      </c>
      <c r="BF272" t="s">
        <v>4075</v>
      </c>
      <c r="BG272" t="s">
        <v>4075</v>
      </c>
      <c r="BH272" t="s">
        <v>132</v>
      </c>
      <c r="BI272">
        <v>7.0</v>
      </c>
      <c r="BJ272" t="s">
        <v>6065</v>
      </c>
      <c r="BK272">
        <v>6.0</v>
      </c>
      <c r="BL272">
        <v>7.0</v>
      </c>
      <c r="BM272" t="s">
        <v>6066</v>
      </c>
      <c r="BN272">
        <v>3.0</v>
      </c>
      <c r="BO272">
        <v>4.0</v>
      </c>
      <c r="BP272" t="s">
        <v>6067</v>
      </c>
      <c r="BQ272" t="s">
        <v>1050</v>
      </c>
      <c r="BR272" t="s">
        <v>6068</v>
      </c>
      <c r="BS272" t="s">
        <v>6069</v>
      </c>
      <c r="BT272" t="s">
        <v>4075</v>
      </c>
      <c r="BU272" t="s">
        <v>6070</v>
      </c>
      <c r="BV272" s="3" t="str">
        <f>HYPERLINK("https://api.typeform.com/responses/files/7492e1cc03eac9cd58c2dc3a219d83a5333f91d569a0a3ebc78c4338eb0615d3/Screen_Shot_2021_10_18_at_4.08.52_PM.png")</f>
        <v>https://api.typeform.com/responses/files/7492e1cc03eac9cd58c2dc3a219d83a5333f91d569a0a3ebc78c4338eb0615d3/Screen_Shot_2021_10_18_at_4.08.52_PM.png</v>
      </c>
      <c r="BW272" t="b">
        <v>1</v>
      </c>
      <c r="BX272" t="s">
        <v>1394</v>
      </c>
      <c r="BY272" t="s">
        <v>140</v>
      </c>
      <c r="BZ272" t="s">
        <v>4075</v>
      </c>
      <c r="CA272" t="s">
        <v>1395</v>
      </c>
      <c r="CB272" t="s">
        <v>4075</v>
      </c>
      <c r="CC272" t="s">
        <v>4075</v>
      </c>
      <c r="CD272">
        <v>0.0</v>
      </c>
      <c r="CE272" t="s">
        <v>4075</v>
      </c>
      <c r="CF272" t="b">
        <v>1</v>
      </c>
      <c r="CG272" t="b">
        <v>1</v>
      </c>
      <c r="CH272" t="s">
        <v>168</v>
      </c>
      <c r="CI272" t="s">
        <v>4075</v>
      </c>
      <c r="CJ272" t="b">
        <v>1</v>
      </c>
      <c r="CK272" t="b">
        <v>0</v>
      </c>
      <c r="CL272" t="s">
        <v>198</v>
      </c>
      <c r="CM272" t="s">
        <v>4075</v>
      </c>
      <c r="CN272" t="s">
        <v>4075</v>
      </c>
      <c r="CO272" t="s">
        <v>1635</v>
      </c>
      <c r="CP272" t="s">
        <v>4075</v>
      </c>
      <c r="CQ272" t="s">
        <v>4075</v>
      </c>
      <c r="CR272" t="b">
        <v>1</v>
      </c>
      <c r="CS272" t="s">
        <v>4075</v>
      </c>
      <c r="CT272">
        <v>0.0</v>
      </c>
      <c r="CU272">
        <v>2.0</v>
      </c>
      <c r="CV272" t="s">
        <v>4075</v>
      </c>
      <c r="CW272" t="s">
        <v>4075</v>
      </c>
      <c r="CX272" s="4" t="s">
        <v>2914</v>
      </c>
      <c r="CY272" t="s">
        <v>4075</v>
      </c>
      <c r="CZ272" s="5">
        <v>44487.84056712963</v>
      </c>
      <c r="DA272" t="s">
        <v>6071</v>
      </c>
    </row>
    <row r="273">
      <c r="A273" t="s">
        <v>98</v>
      </c>
      <c r="B273" t="s">
        <v>4075</v>
      </c>
      <c r="C273" t="s">
        <v>4075</v>
      </c>
      <c r="D273" t="s">
        <v>6072</v>
      </c>
      <c r="E273" t="s">
        <v>6073</v>
      </c>
      <c r="F273" s="2">
        <v>37623.0</v>
      </c>
      <c r="G273" t="s">
        <v>1360</v>
      </c>
      <c r="H273" t="s">
        <v>4075</v>
      </c>
      <c r="I273" s="3" t="str">
        <f>HYPERLINK("https://api.typeform.com/responses/files/9028c2417c748843403a3b9fd8471e82e058534bcb9ef335249cab5488e29d12/75923a43_a6fd_459c_8252_3bc62ca68629.jpg")</f>
        <v>https://api.typeform.com/responses/files/9028c2417c748843403a3b9fd8471e82e058534bcb9ef335249cab5488e29d12/75923a43_a6fd_459c_8252_3bc62ca68629.jpg</v>
      </c>
      <c r="J273" t="s">
        <v>6074</v>
      </c>
      <c r="K273" t="b">
        <v>1</v>
      </c>
      <c r="L273" s="4" t="s">
        <v>6075</v>
      </c>
      <c r="M273" t="s">
        <v>6076</v>
      </c>
      <c r="N273" t="s">
        <v>354</v>
      </c>
      <c r="O273" t="s">
        <v>4315</v>
      </c>
      <c r="P273" t="s">
        <v>6077</v>
      </c>
      <c r="Q273" t="s">
        <v>108</v>
      </c>
      <c r="R273" t="s">
        <v>6078</v>
      </c>
      <c r="S273" t="s">
        <v>6079</v>
      </c>
      <c r="T273" s="4" t="s">
        <v>6080</v>
      </c>
      <c r="U273" t="s">
        <v>6081</v>
      </c>
      <c r="V273" t="s">
        <v>6082</v>
      </c>
      <c r="W273" t="s">
        <v>113</v>
      </c>
      <c r="X273" t="s">
        <v>4075</v>
      </c>
      <c r="Y273" t="s">
        <v>158</v>
      </c>
      <c r="Z273" t="s">
        <v>262</v>
      </c>
      <c r="AA273" t="s">
        <v>4075</v>
      </c>
      <c r="AB273" t="s">
        <v>4075</v>
      </c>
      <c r="AC273" s="3" t="str">
        <f>HYPERLINK("https://api.typeform.com/responses/files/664d4908ee376beabade6555042ea67e607969577a48d13a4af2bc2f01a779b4/IMG_3830.PNG")</f>
        <v>https://api.typeform.com/responses/files/664d4908ee376beabade6555042ea67e607969577a48d13a4af2bc2f01a779b4/IMG_3830.PNG</v>
      </c>
      <c r="AD273" t="s">
        <v>118</v>
      </c>
      <c r="AE273" t="s">
        <v>3349</v>
      </c>
      <c r="AF273" t="s">
        <v>6083</v>
      </c>
      <c r="AG273">
        <v>17.0</v>
      </c>
      <c r="AH273" t="s">
        <v>6084</v>
      </c>
      <c r="AI273" t="s">
        <v>121</v>
      </c>
      <c r="AJ273" t="s">
        <v>4075</v>
      </c>
      <c r="AK273" t="s">
        <v>6085</v>
      </c>
      <c r="AL273" t="s">
        <v>6086</v>
      </c>
      <c r="AM273" t="s">
        <v>4075</v>
      </c>
      <c r="AN273" t="s">
        <v>4075</v>
      </c>
      <c r="AO273" t="s">
        <v>335</v>
      </c>
      <c r="AP273">
        <v>7.0</v>
      </c>
      <c r="AQ273" t="s">
        <v>303</v>
      </c>
      <c r="AR273" t="s">
        <v>6087</v>
      </c>
      <c r="AS273" t="b">
        <v>0</v>
      </c>
      <c r="AT273" t="s">
        <v>4075</v>
      </c>
      <c r="AU273" t="s">
        <v>4075</v>
      </c>
      <c r="AV273">
        <v>7.0</v>
      </c>
      <c r="AW273" t="b">
        <v>0</v>
      </c>
      <c r="AX273" t="s">
        <v>4075</v>
      </c>
      <c r="AY273" t="s">
        <v>4075</v>
      </c>
      <c r="AZ273" t="b">
        <v>0</v>
      </c>
      <c r="BA273" t="b">
        <v>0</v>
      </c>
      <c r="BB273" t="s">
        <v>4075</v>
      </c>
      <c r="BC273" t="s">
        <v>4075</v>
      </c>
      <c r="BD273" t="s">
        <v>6088</v>
      </c>
      <c r="BE273" t="s">
        <v>4075</v>
      </c>
      <c r="BF273" t="s">
        <v>4075</v>
      </c>
      <c r="BG273" t="s">
        <v>4075</v>
      </c>
      <c r="BH273" t="s">
        <v>132</v>
      </c>
      <c r="BI273">
        <v>2.0</v>
      </c>
      <c r="BJ273" t="s">
        <v>6089</v>
      </c>
      <c r="BK273">
        <v>4.0</v>
      </c>
      <c r="BL273">
        <v>3.0</v>
      </c>
      <c r="BM273" t="s">
        <v>6090</v>
      </c>
      <c r="BN273">
        <v>2.0</v>
      </c>
      <c r="BO273">
        <v>3.0</v>
      </c>
      <c r="BP273" t="s">
        <v>6091</v>
      </c>
      <c r="BQ273" t="s">
        <v>1931</v>
      </c>
      <c r="BR273" t="s">
        <v>6092</v>
      </c>
      <c r="BS273" t="s">
        <v>6093</v>
      </c>
      <c r="BT273" t="s">
        <v>4075</v>
      </c>
      <c r="BU273" t="s">
        <v>6094</v>
      </c>
      <c r="BV273" s="3" t="str">
        <f>HYPERLINK("https://api.typeform.com/responses/files/d62521f84de3d340181a340fd33d001faac2928bb279bc142e9d70c66a794447/IMG_3832__2_.HEIC")</f>
        <v>https://api.typeform.com/responses/files/d62521f84de3d340181a340fd33d001faac2928bb279bc142e9d70c66a794447/IMG_3832__2_.HEIC</v>
      </c>
      <c r="BW273" t="b">
        <v>1</v>
      </c>
      <c r="BX273" t="s">
        <v>1394</v>
      </c>
      <c r="BY273" t="s">
        <v>140</v>
      </c>
      <c r="BZ273" t="s">
        <v>4075</v>
      </c>
      <c r="CA273" t="s">
        <v>1395</v>
      </c>
      <c r="CB273" t="s">
        <v>4075</v>
      </c>
      <c r="CC273" t="s">
        <v>4075</v>
      </c>
      <c r="CD273">
        <v>0.0</v>
      </c>
      <c r="CE273" t="s">
        <v>4075</v>
      </c>
      <c r="CF273" t="b">
        <v>1</v>
      </c>
      <c r="CG273" t="b">
        <v>1</v>
      </c>
      <c r="CH273" t="s">
        <v>1557</v>
      </c>
      <c r="CI273" t="s">
        <v>4075</v>
      </c>
      <c r="CJ273" t="b">
        <v>1</v>
      </c>
      <c r="CK273" t="b">
        <v>1</v>
      </c>
      <c r="CL273" t="s">
        <v>300</v>
      </c>
      <c r="CM273" t="s">
        <v>4075</v>
      </c>
      <c r="CN273" t="s">
        <v>4075</v>
      </c>
      <c r="CO273" t="s">
        <v>2068</v>
      </c>
      <c r="CP273" t="s">
        <v>4075</v>
      </c>
      <c r="CQ273" t="s">
        <v>4075</v>
      </c>
      <c r="CR273" t="b">
        <v>1</v>
      </c>
      <c r="CS273" t="s">
        <v>4075</v>
      </c>
      <c r="CT273">
        <v>0.0</v>
      </c>
      <c r="CU273">
        <v>2.0</v>
      </c>
      <c r="CV273" t="s">
        <v>4075</v>
      </c>
      <c r="CW273" t="s">
        <v>4075</v>
      </c>
      <c r="CX273" t="s">
        <v>6095</v>
      </c>
      <c r="CY273" t="s">
        <v>4075</v>
      </c>
      <c r="CZ273" s="5">
        <v>44488.06155092592</v>
      </c>
      <c r="DA273" t="s">
        <v>6096</v>
      </c>
    </row>
    <row r="274">
      <c r="A274" t="s">
        <v>98</v>
      </c>
      <c r="D274" t="s">
        <v>6097</v>
      </c>
      <c r="E274" t="s">
        <v>6098</v>
      </c>
      <c r="F274" s="2" t="s">
        <v>6099</v>
      </c>
      <c r="G274" t="s">
        <v>1360</v>
      </c>
      <c r="I274" s="3" t="str">
        <f>HYPERLINK("https://api.typeform.com/responses/files/031342070fea761ad54c7dec1bf9cd9996f6a480b378544e4767a450b66158d6/IMG_20211021_092401.jpg")</f>
        <v>https://api.typeform.com/responses/files/031342070fea761ad54c7dec1bf9cd9996f6a480b378544e4767a450b66158d6/IMG_20211021_092401.jpg</v>
      </c>
      <c r="J274" t="s">
        <v>6100</v>
      </c>
      <c r="K274" t="b">
        <v>1</v>
      </c>
      <c r="L274" s="4" t="s">
        <v>6101</v>
      </c>
      <c r="M274" t="s">
        <v>6102</v>
      </c>
      <c r="N274" t="s">
        <v>149</v>
      </c>
      <c r="P274" t="s">
        <v>6103</v>
      </c>
      <c r="Q274" t="s">
        <v>189</v>
      </c>
      <c r="R274" t="s">
        <v>6104</v>
      </c>
      <c r="S274" t="s">
        <v>6105</v>
      </c>
      <c r="T274" s="4" t="s">
        <v>6106</v>
      </c>
      <c r="U274" t="s">
        <v>6107</v>
      </c>
      <c r="V274" t="s">
        <v>6108</v>
      </c>
      <c r="W274" t="s">
        <v>261</v>
      </c>
      <c r="Y274" t="s">
        <v>158</v>
      </c>
      <c r="Z274" t="s">
        <v>262</v>
      </c>
      <c r="AC274" s="3" t="str">
        <f>HYPERLINK("https://api.typeform.com/responses/files/049f13d182090f5c726212dda8f2f0c68245489c84c8c90901867851099b89c1/IMG_20211021_092902.jpg")</f>
        <v>https://api.typeform.com/responses/files/049f13d182090f5c726212dda8f2f0c68245489c84c8c90901867851099b89c1/IMG_20211021_092902.jpg</v>
      </c>
      <c r="AD274" t="s">
        <v>118</v>
      </c>
      <c r="AE274" t="s">
        <v>729</v>
      </c>
      <c r="AF274" t="s">
        <v>4450</v>
      </c>
      <c r="AG274">
        <v>10.0</v>
      </c>
      <c r="AH274" s="4" t="s">
        <v>5053</v>
      </c>
      <c r="AI274" t="s">
        <v>386</v>
      </c>
      <c r="AK274" t="s">
        <v>6109</v>
      </c>
      <c r="AL274" t="s">
        <v>199</v>
      </c>
      <c r="AO274" t="s">
        <v>335</v>
      </c>
      <c r="AP274">
        <v>3.0</v>
      </c>
      <c r="AQ274" t="s">
        <v>1480</v>
      </c>
      <c r="AR274" t="s">
        <v>3350</v>
      </c>
      <c r="AS274" t="b">
        <v>1</v>
      </c>
      <c r="AT274" t="b">
        <v>0</v>
      </c>
      <c r="AV274">
        <v>7.0</v>
      </c>
      <c r="AW274" t="b">
        <v>1</v>
      </c>
      <c r="AX274" t="s">
        <v>2797</v>
      </c>
      <c r="AY274" s="4" t="s">
        <v>518</v>
      </c>
      <c r="AZ274" t="b">
        <v>0</v>
      </c>
      <c r="BA274" t="b">
        <v>1</v>
      </c>
      <c r="BB274" t="b">
        <v>0</v>
      </c>
      <c r="BC274" t="s">
        <v>6110</v>
      </c>
      <c r="BH274" t="s">
        <v>132</v>
      </c>
      <c r="BI274">
        <v>5.0</v>
      </c>
      <c r="BJ274" t="s">
        <v>6111</v>
      </c>
      <c r="BK274">
        <v>5.0</v>
      </c>
      <c r="BL274">
        <v>5.0</v>
      </c>
      <c r="BM274" t="s">
        <v>6112</v>
      </c>
      <c r="BN274">
        <v>4.0</v>
      </c>
      <c r="BO274">
        <v>5.0</v>
      </c>
      <c r="BP274" t="s">
        <v>6113</v>
      </c>
      <c r="BQ274" t="s">
        <v>3305</v>
      </c>
      <c r="BR274" t="s">
        <v>6114</v>
      </c>
      <c r="BS274" t="s">
        <v>6115</v>
      </c>
      <c r="BU274" t="s">
        <v>6116</v>
      </c>
      <c r="BV274" s="3" t="str">
        <f>HYPERLINK("https://api.typeform.com/responses/files/2b568dd37a257e360ee5c8aeba95285be0ff7997b35d661a1ba4f1207929cb21/IMG_20211021_094705.jpg")</f>
        <v>https://api.typeform.com/responses/files/2b568dd37a257e360ee5c8aeba95285be0ff7997b35d661a1ba4f1207929cb21/IMG_20211021_094705.jpg</v>
      </c>
      <c r="BW274" t="b">
        <v>1</v>
      </c>
      <c r="BX274" t="s">
        <v>1394</v>
      </c>
      <c r="BY274" t="s">
        <v>140</v>
      </c>
      <c r="CA274" t="s">
        <v>1395</v>
      </c>
      <c r="CD274">
        <v>0.0</v>
      </c>
      <c r="CF274" t="b">
        <v>1</v>
      </c>
      <c r="CG274" t="b">
        <v>1</v>
      </c>
      <c r="CH274" t="s">
        <v>1886</v>
      </c>
      <c r="CJ274" t="b">
        <v>0</v>
      </c>
      <c r="CK274" t="b">
        <v>0</v>
      </c>
      <c r="CL274" t="s">
        <v>387</v>
      </c>
      <c r="CO274" t="s">
        <v>164</v>
      </c>
      <c r="CR274" t="b">
        <v>1</v>
      </c>
      <c r="CT274">
        <v>1.0</v>
      </c>
      <c r="CU274">
        <v>0.0</v>
      </c>
      <c r="CX274" s="4" t="s">
        <v>6117</v>
      </c>
      <c r="CZ274" s="5">
        <v>44490.57509259259</v>
      </c>
      <c r="DA274" t="s">
        <v>6118</v>
      </c>
    </row>
    <row r="275">
      <c r="A275" t="s">
        <v>98</v>
      </c>
      <c r="D275" t="s">
        <v>6119</v>
      </c>
      <c r="E275" t="s">
        <v>6120</v>
      </c>
      <c r="F275" s="2">
        <v>38235.0</v>
      </c>
      <c r="G275" t="s">
        <v>1466</v>
      </c>
      <c r="I275" s="3" t="str">
        <f>HYPERLINK("https://api.typeform.com/responses/files/7f0a1132fbda94743b8adf84642ef8df43435f02000d5cb8425953cd916a46ab/20200831_230302.jpg")</f>
        <v>https://api.typeform.com/responses/files/7f0a1132fbda94743b8adf84642ef8df43435f02000d5cb8425953cd916a46ab/20200831_230302.jpg</v>
      </c>
      <c r="J275" t="s">
        <v>6121</v>
      </c>
      <c r="K275" t="b">
        <v>1</v>
      </c>
      <c r="L275" s="4" t="s">
        <v>6122</v>
      </c>
      <c r="M275" t="s">
        <v>6123</v>
      </c>
      <c r="N275" t="s">
        <v>149</v>
      </c>
      <c r="P275" t="s">
        <v>6124</v>
      </c>
      <c r="Q275" t="s">
        <v>189</v>
      </c>
      <c r="R275" t="s">
        <v>6125</v>
      </c>
      <c r="S275" t="s">
        <v>6123</v>
      </c>
      <c r="T275" s="4" t="s">
        <v>6122</v>
      </c>
      <c r="U275" t="s">
        <v>2722</v>
      </c>
      <c r="V275" t="s">
        <v>6126</v>
      </c>
      <c r="W275" t="s">
        <v>2290</v>
      </c>
      <c r="Y275" t="s">
        <v>114</v>
      </c>
      <c r="Z275" t="s">
        <v>262</v>
      </c>
      <c r="AC275" s="3" t="str">
        <f>HYPERLINK("https://api.typeform.com/responses/files/15e34d231de80648a0491f71d1c5e7463514d8994a26d87522ac18aab4ca4bbf/20211008_125815.jpg")</f>
        <v>https://api.typeform.com/responses/files/15e34d231de80648a0491f71d1c5e7463514d8994a26d87522ac18aab4ca4bbf/20211008_125815.jpg</v>
      </c>
      <c r="AD275" t="s">
        <v>118</v>
      </c>
      <c r="AE275" t="s">
        <v>729</v>
      </c>
      <c r="AF275" t="s">
        <v>459</v>
      </c>
      <c r="AG275">
        <v>15.0</v>
      </c>
      <c r="AH275" t="s">
        <v>3275</v>
      </c>
      <c r="AI275" t="s">
        <v>386</v>
      </c>
      <c r="AK275" t="s">
        <v>6127</v>
      </c>
      <c r="AL275" t="s">
        <v>460</v>
      </c>
      <c r="AO275" t="s">
        <v>125</v>
      </c>
      <c r="AP275">
        <v>5.0</v>
      </c>
      <c r="AQ275" t="s">
        <v>1480</v>
      </c>
      <c r="AR275" t="s">
        <v>1480</v>
      </c>
      <c r="AS275" t="b">
        <v>1</v>
      </c>
      <c r="AT275" t="b">
        <v>0</v>
      </c>
      <c r="AV275">
        <v>5.0</v>
      </c>
      <c r="AW275" t="b">
        <v>1</v>
      </c>
      <c r="AX275" t="s">
        <v>1902</v>
      </c>
      <c r="AY275" t="s">
        <v>706</v>
      </c>
      <c r="AZ275" t="b">
        <v>0</v>
      </c>
      <c r="BA275" t="b">
        <v>0</v>
      </c>
      <c r="BD275" t="s">
        <v>1480</v>
      </c>
      <c r="BH275" t="s">
        <v>132</v>
      </c>
      <c r="BI275">
        <v>3.0</v>
      </c>
      <c r="BJ275" t="s">
        <v>6128</v>
      </c>
      <c r="BK275">
        <v>3.0</v>
      </c>
      <c r="BL275">
        <v>4.0</v>
      </c>
      <c r="BM275" t="s">
        <v>6129</v>
      </c>
      <c r="BN275">
        <v>4.0</v>
      </c>
      <c r="BO275">
        <v>4.0</v>
      </c>
      <c r="BP275" t="s">
        <v>6130</v>
      </c>
      <c r="BQ275" t="s">
        <v>6131</v>
      </c>
      <c r="BR275" t="s">
        <v>6132</v>
      </c>
      <c r="BS275" t="s">
        <v>6133</v>
      </c>
      <c r="BU275" t="s">
        <v>6134</v>
      </c>
      <c r="BV275" s="3" t="str">
        <f>HYPERLINK("https://api.typeform.com/responses/files/2fe3df6b8fdc060660d7f81b3ae7a4a1083f1271a40088fdcafcfc81fb5cfaaf/20211021_145534.jpg")</f>
        <v>https://api.typeform.com/responses/files/2fe3df6b8fdc060660d7f81b3ae7a4a1083f1271a40088fdcafcfc81fb5cfaaf/20211021_145534.jpg</v>
      </c>
      <c r="BW275" t="b">
        <v>1</v>
      </c>
      <c r="BX275" t="s">
        <v>1394</v>
      </c>
      <c r="BY275" t="s">
        <v>140</v>
      </c>
      <c r="CA275" t="s">
        <v>1395</v>
      </c>
      <c r="CD275">
        <v>0.0</v>
      </c>
      <c r="CF275" t="b">
        <v>1</v>
      </c>
      <c r="CG275" t="b">
        <v>1</v>
      </c>
      <c r="CH275" t="s">
        <v>305</v>
      </c>
      <c r="CJ275" t="b">
        <v>1</v>
      </c>
      <c r="CK275" t="b">
        <v>1</v>
      </c>
      <c r="CL275" t="s">
        <v>362</v>
      </c>
      <c r="CO275" t="s">
        <v>2325</v>
      </c>
      <c r="CR275" t="b">
        <v>1</v>
      </c>
      <c r="CT275">
        <v>1.0</v>
      </c>
      <c r="CU275">
        <v>2.0</v>
      </c>
      <c r="CX275" s="4" t="s">
        <v>6135</v>
      </c>
      <c r="CZ275" s="5">
        <v>44490.793969907405</v>
      </c>
      <c r="DA275" t="s">
        <v>6136</v>
      </c>
    </row>
    <row r="276">
      <c r="A276" t="s">
        <v>98</v>
      </c>
      <c r="D276" t="s">
        <v>3286</v>
      </c>
      <c r="E276" t="s">
        <v>6137</v>
      </c>
      <c r="F276" s="2">
        <v>38706.0</v>
      </c>
      <c r="G276" t="s">
        <v>1466</v>
      </c>
      <c r="I276" s="3" t="str">
        <f>HYPERLINK("6a33f547d615-20210914_172257.jpg")</f>
        <v>6a33f547d615-20210914_172257.jpg</v>
      </c>
      <c r="J276" t="s">
        <v>6138</v>
      </c>
      <c r="K276" t="b">
        <v>1</v>
      </c>
      <c r="L276" s="4" t="s">
        <v>6139</v>
      </c>
      <c r="M276" t="s">
        <v>6140</v>
      </c>
      <c r="N276" t="s">
        <v>149</v>
      </c>
      <c r="O276" t="s">
        <v>6141</v>
      </c>
      <c r="P276" t="s">
        <v>6142</v>
      </c>
      <c r="Q276" t="s">
        <v>152</v>
      </c>
      <c r="R276" t="s">
        <v>6143</v>
      </c>
      <c r="S276" t="s">
        <v>6140</v>
      </c>
      <c r="T276" s="4" t="s">
        <v>6144</v>
      </c>
      <c r="U276" t="s">
        <v>3028</v>
      </c>
      <c r="V276" t="s">
        <v>6145</v>
      </c>
      <c r="W276" t="s">
        <v>2290</v>
      </c>
      <c r="Y276" t="s">
        <v>158</v>
      </c>
      <c r="Z276" t="s">
        <v>262</v>
      </c>
      <c r="AC276" s="3" t="str">
        <f>HYPERLINK("6637a442c9e0-Screenshot_20211015_131607_Chrome.jpg")</f>
        <v>6637a442c9e0-Screenshot_20211015_131607_Chrome.jpg</v>
      </c>
      <c r="AD276" t="s">
        <v>118</v>
      </c>
      <c r="AE276" t="s">
        <v>729</v>
      </c>
      <c r="AF276" t="s">
        <v>2651</v>
      </c>
      <c r="AG276">
        <v>13.0</v>
      </c>
      <c r="AH276" s="4" t="s">
        <v>130</v>
      </c>
      <c r="AI276" t="s">
        <v>162</v>
      </c>
      <c r="AK276" t="s">
        <v>179</v>
      </c>
      <c r="AL276" t="s">
        <v>199</v>
      </c>
      <c r="AO276" t="s">
        <v>125</v>
      </c>
      <c r="AP276">
        <v>4.0</v>
      </c>
      <c r="AQ276" t="s">
        <v>6146</v>
      </c>
      <c r="AR276" t="s">
        <v>5991</v>
      </c>
      <c r="AS276" t="b">
        <v>1</v>
      </c>
      <c r="AT276" t="b">
        <v>1</v>
      </c>
      <c r="AV276">
        <v>5.0</v>
      </c>
      <c r="AW276" t="b">
        <v>0</v>
      </c>
      <c r="AZ276" t="b">
        <v>0</v>
      </c>
      <c r="BA276" t="b">
        <v>0</v>
      </c>
      <c r="BD276" t="s">
        <v>5991</v>
      </c>
      <c r="BH276" t="s">
        <v>132</v>
      </c>
      <c r="BI276">
        <v>1.0</v>
      </c>
      <c r="BJ276" t="s">
        <v>6147</v>
      </c>
      <c r="BK276">
        <v>4.0</v>
      </c>
      <c r="BL276">
        <v>5.0</v>
      </c>
      <c r="BM276" t="s">
        <v>5991</v>
      </c>
      <c r="BN276">
        <v>4.0</v>
      </c>
      <c r="BO276">
        <v>7.0</v>
      </c>
      <c r="BP276" t="s">
        <v>6148</v>
      </c>
      <c r="BQ276" t="s">
        <v>2390</v>
      </c>
      <c r="BR276" t="s">
        <v>6149</v>
      </c>
      <c r="BS276" t="s">
        <v>6150</v>
      </c>
      <c r="BU276" t="s">
        <v>179</v>
      </c>
      <c r="BV276" s="3" t="str">
        <f>HYPERLINK("https://api.typeform.com/responses/files/a0a0954a6b558b46cec65e72fec8a575f6994b87183784fe04cc212a39badf04/20211021_145657.jpg")</f>
        <v>https://api.typeform.com/responses/files/a0a0954a6b558b46cec65e72fec8a575f6994b87183784fe04cc212a39badf04/20211021_145657.jpg</v>
      </c>
      <c r="BW276" t="b">
        <v>1</v>
      </c>
      <c r="BX276" t="s">
        <v>1394</v>
      </c>
      <c r="BY276" t="s">
        <v>140</v>
      </c>
      <c r="CA276" t="s">
        <v>1395</v>
      </c>
      <c r="CD276">
        <v>0.0</v>
      </c>
      <c r="CF276" t="b">
        <v>1</v>
      </c>
      <c r="CG276" t="b">
        <v>1</v>
      </c>
      <c r="CH276" t="s">
        <v>168</v>
      </c>
      <c r="CJ276" t="b">
        <v>1</v>
      </c>
      <c r="CK276" t="b">
        <v>1</v>
      </c>
      <c r="CL276" t="s">
        <v>2301</v>
      </c>
      <c r="CM276" t="s">
        <v>541</v>
      </c>
      <c r="CO276" t="s">
        <v>1635</v>
      </c>
      <c r="CR276" t="b">
        <v>1</v>
      </c>
      <c r="CT276">
        <v>0.0</v>
      </c>
      <c r="CU276">
        <v>0.0</v>
      </c>
      <c r="CX276" t="s">
        <v>5215</v>
      </c>
      <c r="CZ276" s="5">
        <v>44490.79545138889</v>
      </c>
      <c r="DA276" t="s">
        <v>6151</v>
      </c>
    </row>
    <row r="277">
      <c r="A277" t="s">
        <v>98</v>
      </c>
      <c r="D277" t="s">
        <v>5384</v>
      </c>
      <c r="E277" t="s">
        <v>5385</v>
      </c>
      <c r="F277" s="2">
        <v>36881.0</v>
      </c>
      <c r="G277" t="s">
        <v>1360</v>
      </c>
      <c r="I277" s="3" t="str">
        <f>HYPERLINK("1a12575b5886-20211005_083456__1_.jpg")</f>
        <v>1a12575b5886-20211005_083456__1_.jpg</v>
      </c>
      <c r="J277" t="s">
        <v>5386</v>
      </c>
      <c r="K277" t="b">
        <v>1</v>
      </c>
      <c r="L277" s="4" t="s">
        <v>5387</v>
      </c>
      <c r="M277" t="s">
        <v>5388</v>
      </c>
      <c r="N277" t="s">
        <v>354</v>
      </c>
      <c r="O277" t="s">
        <v>6152</v>
      </c>
      <c r="P277" t="s">
        <v>5389</v>
      </c>
      <c r="Q277" t="s">
        <v>189</v>
      </c>
      <c r="R277" t="s">
        <v>6153</v>
      </c>
      <c r="S277" t="s">
        <v>6154</v>
      </c>
      <c r="T277" s="4" t="s">
        <v>5391</v>
      </c>
      <c r="U277" t="s">
        <v>2313</v>
      </c>
      <c r="V277" t="s">
        <v>4664</v>
      </c>
      <c r="W277" t="s">
        <v>2290</v>
      </c>
      <c r="Y277" t="s">
        <v>158</v>
      </c>
      <c r="Z277" t="s">
        <v>262</v>
      </c>
      <c r="AC277" s="3" t="str">
        <f>HYPERLINK("https://api.typeform.com/responses/files/341b76c410c1f070b0653dbf3390d6f74c6ec8978d24d2f89dce357760fbadf0/20211021_145415.jpg")</f>
        <v>https://api.typeform.com/responses/files/341b76c410c1f070b0653dbf3390d6f74c6ec8978d24d2f89dce357760fbadf0/20211021_145415.jpg</v>
      </c>
      <c r="AD277" t="s">
        <v>118</v>
      </c>
      <c r="AE277" t="s">
        <v>4219</v>
      </c>
      <c r="AF277" t="s">
        <v>1196</v>
      </c>
      <c r="AG277">
        <v>2019.0</v>
      </c>
      <c r="AH277" s="4" t="s">
        <v>734</v>
      </c>
      <c r="AI277" t="s">
        <v>386</v>
      </c>
      <c r="AK277" t="s">
        <v>2624</v>
      </c>
      <c r="AL277" t="s">
        <v>199</v>
      </c>
      <c r="AO277" t="s">
        <v>125</v>
      </c>
      <c r="AP277">
        <v>4.0</v>
      </c>
      <c r="AQ277" t="s">
        <v>2240</v>
      </c>
      <c r="AR277" t="s">
        <v>6155</v>
      </c>
      <c r="AS277" t="b">
        <v>0</v>
      </c>
      <c r="AV277">
        <v>4.0</v>
      </c>
      <c r="AW277" t="b">
        <v>0</v>
      </c>
      <c r="AZ277" t="b">
        <v>0</v>
      </c>
      <c r="BA277" t="b">
        <v>0</v>
      </c>
      <c r="BD277" t="s">
        <v>6156</v>
      </c>
      <c r="BH277" t="s">
        <v>132</v>
      </c>
      <c r="BI277">
        <v>1.0</v>
      </c>
      <c r="BJ277" t="s">
        <v>6157</v>
      </c>
      <c r="BK277">
        <v>3.0</v>
      </c>
      <c r="BL277">
        <v>3.0</v>
      </c>
      <c r="BM277" t="s">
        <v>6158</v>
      </c>
      <c r="BN277">
        <v>1.0</v>
      </c>
      <c r="BO277">
        <v>3.0</v>
      </c>
      <c r="BP277" t="s">
        <v>6159</v>
      </c>
      <c r="BQ277" t="s">
        <v>1050</v>
      </c>
      <c r="BR277" t="s">
        <v>6160</v>
      </c>
      <c r="BS277" t="s">
        <v>6161</v>
      </c>
      <c r="BU277" t="s">
        <v>179</v>
      </c>
      <c r="BV277" s="3" t="str">
        <f>HYPERLINK("0506690b2824-20211015_131830.jpg")</f>
        <v>0506690b2824-20211015_131830.jpg</v>
      </c>
      <c r="BW277" t="b">
        <v>1</v>
      </c>
      <c r="BX277" t="s">
        <v>1394</v>
      </c>
      <c r="BY277" t="s">
        <v>140</v>
      </c>
      <c r="CA277" t="s">
        <v>1395</v>
      </c>
      <c r="CD277">
        <v>0.0</v>
      </c>
      <c r="CF277" t="b">
        <v>0</v>
      </c>
      <c r="CG277" t="b">
        <v>0</v>
      </c>
      <c r="CH277" t="s">
        <v>705</v>
      </c>
      <c r="CJ277" t="b">
        <v>0</v>
      </c>
      <c r="CK277" t="b">
        <v>0</v>
      </c>
      <c r="CL277" t="s">
        <v>387</v>
      </c>
      <c r="CO277" t="s">
        <v>1635</v>
      </c>
      <c r="CR277" t="b">
        <v>1</v>
      </c>
      <c r="CT277">
        <v>0.0</v>
      </c>
      <c r="CU277">
        <v>0.0</v>
      </c>
      <c r="CX277" s="4" t="s">
        <v>6162</v>
      </c>
      <c r="CZ277" s="5">
        <v>44490.80740740741</v>
      </c>
      <c r="DA277" t="s">
        <v>6163</v>
      </c>
    </row>
    <row r="278">
      <c r="A278" t="s">
        <v>98</v>
      </c>
      <c r="D278" t="s">
        <v>5755</v>
      </c>
      <c r="E278" t="s">
        <v>5756</v>
      </c>
      <c r="F278" s="2">
        <v>38424.0</v>
      </c>
      <c r="G278" t="s">
        <v>1466</v>
      </c>
      <c r="I278" s="3" t="str">
        <f>HYPERLINK("https://api.typeform.com/responses/files/a4705d03fefb3ba9d960cfa5c5a854eeb6e807f04d3b1e3e2c4fde51297fcbdf/mateo.jpg")</f>
        <v>https://api.typeform.com/responses/files/a4705d03fefb3ba9d960cfa5c5a854eeb6e807f04d3b1e3e2c4fde51297fcbdf/mateo.jpg</v>
      </c>
      <c r="J278" t="s">
        <v>6164</v>
      </c>
      <c r="K278" t="b">
        <v>1</v>
      </c>
      <c r="L278" s="4" t="s">
        <v>5758</v>
      </c>
      <c r="M278" t="s">
        <v>6165</v>
      </c>
      <c r="N278" t="s">
        <v>354</v>
      </c>
      <c r="P278" t="s">
        <v>5760</v>
      </c>
      <c r="Q278" t="s">
        <v>189</v>
      </c>
      <c r="R278" t="s">
        <v>5761</v>
      </c>
      <c r="S278" t="s">
        <v>6165</v>
      </c>
      <c r="T278" s="4" t="s">
        <v>5758</v>
      </c>
      <c r="U278" t="s">
        <v>4963</v>
      </c>
      <c r="V278" t="s">
        <v>6166</v>
      </c>
      <c r="W278" t="s">
        <v>2290</v>
      </c>
      <c r="Y278" t="s">
        <v>158</v>
      </c>
      <c r="Z278" t="s">
        <v>262</v>
      </c>
      <c r="AC278" s="3" t="str">
        <f>HYPERLINK("https://api.typeform.com/responses/files/5ce164e673cf268d7512cec14a714bff1b9eb33ece26f41d05e2c4c205305b2b/IMG_2103.jpg")</f>
        <v>https://api.typeform.com/responses/files/5ce164e673cf268d7512cec14a714bff1b9eb33ece26f41d05e2c4c205305b2b/IMG_2103.jpg</v>
      </c>
      <c r="AD278" t="s">
        <v>118</v>
      </c>
      <c r="AE278" t="s">
        <v>729</v>
      </c>
      <c r="AF278" t="s">
        <v>2651</v>
      </c>
      <c r="AG278">
        <v>15.0</v>
      </c>
      <c r="AH278" s="4" t="s">
        <v>339</v>
      </c>
      <c r="AI278" t="s">
        <v>386</v>
      </c>
      <c r="AL278" t="s">
        <v>1043</v>
      </c>
      <c r="AO278" t="s">
        <v>125</v>
      </c>
      <c r="AP278">
        <v>4.0</v>
      </c>
      <c r="AQ278" t="s">
        <v>303</v>
      </c>
      <c r="AR278" t="s">
        <v>3601</v>
      </c>
      <c r="AS278" t="b">
        <v>1</v>
      </c>
      <c r="AT278" t="b">
        <v>1</v>
      </c>
      <c r="AV278">
        <v>4.0</v>
      </c>
      <c r="AW278" t="b">
        <v>0</v>
      </c>
      <c r="AZ278" t="b">
        <v>0</v>
      </c>
      <c r="BA278" t="b">
        <v>0</v>
      </c>
      <c r="BD278" t="s">
        <v>6167</v>
      </c>
      <c r="BH278" t="s">
        <v>132</v>
      </c>
      <c r="BI278">
        <v>1.0</v>
      </c>
      <c r="BJ278" t="s">
        <v>6168</v>
      </c>
      <c r="BK278">
        <v>3.0</v>
      </c>
      <c r="BL278">
        <v>6.0</v>
      </c>
      <c r="BM278" t="s">
        <v>6169</v>
      </c>
      <c r="BN278">
        <v>5.0</v>
      </c>
      <c r="BO278">
        <v>6.0</v>
      </c>
      <c r="BP278" t="s">
        <v>6170</v>
      </c>
      <c r="BQ278" t="s">
        <v>2964</v>
      </c>
      <c r="BR278" t="s">
        <v>6171</v>
      </c>
      <c r="BS278" t="s">
        <v>6172</v>
      </c>
      <c r="BU278" t="s">
        <v>139</v>
      </c>
      <c r="BV278" s="3" t="str">
        <f>HYPERLINK("https://api.typeform.com/responses/files/8a5740246c9f3cfc4189b257a459e49c5915052faebd91453b65f619e6a76b1f/IMG_2161__1_.jpg")</f>
        <v>https://api.typeform.com/responses/files/8a5740246c9f3cfc4189b257a459e49c5915052faebd91453b65f619e6a76b1f/IMG_2161__1_.jpg</v>
      </c>
      <c r="BW278" t="b">
        <v>1</v>
      </c>
      <c r="BX278" t="s">
        <v>1394</v>
      </c>
      <c r="BY278" t="s">
        <v>140</v>
      </c>
      <c r="CA278" t="s">
        <v>1395</v>
      </c>
      <c r="CD278">
        <v>0.0</v>
      </c>
      <c r="CF278" t="b">
        <v>0</v>
      </c>
      <c r="CG278" t="b">
        <v>0</v>
      </c>
      <c r="CH278" t="s">
        <v>1935</v>
      </c>
      <c r="CJ278" t="b">
        <v>1</v>
      </c>
      <c r="CK278" t="b">
        <v>0</v>
      </c>
      <c r="CL278" t="s">
        <v>2301</v>
      </c>
      <c r="CO278" t="s">
        <v>1635</v>
      </c>
      <c r="CR278" t="b">
        <v>1</v>
      </c>
      <c r="CT278">
        <v>2.0</v>
      </c>
      <c r="CU278">
        <v>2.0</v>
      </c>
      <c r="CX278" t="s">
        <v>6173</v>
      </c>
      <c r="CZ278" s="5">
        <v>44490.809166666666</v>
      </c>
      <c r="DA278" t="s">
        <v>6174</v>
      </c>
    </row>
    <row r="279">
      <c r="A279" t="s">
        <v>98</v>
      </c>
      <c r="D279" t="s">
        <v>6175</v>
      </c>
      <c r="E279" t="s">
        <v>6176</v>
      </c>
      <c r="F279" s="2">
        <v>38632.0</v>
      </c>
      <c r="G279" t="s">
        <v>1360</v>
      </c>
      <c r="I279" s="3" t="str">
        <f>HYPERLINK("https://api.typeform.com/responses/files/a013f005c4ce5af6cd376859c742bfb64070cc673b05fae9ad442c02b9b7821d/4DDFD9A0_BFF4_46E6_BDA3_20AD687E08BA.jpeg")</f>
        <v>https://api.typeform.com/responses/files/a013f005c4ce5af6cd376859c742bfb64070cc673b05fae9ad442c02b9b7821d/4DDFD9A0_BFF4_46E6_BDA3_20AD687E08BA.jpeg</v>
      </c>
      <c r="J279" t="s">
        <v>6177</v>
      </c>
      <c r="K279" t="b">
        <v>1</v>
      </c>
      <c r="L279" s="4" t="s">
        <v>6178</v>
      </c>
      <c r="M279" t="s">
        <v>6179</v>
      </c>
      <c r="N279" t="s">
        <v>149</v>
      </c>
      <c r="O279" t="s">
        <v>6180</v>
      </c>
      <c r="P279" t="s">
        <v>6181</v>
      </c>
      <c r="Q279" t="s">
        <v>189</v>
      </c>
      <c r="R279" t="s">
        <v>6182</v>
      </c>
      <c r="S279" t="s">
        <v>6179</v>
      </c>
      <c r="T279" s="4" t="s">
        <v>6183</v>
      </c>
      <c r="U279" t="s">
        <v>3028</v>
      </c>
      <c r="V279" t="s">
        <v>6184</v>
      </c>
      <c r="W279" t="s">
        <v>261</v>
      </c>
      <c r="Y279" t="s">
        <v>158</v>
      </c>
      <c r="Z279" t="s">
        <v>262</v>
      </c>
      <c r="AC279" s="3" t="str">
        <f>HYPERLINK("https://api.typeform.com/responses/files/a4f8c3ba8de61e381693045f175e5d4623727b3a6212ccc4d738919488efe183/53422EAC_50E5_4121_89D9_FB00C83ABBC5.jpeg")</f>
        <v>https://api.typeform.com/responses/files/a4f8c3ba8de61e381693045f175e5d4623727b3a6212ccc4d738919488efe183/53422EAC_50E5_4121_89D9_FB00C83ABBC5.jpeg</v>
      </c>
      <c r="AD279" t="s">
        <v>118</v>
      </c>
      <c r="AE279" t="s">
        <v>729</v>
      </c>
      <c r="AF279" t="s">
        <v>6185</v>
      </c>
      <c r="AG279">
        <v>13.0</v>
      </c>
      <c r="AH279" t="s">
        <v>3275</v>
      </c>
      <c r="AI279" t="s">
        <v>162</v>
      </c>
      <c r="AL279" t="s">
        <v>967</v>
      </c>
      <c r="AO279" t="s">
        <v>335</v>
      </c>
      <c r="AP279">
        <v>4.0</v>
      </c>
      <c r="AQ279" t="s">
        <v>1520</v>
      </c>
      <c r="AR279" t="s">
        <v>6186</v>
      </c>
      <c r="AS279" t="b">
        <v>1</v>
      </c>
      <c r="AT279" t="b">
        <v>1</v>
      </c>
      <c r="AV279">
        <v>5.0</v>
      </c>
      <c r="AW279" t="b">
        <v>0</v>
      </c>
      <c r="AZ279" t="b">
        <v>0</v>
      </c>
      <c r="BA279" t="b">
        <v>0</v>
      </c>
      <c r="BD279" t="s">
        <v>6187</v>
      </c>
      <c r="BH279" t="s">
        <v>132</v>
      </c>
      <c r="BI279">
        <v>1.0</v>
      </c>
      <c r="BJ279" t="s">
        <v>6188</v>
      </c>
      <c r="BK279">
        <v>4.0</v>
      </c>
      <c r="BL279">
        <v>4.0</v>
      </c>
      <c r="BM279" t="s">
        <v>6189</v>
      </c>
      <c r="BN279">
        <v>4.0</v>
      </c>
      <c r="BO279">
        <v>4.0</v>
      </c>
      <c r="BP279" t="s">
        <v>6190</v>
      </c>
      <c r="BQ279" t="s">
        <v>1931</v>
      </c>
      <c r="BR279" t="s">
        <v>6191</v>
      </c>
      <c r="BS279" t="s">
        <v>6192</v>
      </c>
      <c r="BU279" t="s">
        <v>179</v>
      </c>
      <c r="BV279" s="3" t="str">
        <f>HYPERLINK("https://api.typeform.com/responses/files/762c4ca76fcea55483d433882949daf085ad1e8a1fbe916a9df57c32e06e7674/3086E409_86B5_4D08_997F_596F9CE5A1D2.jpeg")</f>
        <v>https://api.typeform.com/responses/files/762c4ca76fcea55483d433882949daf085ad1e8a1fbe916a9df57c32e06e7674/3086E409_86B5_4D08_997F_596F9CE5A1D2.jpeg</v>
      </c>
      <c r="BW279" t="b">
        <v>1</v>
      </c>
      <c r="BX279" t="s">
        <v>1394</v>
      </c>
      <c r="BY279" t="s">
        <v>140</v>
      </c>
      <c r="CA279" t="s">
        <v>1395</v>
      </c>
      <c r="CD279">
        <v>0.0</v>
      </c>
      <c r="CF279" t="b">
        <v>1</v>
      </c>
      <c r="CG279" t="b">
        <v>1</v>
      </c>
      <c r="CH279" t="s">
        <v>168</v>
      </c>
      <c r="CJ279" t="b">
        <v>1</v>
      </c>
      <c r="CK279" t="b">
        <v>1</v>
      </c>
      <c r="CL279" t="s">
        <v>2301</v>
      </c>
      <c r="CO279" t="s">
        <v>1635</v>
      </c>
      <c r="CR279" t="b">
        <v>1</v>
      </c>
      <c r="CT279">
        <v>0.0</v>
      </c>
      <c r="CU279">
        <v>0.0</v>
      </c>
      <c r="CX279" t="s">
        <v>6193</v>
      </c>
      <c r="CZ279" s="5">
        <v>44490.81149305555</v>
      </c>
      <c r="DA279" t="s">
        <v>6194</v>
      </c>
    </row>
    <row r="280">
      <c r="A280" t="s">
        <v>98</v>
      </c>
      <c r="D280" t="s">
        <v>6195</v>
      </c>
      <c r="E280" t="s">
        <v>6196</v>
      </c>
      <c r="F280" s="2">
        <v>38202.0</v>
      </c>
      <c r="G280" t="s">
        <v>1360</v>
      </c>
      <c r="I280" s="3" t="str">
        <f>HYPERLINK("https://api.typeform.com/responses/files/8f860fe9d6c45b44678579dd0a7a24373547811f36b06630248af0fcc4bc5cb4/IMG_20211007_152751.jpg")</f>
        <v>https://api.typeform.com/responses/files/8f860fe9d6c45b44678579dd0a7a24373547811f36b06630248af0fcc4bc5cb4/IMG_20211007_152751.jpg</v>
      </c>
      <c r="J280" t="s">
        <v>6197</v>
      </c>
      <c r="K280" t="b">
        <v>1</v>
      </c>
      <c r="L280" s="4" t="s">
        <v>6198</v>
      </c>
      <c r="M280" t="s">
        <v>4299</v>
      </c>
      <c r="N280" t="s">
        <v>105</v>
      </c>
      <c r="O280" t="s">
        <v>4299</v>
      </c>
      <c r="P280" t="s">
        <v>4299</v>
      </c>
      <c r="Q280" t="s">
        <v>108</v>
      </c>
      <c r="R280" t="s">
        <v>6197</v>
      </c>
      <c r="S280" t="s">
        <v>6199</v>
      </c>
      <c r="T280" s="4" t="s">
        <v>6198</v>
      </c>
      <c r="U280" t="s">
        <v>4299</v>
      </c>
      <c r="V280" t="s">
        <v>4299</v>
      </c>
      <c r="W280" t="s">
        <v>261</v>
      </c>
      <c r="Y280" t="s">
        <v>114</v>
      </c>
      <c r="Z280" t="s">
        <v>262</v>
      </c>
      <c r="AC280" s="3" t="str">
        <f>HYPERLINK("https://api.typeform.com/responses/files/1a4e1613ed6938bf4c4660691ac017c048b63a04e01fa55044b253d1239a5894/IMG_4896.JPG")</f>
        <v>https://api.typeform.com/responses/files/1a4e1613ed6938bf4c4660691ac017c048b63a04e01fa55044b253d1239a5894/IMG_4896.JPG</v>
      </c>
      <c r="AD280" t="s">
        <v>118</v>
      </c>
      <c r="AE280" t="s">
        <v>729</v>
      </c>
      <c r="AF280" t="s">
        <v>4450</v>
      </c>
      <c r="AG280">
        <v>12.0</v>
      </c>
      <c r="AH280" t="s">
        <v>6200</v>
      </c>
      <c r="AI280" t="s">
        <v>386</v>
      </c>
      <c r="AK280" t="s">
        <v>1182</v>
      </c>
      <c r="AL280" t="s">
        <v>199</v>
      </c>
      <c r="AO280" t="s">
        <v>335</v>
      </c>
      <c r="AP280">
        <v>5.0</v>
      </c>
      <c r="AQ280" t="s">
        <v>1480</v>
      </c>
      <c r="AR280" t="s">
        <v>6201</v>
      </c>
      <c r="AS280" t="b">
        <v>1</v>
      </c>
      <c r="AT280" t="b">
        <v>1</v>
      </c>
      <c r="AV280">
        <v>5.0</v>
      </c>
      <c r="AW280" t="b">
        <v>0</v>
      </c>
      <c r="AZ280" t="b">
        <v>0</v>
      </c>
      <c r="BA280" t="b">
        <v>1</v>
      </c>
      <c r="BB280" t="b">
        <v>0</v>
      </c>
      <c r="BC280" t="s">
        <v>6202</v>
      </c>
      <c r="BH280" t="s">
        <v>132</v>
      </c>
      <c r="BI280">
        <v>1.0</v>
      </c>
      <c r="BJ280" t="s">
        <v>6203</v>
      </c>
      <c r="BK280">
        <v>1.0</v>
      </c>
      <c r="BL280">
        <v>1.0</v>
      </c>
      <c r="BM280" t="s">
        <v>6204</v>
      </c>
      <c r="BN280">
        <v>1.0</v>
      </c>
      <c r="BO280">
        <v>1.0</v>
      </c>
      <c r="BP280" t="s">
        <v>6205</v>
      </c>
      <c r="BQ280" t="s">
        <v>1050</v>
      </c>
      <c r="BR280" t="s">
        <v>6206</v>
      </c>
      <c r="BS280" t="s">
        <v>6207</v>
      </c>
      <c r="BU280" t="s">
        <v>1182</v>
      </c>
      <c r="BV280" s="3" t="str">
        <f>HYPERLINK("https://api.typeform.com/responses/files/bcd37093a2a7ab556ce689ac6199bcee4bc2bd845e55dec390f7827880962b22/IMG_4899.JPG")</f>
        <v>https://api.typeform.com/responses/files/bcd37093a2a7ab556ce689ac6199bcee4bc2bd845e55dec390f7827880962b22/IMG_4899.JPG</v>
      </c>
      <c r="BW280" t="b">
        <v>1</v>
      </c>
      <c r="BX280" t="s">
        <v>1394</v>
      </c>
      <c r="BY280" t="s">
        <v>140</v>
      </c>
      <c r="CA280" t="s">
        <v>1395</v>
      </c>
      <c r="CD280">
        <v>0.0</v>
      </c>
      <c r="CF280" t="b">
        <v>1</v>
      </c>
      <c r="CG280" t="b">
        <v>0</v>
      </c>
      <c r="CH280" t="s">
        <v>128</v>
      </c>
      <c r="CJ280" t="b">
        <v>0</v>
      </c>
      <c r="CK280" t="b">
        <v>0</v>
      </c>
      <c r="CL280" t="s">
        <v>387</v>
      </c>
      <c r="CO280" t="s">
        <v>1248</v>
      </c>
      <c r="CR280" t="b">
        <v>1</v>
      </c>
      <c r="CT280">
        <v>1.0</v>
      </c>
      <c r="CU280">
        <v>0.0</v>
      </c>
      <c r="CX280" s="4" t="s">
        <v>6208</v>
      </c>
      <c r="CZ280" s="5">
        <v>44490.813263888886</v>
      </c>
      <c r="DA280" t="s">
        <v>6209</v>
      </c>
    </row>
    <row r="281">
      <c r="A281" t="s">
        <v>98</v>
      </c>
      <c r="D281" t="s">
        <v>6210</v>
      </c>
      <c r="E281" t="s">
        <v>6211</v>
      </c>
      <c r="F281" s="2">
        <v>38101.0</v>
      </c>
      <c r="G281" t="s">
        <v>1466</v>
      </c>
      <c r="I281" s="3" t="str">
        <f>HYPERLINK("https://api.typeform.com/responses/files/c5192530724311e856b5f2dc600bbe5bd0d4aa1871c8a32c072f93dc14a31d73/IMG_6658.jpg")</f>
        <v>https://api.typeform.com/responses/files/c5192530724311e856b5f2dc600bbe5bd0d4aa1871c8a32c072f93dc14a31d73/IMG_6658.jpg</v>
      </c>
      <c r="J281" t="s">
        <v>6212</v>
      </c>
      <c r="K281" t="b">
        <v>1</v>
      </c>
      <c r="L281" s="4" t="s">
        <v>6213</v>
      </c>
      <c r="M281" t="s">
        <v>6214</v>
      </c>
      <c r="N281" t="s">
        <v>255</v>
      </c>
      <c r="O281" t="s">
        <v>6215</v>
      </c>
      <c r="P281" t="s">
        <v>1612</v>
      </c>
      <c r="Q281" t="s">
        <v>108</v>
      </c>
      <c r="R281" t="s">
        <v>6216</v>
      </c>
      <c r="S281" t="s">
        <v>6217</v>
      </c>
      <c r="T281" s="4" t="s">
        <v>6218</v>
      </c>
      <c r="U281" t="s">
        <v>5964</v>
      </c>
      <c r="V281" t="s">
        <v>4664</v>
      </c>
      <c r="W281" t="s">
        <v>2290</v>
      </c>
      <c r="Y281" t="s">
        <v>158</v>
      </c>
      <c r="Z281" t="s">
        <v>262</v>
      </c>
      <c r="AC281" s="3" t="str">
        <f>HYPERLINK("https://api.typeform.com/responses/files/6cb499c9341013ad815384785dcd8058c66bc5b92d4158aeb25178c85eacae4d/IMG_6554.jpg")</f>
        <v>https://api.typeform.com/responses/files/6cb499c9341013ad815384785dcd8058c66bc5b92d4158aeb25178c85eacae4d/IMG_6554.jpg</v>
      </c>
      <c r="AD281" t="s">
        <v>118</v>
      </c>
      <c r="AE281" t="s">
        <v>729</v>
      </c>
      <c r="AF281" t="s">
        <v>197</v>
      </c>
      <c r="AG281">
        <v>13.0</v>
      </c>
      <c r="AH281" t="s">
        <v>6219</v>
      </c>
      <c r="AI281" t="s">
        <v>162</v>
      </c>
      <c r="AK281" t="s">
        <v>139</v>
      </c>
      <c r="AL281" t="s">
        <v>1546</v>
      </c>
      <c r="AO281" t="s">
        <v>125</v>
      </c>
      <c r="AP281">
        <v>6.0</v>
      </c>
      <c r="AQ281" t="s">
        <v>4222</v>
      </c>
      <c r="AR281" t="s">
        <v>6220</v>
      </c>
      <c r="AS281" t="b">
        <v>1</v>
      </c>
      <c r="AT281" t="b">
        <v>1</v>
      </c>
      <c r="AV281">
        <v>7.0</v>
      </c>
      <c r="AW281" t="b">
        <v>0</v>
      </c>
      <c r="AZ281" t="b">
        <v>0</v>
      </c>
      <c r="BA281" t="b">
        <v>0</v>
      </c>
      <c r="BD281" t="s">
        <v>6221</v>
      </c>
      <c r="BH281" t="s">
        <v>132</v>
      </c>
      <c r="BI281">
        <v>1.0</v>
      </c>
      <c r="BJ281" t="s">
        <v>5538</v>
      </c>
      <c r="BK281">
        <v>1.0</v>
      </c>
      <c r="BL281">
        <v>2.0</v>
      </c>
      <c r="BM281" t="s">
        <v>6222</v>
      </c>
      <c r="BN281">
        <v>1.0</v>
      </c>
      <c r="BO281">
        <v>3.0</v>
      </c>
      <c r="BP281" t="s">
        <v>6223</v>
      </c>
      <c r="BQ281" t="s">
        <v>1050</v>
      </c>
      <c r="BR281" t="s">
        <v>6224</v>
      </c>
      <c r="BS281" t="s">
        <v>6225</v>
      </c>
      <c r="BU281" t="s">
        <v>139</v>
      </c>
      <c r="BV281" s="3" t="str">
        <f>HYPERLINK("https://api.typeform.com/responses/files/e2fba7dcaa6043c208afcd2a390a000a22b3ff89590b3d13cddaf15fd57edbd2/IMG_6571.jpg")</f>
        <v>https://api.typeform.com/responses/files/e2fba7dcaa6043c208afcd2a390a000a22b3ff89590b3d13cddaf15fd57edbd2/IMG_6571.jpg</v>
      </c>
      <c r="BW281" t="b">
        <v>1</v>
      </c>
      <c r="BX281" t="s">
        <v>1394</v>
      </c>
      <c r="BY281" t="s">
        <v>140</v>
      </c>
      <c r="CA281" t="s">
        <v>1395</v>
      </c>
      <c r="CD281">
        <v>0.0</v>
      </c>
      <c r="CF281" t="b">
        <v>1</v>
      </c>
      <c r="CG281" t="b">
        <v>0</v>
      </c>
      <c r="CH281" t="s">
        <v>4869</v>
      </c>
      <c r="CJ281" t="b">
        <v>1</v>
      </c>
      <c r="CK281" t="b">
        <v>0</v>
      </c>
      <c r="CL281" t="s">
        <v>198</v>
      </c>
      <c r="CO281" t="s">
        <v>1146</v>
      </c>
      <c r="CR281" t="b">
        <v>1</v>
      </c>
      <c r="CT281">
        <v>0.0</v>
      </c>
      <c r="CU281">
        <v>0.0</v>
      </c>
      <c r="CX281" s="4" t="s">
        <v>6226</v>
      </c>
      <c r="CZ281" s="5">
        <v>44490.81431712963</v>
      </c>
      <c r="DA281" t="s">
        <v>6227</v>
      </c>
    </row>
    <row r="282">
      <c r="A282" t="s">
        <v>98</v>
      </c>
      <c r="D282" t="s">
        <v>6228</v>
      </c>
      <c r="E282" t="s">
        <v>6229</v>
      </c>
      <c r="F282" s="2">
        <v>37796.0</v>
      </c>
      <c r="G282" t="s">
        <v>1360</v>
      </c>
      <c r="I282" s="3" t="str">
        <f>HYPERLINK("33620e58a53f-image.jpg")</f>
        <v>33620e58a53f-image.jpg</v>
      </c>
      <c r="J282" t="s">
        <v>6230</v>
      </c>
      <c r="K282" t="b">
        <v>1</v>
      </c>
      <c r="L282" s="4" t="s">
        <v>6231</v>
      </c>
      <c r="M282" t="s">
        <v>6232</v>
      </c>
      <c r="N282" t="s">
        <v>149</v>
      </c>
      <c r="O282" t="s">
        <v>1014</v>
      </c>
      <c r="P282" t="s">
        <v>6233</v>
      </c>
      <c r="Q282" t="s">
        <v>189</v>
      </c>
      <c r="R282" t="s">
        <v>6230</v>
      </c>
      <c r="S282" t="s">
        <v>6234</v>
      </c>
      <c r="T282" s="4" t="s">
        <v>6235</v>
      </c>
      <c r="U282" t="s">
        <v>2313</v>
      </c>
      <c r="V282" t="s">
        <v>6236</v>
      </c>
      <c r="W282" t="s">
        <v>2290</v>
      </c>
      <c r="Y282" t="s">
        <v>158</v>
      </c>
      <c r="Z282" t="s">
        <v>262</v>
      </c>
      <c r="AC282" s="3" t="str">
        <f>HYPERLINK("https://api.typeform.com/responses/files/2543eb76760850613c807faa6862c4d981b00f6996fbc7533af494255e7a9cea/FBA193FD_7BE3_4010_A64A_9D8FE914EAB6.jpeg")</f>
        <v>https://api.typeform.com/responses/files/2543eb76760850613c807faa6862c4d981b00f6996fbc7533af494255e7a9cea/FBA193FD_7BE3_4010_A64A_9D8FE914EAB6.jpeg</v>
      </c>
      <c r="AD282" t="s">
        <v>118</v>
      </c>
      <c r="AE282" t="s">
        <v>729</v>
      </c>
      <c r="AF282" t="s">
        <v>2651</v>
      </c>
      <c r="AG282">
        <v>15.0</v>
      </c>
      <c r="AH282" t="s">
        <v>6237</v>
      </c>
      <c r="AI282" t="s">
        <v>162</v>
      </c>
      <c r="AK282" t="s">
        <v>6238</v>
      </c>
      <c r="AL282" t="s">
        <v>199</v>
      </c>
      <c r="AO282" t="s">
        <v>125</v>
      </c>
      <c r="AP282">
        <v>6.0</v>
      </c>
      <c r="AQ282" t="s">
        <v>126</v>
      </c>
      <c r="AR282" t="s">
        <v>6239</v>
      </c>
      <c r="AS282" t="b">
        <v>0</v>
      </c>
      <c r="AV282">
        <v>5.0</v>
      </c>
      <c r="AW282" t="b">
        <v>0</v>
      </c>
      <c r="AZ282" t="b">
        <v>0</v>
      </c>
      <c r="BA282" t="b">
        <v>0</v>
      </c>
      <c r="BD282" t="s">
        <v>1348</v>
      </c>
      <c r="BH282" t="s">
        <v>132</v>
      </c>
      <c r="BI282">
        <v>4.0</v>
      </c>
      <c r="BJ282" t="s">
        <v>6240</v>
      </c>
      <c r="BK282">
        <v>4.0</v>
      </c>
      <c r="BL282">
        <v>6.0</v>
      </c>
      <c r="BM282" t="s">
        <v>6241</v>
      </c>
      <c r="BN282">
        <v>6.0</v>
      </c>
      <c r="BO282">
        <v>5.0</v>
      </c>
      <c r="BP282" t="s">
        <v>6242</v>
      </c>
      <c r="BQ282" t="s">
        <v>6243</v>
      </c>
      <c r="BR282" t="s">
        <v>6244</v>
      </c>
      <c r="BS282" t="s">
        <v>6245</v>
      </c>
      <c r="BU282" t="s">
        <v>528</v>
      </c>
      <c r="BV282" s="3" t="str">
        <f>HYPERLINK("https://api.typeform.com/responses/files/fb2ca5b6122958e0a47ce2fd96c7a0e003dfea10c000c3e3f9fd75eb14d31c3b/38142918_F849_4EA5_9418_EFA5D4E8B79A.jpeg")</f>
        <v>https://api.typeform.com/responses/files/fb2ca5b6122958e0a47ce2fd96c7a0e003dfea10c000c3e3f9fd75eb14d31c3b/38142918_F849_4EA5_9418_EFA5D4E8B79A.jpeg</v>
      </c>
      <c r="BW282" t="b">
        <v>1</v>
      </c>
      <c r="BX282" t="s">
        <v>1394</v>
      </c>
      <c r="BY282" t="s">
        <v>140</v>
      </c>
      <c r="CA282" t="s">
        <v>1395</v>
      </c>
      <c r="CD282">
        <v>0.0</v>
      </c>
      <c r="CF282" t="b">
        <v>1</v>
      </c>
      <c r="CG282" t="b">
        <v>1</v>
      </c>
      <c r="CH282" t="s">
        <v>4787</v>
      </c>
      <c r="CJ282" t="b">
        <v>1</v>
      </c>
      <c r="CK282" t="b">
        <v>1</v>
      </c>
      <c r="CL282" t="s">
        <v>2301</v>
      </c>
      <c r="CM282" t="s">
        <v>541</v>
      </c>
      <c r="CO282" t="s">
        <v>1635</v>
      </c>
      <c r="CQ282" t="s">
        <v>541</v>
      </c>
      <c r="CR282" t="b">
        <v>1</v>
      </c>
      <c r="CT282">
        <v>0.0</v>
      </c>
      <c r="CU282">
        <v>4.0</v>
      </c>
      <c r="CX282" s="4" t="s">
        <v>6246</v>
      </c>
      <c r="CZ282" s="5">
        <v>44490.814571759256</v>
      </c>
      <c r="DA282" t="s">
        <v>6247</v>
      </c>
    </row>
    <row r="283">
      <c r="A283" t="s">
        <v>98</v>
      </c>
      <c r="D283" t="s">
        <v>5239</v>
      </c>
      <c r="E283" t="s">
        <v>6176</v>
      </c>
      <c r="F283" s="2">
        <v>38534.0</v>
      </c>
      <c r="G283" t="s">
        <v>1466</v>
      </c>
      <c r="I283" s="3" t="str">
        <f>HYPERLINK("https://api.typeform.com/responses/files/93294d33db3066ee7e6381a4ac419a7cea681275a6ca9b79d4e9b44f7c4cff1a/20210913_140812.jpg")</f>
        <v>https://api.typeform.com/responses/files/93294d33db3066ee7e6381a4ac419a7cea681275a6ca9b79d4e9b44f7c4cff1a/20210913_140812.jpg</v>
      </c>
      <c r="J283" t="s">
        <v>6248</v>
      </c>
      <c r="K283" t="b">
        <v>1</v>
      </c>
      <c r="L283" s="4" t="s">
        <v>6249</v>
      </c>
      <c r="M283" t="s">
        <v>6250</v>
      </c>
      <c r="N283" t="s">
        <v>149</v>
      </c>
      <c r="O283" t="s">
        <v>6251</v>
      </c>
      <c r="P283" t="s">
        <v>6252</v>
      </c>
      <c r="Q283" t="s">
        <v>189</v>
      </c>
      <c r="R283" t="s">
        <v>6248</v>
      </c>
      <c r="S283" t="s">
        <v>6253</v>
      </c>
      <c r="T283" s="4" t="s">
        <v>6254</v>
      </c>
      <c r="U283" t="s">
        <v>2313</v>
      </c>
      <c r="V283" t="s">
        <v>2314</v>
      </c>
      <c r="W283" t="s">
        <v>2290</v>
      </c>
      <c r="Y283" t="s">
        <v>158</v>
      </c>
      <c r="Z283" t="s">
        <v>262</v>
      </c>
      <c r="AC283" s="3" t="str">
        <f>HYPERLINK("https://api.typeform.com/responses/files/d4a5060d91a845a9251ad81ad5cf0f526286f934c1bf13bddffc0e827232c59d/Captura_de_Pantalla_2021_10_21_a_la_s__3.10.30_p._m..png")</f>
        <v>https://api.typeform.com/responses/files/d4a5060d91a845a9251ad81ad5cf0f526286f934c1bf13bddffc0e827232c59d/Captura_de_Pantalla_2021_10_21_a_la_s__3.10.30_p._m..png</v>
      </c>
      <c r="AD283" t="s">
        <v>118</v>
      </c>
      <c r="AE283" t="s">
        <v>729</v>
      </c>
      <c r="AF283" t="s">
        <v>2651</v>
      </c>
      <c r="AG283">
        <v>13.0</v>
      </c>
      <c r="AH283" t="s">
        <v>6255</v>
      </c>
      <c r="AI283" t="s">
        <v>121</v>
      </c>
      <c r="AL283" t="s">
        <v>6256</v>
      </c>
      <c r="AO283" t="s">
        <v>125</v>
      </c>
      <c r="AP283">
        <v>7.0</v>
      </c>
      <c r="AQ283" t="s">
        <v>1480</v>
      </c>
      <c r="AR283" t="s">
        <v>6257</v>
      </c>
      <c r="AS283" t="b">
        <v>1</v>
      </c>
      <c r="AT283" t="b">
        <v>0</v>
      </c>
      <c r="AV283">
        <v>7.0</v>
      </c>
      <c r="AW283" t="b">
        <v>0</v>
      </c>
      <c r="AZ283" t="b">
        <v>0</v>
      </c>
      <c r="BA283" t="b">
        <v>0</v>
      </c>
      <c r="BD283" t="s">
        <v>6258</v>
      </c>
      <c r="BH283" t="s">
        <v>132</v>
      </c>
      <c r="BI283">
        <v>4.0</v>
      </c>
      <c r="BJ283" t="s">
        <v>6259</v>
      </c>
      <c r="BK283">
        <v>4.0</v>
      </c>
      <c r="BL283">
        <v>4.0</v>
      </c>
      <c r="BM283" t="s">
        <v>6260</v>
      </c>
      <c r="BN283">
        <v>7.0</v>
      </c>
      <c r="BO283">
        <v>5.0</v>
      </c>
      <c r="BP283" t="s">
        <v>6261</v>
      </c>
      <c r="BQ283" t="s">
        <v>4618</v>
      </c>
      <c r="BR283" t="s">
        <v>6262</v>
      </c>
      <c r="BS283" t="s">
        <v>6263</v>
      </c>
      <c r="BU283" t="s">
        <v>6264</v>
      </c>
      <c r="BV283" s="3" t="str">
        <f>HYPERLINK("https://api.typeform.com/responses/files/4fff7301a17b854f10b827bad93bcd32c2db70e743b8964876dca20338c9116a/IMG_0157.jpg")</f>
        <v>https://api.typeform.com/responses/files/4fff7301a17b854f10b827bad93bcd32c2db70e743b8964876dca20338c9116a/IMG_0157.jpg</v>
      </c>
      <c r="BW283" t="b">
        <v>1</v>
      </c>
      <c r="BX283" t="s">
        <v>1394</v>
      </c>
      <c r="BY283" t="s">
        <v>140</v>
      </c>
      <c r="CA283" t="s">
        <v>1395</v>
      </c>
      <c r="CD283">
        <v>0.0</v>
      </c>
      <c r="CF283" t="b">
        <v>1</v>
      </c>
      <c r="CG283" t="b">
        <v>1</v>
      </c>
      <c r="CH283" t="s">
        <v>6265</v>
      </c>
      <c r="CJ283" t="b">
        <v>1</v>
      </c>
      <c r="CK283" t="b">
        <v>1</v>
      </c>
      <c r="CL283" t="s">
        <v>2301</v>
      </c>
      <c r="CO283" t="s">
        <v>200</v>
      </c>
      <c r="CR283" t="b">
        <v>1</v>
      </c>
      <c r="CT283">
        <v>2.0</v>
      </c>
      <c r="CU283">
        <v>0.0</v>
      </c>
      <c r="CX283" s="4" t="s">
        <v>6266</v>
      </c>
      <c r="CZ283" s="5">
        <v>44490.81704861111</v>
      </c>
      <c r="DA283" t="s">
        <v>6267</v>
      </c>
    </row>
    <row r="284">
      <c r="A284" t="s">
        <v>98</v>
      </c>
      <c r="D284" t="s">
        <v>6268</v>
      </c>
      <c r="E284" t="s">
        <v>6269</v>
      </c>
      <c r="F284" s="2">
        <v>38305.0</v>
      </c>
      <c r="G284" t="s">
        <v>1466</v>
      </c>
      <c r="I284" s="3" t="str">
        <f>HYPERLINK("https://api.typeform.com/responses/files/04d18ca9b1bb0455db3645f7e017229aa039f0b7d4d5143ead8c7c6c437544a1/WhatsApp_Image_2021_10_21_at_3.01.02_PM.jpeg")</f>
        <v>https://api.typeform.com/responses/files/04d18ca9b1bb0455db3645f7e017229aa039f0b7d4d5143ead8c7c6c437544a1/WhatsApp_Image_2021_10_21_at_3.01.02_PM.jpeg</v>
      </c>
      <c r="J284" t="s">
        <v>6270</v>
      </c>
      <c r="K284" t="b">
        <v>1</v>
      </c>
      <c r="L284" s="4" t="s">
        <v>6271</v>
      </c>
      <c r="M284" t="s">
        <v>6272</v>
      </c>
      <c r="N284" t="s">
        <v>255</v>
      </c>
      <c r="O284" t="s">
        <v>6273</v>
      </c>
      <c r="P284" t="s">
        <v>6274</v>
      </c>
      <c r="Q284" t="s">
        <v>152</v>
      </c>
      <c r="R284" t="s">
        <v>6270</v>
      </c>
      <c r="S284" t="s">
        <v>6275</v>
      </c>
      <c r="T284" s="4" t="s">
        <v>6276</v>
      </c>
      <c r="U284" t="s">
        <v>2722</v>
      </c>
      <c r="V284" t="s">
        <v>2314</v>
      </c>
      <c r="W284" t="s">
        <v>2290</v>
      </c>
      <c r="Y284" t="s">
        <v>158</v>
      </c>
      <c r="Z284" t="s">
        <v>262</v>
      </c>
      <c r="AC284" s="3" t="str">
        <f>HYPERLINK("https://api.typeform.com/responses/files/869208563f430bbba567f5b414935d1014be41d09707f55361fb65c02e34e6b2/20211021_151300.jpg")</f>
        <v>https://api.typeform.com/responses/files/869208563f430bbba567f5b414935d1014be41d09707f55361fb65c02e34e6b2/20211021_151300.jpg</v>
      </c>
      <c r="AD284" t="s">
        <v>118</v>
      </c>
      <c r="AE284" t="s">
        <v>3349</v>
      </c>
      <c r="AF284" t="s">
        <v>6277</v>
      </c>
      <c r="AG284">
        <v>14.0</v>
      </c>
      <c r="AH284" t="s">
        <v>6278</v>
      </c>
      <c r="AI284" t="s">
        <v>162</v>
      </c>
      <c r="AK284" t="s">
        <v>139</v>
      </c>
      <c r="AL284" t="s">
        <v>4431</v>
      </c>
      <c r="AO284" t="s">
        <v>486</v>
      </c>
      <c r="AP284">
        <v>7.0</v>
      </c>
      <c r="AQ284" t="s">
        <v>1480</v>
      </c>
      <c r="AR284" t="s">
        <v>6279</v>
      </c>
      <c r="AS284" t="b">
        <v>0</v>
      </c>
      <c r="AV284">
        <v>7.0</v>
      </c>
      <c r="AW284" t="b">
        <v>0</v>
      </c>
      <c r="AZ284" t="b">
        <v>0</v>
      </c>
      <c r="BA284" t="b">
        <v>0</v>
      </c>
      <c r="BD284" t="s">
        <v>6280</v>
      </c>
      <c r="BH284" t="s">
        <v>132</v>
      </c>
      <c r="BI284">
        <v>2.0</v>
      </c>
      <c r="BJ284" t="s">
        <v>6281</v>
      </c>
      <c r="BK284">
        <v>1.0</v>
      </c>
      <c r="BL284">
        <v>2.0</v>
      </c>
      <c r="BM284" t="s">
        <v>6282</v>
      </c>
      <c r="BN284">
        <v>1.0</v>
      </c>
      <c r="BO284">
        <v>2.0</v>
      </c>
      <c r="BP284" t="s">
        <v>6283</v>
      </c>
      <c r="BQ284" t="s">
        <v>3728</v>
      </c>
      <c r="BR284" t="s">
        <v>6284</v>
      </c>
      <c r="BS284" t="s">
        <v>6285</v>
      </c>
      <c r="BU284" t="s">
        <v>179</v>
      </c>
      <c r="BV284" s="3" t="str">
        <f>HYPERLINK("https://api.typeform.com/responses/files/952ca06f4791e6745a07193c06585d434e1330e43359b19c322ebc912e6d19a1/WhatsApp_Image_2021_10_21_at_3.40.10_PM.jpeg")</f>
        <v>https://api.typeform.com/responses/files/952ca06f4791e6745a07193c06585d434e1330e43359b19c322ebc912e6d19a1/WhatsApp_Image_2021_10_21_at_3.40.10_PM.jpeg</v>
      </c>
      <c r="BW284" t="b">
        <v>1</v>
      </c>
      <c r="BX284" t="s">
        <v>1394</v>
      </c>
      <c r="BY284" t="s">
        <v>140</v>
      </c>
      <c r="CA284" t="s">
        <v>1395</v>
      </c>
      <c r="CD284">
        <v>0.0</v>
      </c>
      <c r="CF284" t="b">
        <v>0</v>
      </c>
      <c r="CG284" t="b">
        <v>0</v>
      </c>
      <c r="CH284" t="s">
        <v>6286</v>
      </c>
      <c r="CJ284" t="b">
        <v>0</v>
      </c>
      <c r="CK284" t="b">
        <v>1</v>
      </c>
      <c r="CL284" t="s">
        <v>387</v>
      </c>
      <c r="CM284" t="s">
        <v>387</v>
      </c>
      <c r="CO284" t="s">
        <v>4952</v>
      </c>
      <c r="CQ284" t="s">
        <v>387</v>
      </c>
      <c r="CR284" t="b">
        <v>1</v>
      </c>
      <c r="CT284">
        <v>1.0</v>
      </c>
      <c r="CU284">
        <v>1.0</v>
      </c>
      <c r="CX284" s="4" t="s">
        <v>6287</v>
      </c>
      <c r="CZ284" s="5">
        <v>44490.82068287037</v>
      </c>
      <c r="DA284" t="s">
        <v>6288</v>
      </c>
    </row>
    <row r="285">
      <c r="A285" t="s">
        <v>98</v>
      </c>
      <c r="D285" t="s">
        <v>6289</v>
      </c>
      <c r="E285" t="s">
        <v>6290</v>
      </c>
      <c r="F285" s="2">
        <v>38412.0</v>
      </c>
      <c r="G285" t="s">
        <v>1466</v>
      </c>
      <c r="I285" s="3" t="str">
        <f>HYPERLINK("https://api.typeform.com/responses/files/cbf78883aaab3365a32f0f310b6d9170dacbf259b0a1eca91637d563c6fc7224/IMG_20211008_130041.jpg")</f>
        <v>https://api.typeform.com/responses/files/cbf78883aaab3365a32f0f310b6d9170dacbf259b0a1eca91637d563c6fc7224/IMG_20211008_130041.jpg</v>
      </c>
      <c r="J285" t="s">
        <v>6291</v>
      </c>
      <c r="K285" t="b">
        <v>1</v>
      </c>
      <c r="L285" s="4" t="s">
        <v>6292</v>
      </c>
      <c r="M285" t="s">
        <v>6293</v>
      </c>
      <c r="N285" t="s">
        <v>255</v>
      </c>
      <c r="P285" t="s">
        <v>6294</v>
      </c>
      <c r="Q285" t="s">
        <v>152</v>
      </c>
      <c r="R285" t="s">
        <v>6295</v>
      </c>
      <c r="S285" t="s">
        <v>6293</v>
      </c>
      <c r="T285" s="4" t="s">
        <v>6296</v>
      </c>
      <c r="U285" t="s">
        <v>2722</v>
      </c>
      <c r="V285" t="s">
        <v>6297</v>
      </c>
      <c r="W285" t="s">
        <v>2290</v>
      </c>
      <c r="Y285" t="s">
        <v>158</v>
      </c>
      <c r="Z285" t="s">
        <v>262</v>
      </c>
      <c r="AC285" s="3" t="str">
        <f>HYPERLINK("https://api.typeform.com/responses/files/89a49c31acb21412d70fe76c0c12d9b26e98dc12f01d2c4f55c6df8e216eeb3d/Screenshot_2021_10_21_3.20.23_PM.png")</f>
        <v>https://api.typeform.com/responses/files/89a49c31acb21412d70fe76c0c12d9b26e98dc12f01d2c4f55c6df8e216eeb3d/Screenshot_2021_10_21_3.20.23_PM.png</v>
      </c>
      <c r="AD285" t="s">
        <v>118</v>
      </c>
      <c r="AE285" t="s">
        <v>729</v>
      </c>
      <c r="AF285" t="s">
        <v>6298</v>
      </c>
      <c r="AG285">
        <v>13.0</v>
      </c>
      <c r="AH285" t="s">
        <v>5093</v>
      </c>
      <c r="AI285" t="s">
        <v>205</v>
      </c>
      <c r="AK285" t="s">
        <v>6299</v>
      </c>
      <c r="AL285" t="s">
        <v>1043</v>
      </c>
      <c r="AO285" t="s">
        <v>335</v>
      </c>
      <c r="AP285">
        <v>3.0</v>
      </c>
      <c r="AQ285" t="s">
        <v>126</v>
      </c>
      <c r="AR285" t="s">
        <v>6300</v>
      </c>
      <c r="AS285" t="b">
        <v>1</v>
      </c>
      <c r="AT285" t="b">
        <v>0</v>
      </c>
      <c r="AV285">
        <v>7.0</v>
      </c>
      <c r="AW285" t="b">
        <v>0</v>
      </c>
      <c r="AZ285" t="b">
        <v>0</v>
      </c>
      <c r="BA285" t="b">
        <v>0</v>
      </c>
      <c r="BD285" t="s">
        <v>6301</v>
      </c>
      <c r="BH285" t="s">
        <v>132</v>
      </c>
      <c r="BI285">
        <v>3.0</v>
      </c>
      <c r="BJ285" t="s">
        <v>4579</v>
      </c>
      <c r="BK285">
        <v>3.0</v>
      </c>
      <c r="BL285">
        <v>7.0</v>
      </c>
      <c r="BM285" t="s">
        <v>6302</v>
      </c>
      <c r="BN285">
        <v>4.0</v>
      </c>
      <c r="BO285">
        <v>5.0</v>
      </c>
      <c r="BP285" t="s">
        <v>6303</v>
      </c>
      <c r="BQ285" t="s">
        <v>945</v>
      </c>
      <c r="BR285" t="s">
        <v>6304</v>
      </c>
      <c r="BS285" t="s">
        <v>6305</v>
      </c>
      <c r="BU285" t="s">
        <v>6306</v>
      </c>
      <c r="BV285" s="3" t="str">
        <f>HYPERLINK("https://api.typeform.com/responses/files/687c506550b2754f9a034f305ae0dcd8d0ca3833cf25e3a0e8edb86f0fca19ec/20211021_153940.jpg")</f>
        <v>https://api.typeform.com/responses/files/687c506550b2754f9a034f305ae0dcd8d0ca3833cf25e3a0e8edb86f0fca19ec/20211021_153940.jpg</v>
      </c>
      <c r="BW285" t="b">
        <v>1</v>
      </c>
      <c r="BX285" t="s">
        <v>1394</v>
      </c>
      <c r="BY285" t="s">
        <v>140</v>
      </c>
      <c r="CA285" t="s">
        <v>1395</v>
      </c>
      <c r="CD285">
        <v>0.0</v>
      </c>
      <c r="CF285" t="b">
        <v>0</v>
      </c>
      <c r="CG285" t="b">
        <v>1</v>
      </c>
      <c r="CH285" t="s">
        <v>6307</v>
      </c>
      <c r="CJ285" t="b">
        <v>1</v>
      </c>
      <c r="CK285" t="b">
        <v>0</v>
      </c>
      <c r="CL285" t="s">
        <v>2301</v>
      </c>
      <c r="CO285" t="s">
        <v>3491</v>
      </c>
      <c r="CR285" t="b">
        <v>1</v>
      </c>
      <c r="CT285">
        <v>0.0</v>
      </c>
      <c r="CU285">
        <v>0.0</v>
      </c>
      <c r="CX285" s="4" t="s">
        <v>2914</v>
      </c>
      <c r="CZ285" s="5">
        <v>44490.8218287037</v>
      </c>
      <c r="DA285" t="s">
        <v>6308</v>
      </c>
    </row>
    <row r="286">
      <c r="A286" t="s">
        <v>98</v>
      </c>
      <c r="D286" t="s">
        <v>6309</v>
      </c>
      <c r="E286" t="s">
        <v>5240</v>
      </c>
      <c r="F286" s="2">
        <v>38131.0</v>
      </c>
      <c r="G286" t="s">
        <v>1360</v>
      </c>
      <c r="I286" s="3" t="str">
        <f>HYPERLINK("https://api.typeform.com/responses/files/bb133cafe22884dd6e3c737372deafd1f420928b222593800d12df5d2da04976/image0.jpeg")</f>
        <v>https://api.typeform.com/responses/files/bb133cafe22884dd6e3c737372deafd1f420928b222593800d12df5d2da04976/image0.jpeg</v>
      </c>
      <c r="J286" t="s">
        <v>6310</v>
      </c>
      <c r="K286" t="b">
        <v>1</v>
      </c>
      <c r="L286" s="4" t="s">
        <v>6311</v>
      </c>
      <c r="M286" t="s">
        <v>6312</v>
      </c>
      <c r="N286" t="s">
        <v>149</v>
      </c>
      <c r="O286" t="s">
        <v>139</v>
      </c>
      <c r="P286" t="s">
        <v>6313</v>
      </c>
      <c r="Q286" t="s">
        <v>189</v>
      </c>
      <c r="R286" t="s">
        <v>6314</v>
      </c>
      <c r="S286" s="4" t="s">
        <v>6315</v>
      </c>
      <c r="T286" s="4" t="s">
        <v>6316</v>
      </c>
      <c r="U286" t="s">
        <v>5315</v>
      </c>
      <c r="V286" t="s">
        <v>2407</v>
      </c>
      <c r="W286" t="s">
        <v>2290</v>
      </c>
      <c r="Y286" t="s">
        <v>158</v>
      </c>
      <c r="Z286" t="s">
        <v>262</v>
      </c>
      <c r="AC286" s="3" t="str">
        <f>HYPERLINK("https://api.typeform.com/responses/files/b252bb1ccf5c4ae9851daf9dd42de6eea6a4f34382bec23e4690a414cc2fc888/image0__1_.jpeg")</f>
        <v>https://api.typeform.com/responses/files/b252bb1ccf5c4ae9851daf9dd42de6eea6a4f34382bec23e4690a414cc2fc888/image0__1_.jpeg</v>
      </c>
      <c r="AD286" t="s">
        <v>118</v>
      </c>
      <c r="AE286" t="s">
        <v>729</v>
      </c>
      <c r="AF286" t="s">
        <v>1170</v>
      </c>
      <c r="AG286">
        <v>2.0</v>
      </c>
      <c r="AH286" t="s">
        <v>139</v>
      </c>
      <c r="AI286" t="s">
        <v>205</v>
      </c>
      <c r="AK286" t="s">
        <v>139</v>
      </c>
      <c r="AL286" t="s">
        <v>1043</v>
      </c>
      <c r="AO286" t="s">
        <v>1479</v>
      </c>
      <c r="AP286">
        <v>4.0</v>
      </c>
      <c r="AQ286" t="s">
        <v>201</v>
      </c>
      <c r="AR286" t="s">
        <v>6317</v>
      </c>
      <c r="AS286" t="b">
        <v>1</v>
      </c>
      <c r="AT286" t="b">
        <v>0</v>
      </c>
      <c r="AV286">
        <v>5.0</v>
      </c>
      <c r="AW286" t="b">
        <v>0</v>
      </c>
      <c r="AZ286" t="b">
        <v>0</v>
      </c>
      <c r="BA286" t="b">
        <v>0</v>
      </c>
      <c r="BD286" t="s">
        <v>679</v>
      </c>
      <c r="BH286" t="s">
        <v>132</v>
      </c>
      <c r="BI286">
        <v>1.0</v>
      </c>
      <c r="BJ286" t="s">
        <v>6318</v>
      </c>
      <c r="BK286">
        <v>4.0</v>
      </c>
      <c r="BL286">
        <v>4.0</v>
      </c>
      <c r="BM286" t="s">
        <v>6319</v>
      </c>
      <c r="BN286">
        <v>4.0</v>
      </c>
      <c r="BO286">
        <v>4.0</v>
      </c>
      <c r="BP286" t="s">
        <v>6320</v>
      </c>
      <c r="BQ286" t="s">
        <v>6321</v>
      </c>
      <c r="BR286" t="s">
        <v>6322</v>
      </c>
      <c r="BS286" t="s">
        <v>6323</v>
      </c>
      <c r="BU286" t="s">
        <v>139</v>
      </c>
      <c r="BV286" s="3" t="str">
        <f>HYPERLINK("https://api.typeform.com/responses/files/f588c876cdc44085ce3d1d79797f387b73ef55da0e319864725eae5a1ebcfc82/image0__2_.jpeg")</f>
        <v>https://api.typeform.com/responses/files/f588c876cdc44085ce3d1d79797f387b73ef55da0e319864725eae5a1ebcfc82/image0__2_.jpeg</v>
      </c>
      <c r="BW286" t="b">
        <v>1</v>
      </c>
      <c r="BX286" t="s">
        <v>1394</v>
      </c>
      <c r="BY286" t="s">
        <v>140</v>
      </c>
      <c r="CA286" t="s">
        <v>1395</v>
      </c>
      <c r="CD286">
        <v>0.0</v>
      </c>
      <c r="CF286" t="b">
        <v>0</v>
      </c>
      <c r="CG286" t="b">
        <v>1</v>
      </c>
      <c r="CH286" t="s">
        <v>4188</v>
      </c>
      <c r="CJ286" t="b">
        <v>1</v>
      </c>
      <c r="CK286" t="b">
        <v>1</v>
      </c>
      <c r="CL286" t="s">
        <v>541</v>
      </c>
      <c r="CM286" t="s">
        <v>541</v>
      </c>
      <c r="CO286" t="s">
        <v>2500</v>
      </c>
      <c r="CQ286" t="s">
        <v>541</v>
      </c>
      <c r="CR286" t="b">
        <v>1</v>
      </c>
      <c r="CT286">
        <v>0.0</v>
      </c>
      <c r="CU286">
        <v>1.0</v>
      </c>
      <c r="CX286" s="4" t="s">
        <v>6324</v>
      </c>
      <c r="CZ286" s="5">
        <v>44490.82340277778</v>
      </c>
      <c r="DA286" t="s">
        <v>6325</v>
      </c>
    </row>
    <row r="287">
      <c r="A287" t="s">
        <v>98</v>
      </c>
      <c r="D287" t="s">
        <v>6326</v>
      </c>
      <c r="E287" t="s">
        <v>6327</v>
      </c>
      <c r="F287" s="2">
        <v>38367.0</v>
      </c>
      <c r="G287" t="s">
        <v>1466</v>
      </c>
      <c r="I287" s="3" t="str">
        <f>HYPERLINK("https://api.typeform.com/responses/files/552495a7dfb5600030e2d4e96d924d33fff93a0ac0a8253f41f7f3f1ff4cb3d5/SNAP_20211016_233058.jpg")</f>
        <v>https://api.typeform.com/responses/files/552495a7dfb5600030e2d4e96d924d33fff93a0ac0a8253f41f7f3f1ff4cb3d5/SNAP_20211016_233058.jpg</v>
      </c>
      <c r="J287" t="s">
        <v>6328</v>
      </c>
      <c r="K287" t="b">
        <v>1</v>
      </c>
      <c r="L287" s="4" t="s">
        <v>6329</v>
      </c>
      <c r="M287" t="s">
        <v>6330</v>
      </c>
      <c r="N287" t="s">
        <v>255</v>
      </c>
      <c r="O287" t="s">
        <v>6331</v>
      </c>
      <c r="P287" t="s">
        <v>6332</v>
      </c>
      <c r="Q287" t="s">
        <v>189</v>
      </c>
      <c r="R287" t="s">
        <v>6333</v>
      </c>
      <c r="S287" t="s">
        <v>6334</v>
      </c>
      <c r="T287" s="4" t="s">
        <v>6335</v>
      </c>
      <c r="U287" t="s">
        <v>6336</v>
      </c>
      <c r="V287" t="s">
        <v>6337</v>
      </c>
      <c r="W287" t="s">
        <v>2290</v>
      </c>
      <c r="Y287" t="s">
        <v>158</v>
      </c>
      <c r="Z287" t="s">
        <v>262</v>
      </c>
      <c r="AC287" s="3" t="str">
        <f>HYPERLINK("https://api.typeform.com/responses/files/52d5854400a0a378ce0ae4d9aa6ee081a37399211d50ca205b4e329618be41cc/Screenshot_2021_10_21_3.09.11_PM.png")</f>
        <v>https://api.typeform.com/responses/files/52d5854400a0a378ce0ae4d9aa6ee081a37399211d50ca205b4e329618be41cc/Screenshot_2021_10_21_3.09.11_PM.png</v>
      </c>
      <c r="AD287" t="s">
        <v>118</v>
      </c>
      <c r="AE287" t="s">
        <v>729</v>
      </c>
      <c r="AF287" t="s">
        <v>197</v>
      </c>
      <c r="AG287">
        <v>12.0</v>
      </c>
      <c r="AH287" t="s">
        <v>6338</v>
      </c>
      <c r="AI287" t="s">
        <v>162</v>
      </c>
      <c r="AK287" t="s">
        <v>139</v>
      </c>
      <c r="AL287" t="s">
        <v>6339</v>
      </c>
      <c r="AO287" t="s">
        <v>335</v>
      </c>
      <c r="AP287">
        <v>5.0</v>
      </c>
      <c r="AQ287" t="s">
        <v>1480</v>
      </c>
      <c r="AR287" t="s">
        <v>6340</v>
      </c>
      <c r="AS287" t="b">
        <v>1</v>
      </c>
      <c r="AT287" t="b">
        <v>0</v>
      </c>
      <c r="AV287">
        <v>6.0</v>
      </c>
      <c r="AW287" t="b">
        <v>0</v>
      </c>
      <c r="AZ287" t="b">
        <v>1</v>
      </c>
      <c r="BA287" t="b">
        <v>0</v>
      </c>
      <c r="BD287" t="s">
        <v>6341</v>
      </c>
      <c r="BH287" t="s">
        <v>132</v>
      </c>
      <c r="BI287">
        <v>1.0</v>
      </c>
      <c r="BJ287" t="s">
        <v>6342</v>
      </c>
      <c r="BK287">
        <v>4.0</v>
      </c>
      <c r="BL287">
        <v>3.0</v>
      </c>
      <c r="BM287" t="s">
        <v>6343</v>
      </c>
      <c r="BN287">
        <v>3.0</v>
      </c>
      <c r="BO287">
        <v>3.0</v>
      </c>
      <c r="BP287" t="s">
        <v>6344</v>
      </c>
      <c r="BQ287" t="s">
        <v>916</v>
      </c>
      <c r="BR287" t="s">
        <v>6345</v>
      </c>
      <c r="BS287" t="s">
        <v>6346</v>
      </c>
      <c r="BU287" t="s">
        <v>606</v>
      </c>
      <c r="BV287" s="3" t="str">
        <f>HYPERLINK("https://api.typeform.com/responses/files/fc8bdae7f161261873a4ff502793f721f9bb77609c1ef5f93f555396dbdb2833/SPEAKHIRE_Parent.Guardian_Consent_Form.pdf")</f>
        <v>https://api.typeform.com/responses/files/fc8bdae7f161261873a4ff502793f721f9bb77609c1ef5f93f555396dbdb2833/SPEAKHIRE_Parent.Guardian_Consent_Form.pdf</v>
      </c>
      <c r="BW287" t="b">
        <v>1</v>
      </c>
      <c r="BX287" t="s">
        <v>1394</v>
      </c>
      <c r="BY287" t="s">
        <v>140</v>
      </c>
      <c r="CA287" t="s">
        <v>1395</v>
      </c>
      <c r="CD287">
        <v>0.0</v>
      </c>
      <c r="CF287" t="b">
        <v>1</v>
      </c>
      <c r="CG287" t="b">
        <v>1</v>
      </c>
      <c r="CH287" t="s">
        <v>6347</v>
      </c>
      <c r="CJ287" t="b">
        <v>1</v>
      </c>
      <c r="CK287" t="b">
        <v>0</v>
      </c>
      <c r="CL287" t="s">
        <v>541</v>
      </c>
      <c r="CO287" t="s">
        <v>1688</v>
      </c>
      <c r="CR287" t="b">
        <v>1</v>
      </c>
      <c r="CT287">
        <v>1.0</v>
      </c>
      <c r="CU287">
        <v>1.0</v>
      </c>
      <c r="CX287" s="4" t="s">
        <v>6348</v>
      </c>
      <c r="CZ287" s="5">
        <v>44490.82386574074</v>
      </c>
      <c r="DA287" t="s">
        <v>6349</v>
      </c>
    </row>
    <row r="288">
      <c r="A288" t="s">
        <v>98</v>
      </c>
      <c r="D288" t="s">
        <v>6350</v>
      </c>
      <c r="E288" t="s">
        <v>6351</v>
      </c>
      <c r="F288" s="2">
        <v>37682.0</v>
      </c>
      <c r="G288" t="s">
        <v>1360</v>
      </c>
      <c r="I288" s="3" t="str">
        <f>HYPERLINK("https://api.typeform.com/responses/files/fc911f282ce649ce692d5813a5d0aef1d6c0a80a4c27f9f1a1867cf11808c515/4472D1C1_B6DF_4C8C_BD38_C7AA87502D7F.jpeg")</f>
        <v>https://api.typeform.com/responses/files/fc911f282ce649ce692d5813a5d0aef1d6c0a80a4c27f9f1a1867cf11808c515/4472D1C1_B6DF_4C8C_BD38_C7AA87502D7F.jpeg</v>
      </c>
      <c r="J288" t="s">
        <v>6352</v>
      </c>
      <c r="K288" t="b">
        <v>1</v>
      </c>
      <c r="L288" s="4" t="s">
        <v>6353</v>
      </c>
      <c r="M288" t="s">
        <v>6354</v>
      </c>
      <c r="N288" t="s">
        <v>354</v>
      </c>
      <c r="P288" t="s">
        <v>6355</v>
      </c>
      <c r="Q288" t="s">
        <v>189</v>
      </c>
      <c r="R288" t="s">
        <v>6356</v>
      </c>
      <c r="S288" t="s">
        <v>6354</v>
      </c>
      <c r="T288" s="4" t="s">
        <v>6357</v>
      </c>
      <c r="U288" t="s">
        <v>6350</v>
      </c>
      <c r="V288" t="s">
        <v>6358</v>
      </c>
      <c r="W288" t="s">
        <v>2290</v>
      </c>
      <c r="Y288" t="s">
        <v>158</v>
      </c>
      <c r="Z288" t="s">
        <v>262</v>
      </c>
      <c r="AC288" s="3" t="str">
        <f>HYPERLINK("https://api.typeform.com/responses/files/c730dde45f574e560033c30c50face99d730e04375f318cc0e62a2d7947c735e/FD0FBE8F_07DE_48ED_BF65_F34755C8BFAE.jpeg")</f>
        <v>https://api.typeform.com/responses/files/c730dde45f574e560033c30c50face99d730e04375f318cc0e62a2d7947c735e/FD0FBE8F_07DE_48ED_BF65_F34755C8BFAE.jpeg</v>
      </c>
      <c r="AD288" t="s">
        <v>118</v>
      </c>
      <c r="AE288" t="s">
        <v>729</v>
      </c>
      <c r="AF288" t="s">
        <v>459</v>
      </c>
      <c r="AG288">
        <v>15.0</v>
      </c>
      <c r="AH288" s="4" t="s">
        <v>734</v>
      </c>
      <c r="AI288" t="s">
        <v>386</v>
      </c>
      <c r="AL288" t="s">
        <v>460</v>
      </c>
      <c r="AO288" t="s">
        <v>335</v>
      </c>
      <c r="AP288">
        <v>4.0</v>
      </c>
      <c r="AQ288" t="s">
        <v>1520</v>
      </c>
      <c r="AR288" t="s">
        <v>6359</v>
      </c>
      <c r="AS288" t="b">
        <v>1</v>
      </c>
      <c r="AT288" t="b">
        <v>1</v>
      </c>
      <c r="AV288">
        <v>4.0</v>
      </c>
      <c r="AW288" t="b">
        <v>1</v>
      </c>
      <c r="AX288" t="s">
        <v>1902</v>
      </c>
      <c r="AY288" s="4" t="s">
        <v>518</v>
      </c>
      <c r="AZ288" t="b">
        <v>1</v>
      </c>
      <c r="BA288" t="b">
        <v>1</v>
      </c>
      <c r="BB288" t="b">
        <v>0</v>
      </c>
      <c r="BC288" t="s">
        <v>6360</v>
      </c>
      <c r="BH288" t="s">
        <v>132</v>
      </c>
      <c r="BI288">
        <v>1.0</v>
      </c>
      <c r="BJ288" t="s">
        <v>3585</v>
      </c>
      <c r="BK288">
        <v>1.0</v>
      </c>
      <c r="BL288">
        <v>1.0</v>
      </c>
      <c r="BM288" t="s">
        <v>6361</v>
      </c>
      <c r="BN288">
        <v>1.0</v>
      </c>
      <c r="BO288">
        <v>1.0</v>
      </c>
      <c r="BP288" t="s">
        <v>6362</v>
      </c>
      <c r="BQ288" t="s">
        <v>6363</v>
      </c>
      <c r="BR288" t="s">
        <v>6364</v>
      </c>
      <c r="BS288" t="s">
        <v>6365</v>
      </c>
      <c r="BU288" t="s">
        <v>6366</v>
      </c>
      <c r="BV288" s="3" t="str">
        <f>HYPERLINK("https://api.typeform.com/responses/files/af8a200be172f8b617079fb5c95c4896b1601260d857a882eaaba9fe11ee129d/F771CEDA_036D_46AA_8A53_C40CEBA7AC0E.jpeg")</f>
        <v>https://api.typeform.com/responses/files/af8a200be172f8b617079fb5c95c4896b1601260d857a882eaaba9fe11ee129d/F771CEDA_036D_46AA_8A53_C40CEBA7AC0E.jpeg</v>
      </c>
      <c r="BW288" t="b">
        <v>1</v>
      </c>
      <c r="BX288" t="s">
        <v>1394</v>
      </c>
      <c r="BY288" t="s">
        <v>140</v>
      </c>
      <c r="CA288" t="s">
        <v>1395</v>
      </c>
      <c r="CD288">
        <v>0.0</v>
      </c>
      <c r="CF288" t="b">
        <v>1</v>
      </c>
      <c r="CG288" t="b">
        <v>1</v>
      </c>
      <c r="CH288" t="s">
        <v>6367</v>
      </c>
      <c r="CJ288" t="b">
        <v>1</v>
      </c>
      <c r="CK288" t="b">
        <v>1</v>
      </c>
      <c r="CL288" t="s">
        <v>413</v>
      </c>
      <c r="CO288" t="s">
        <v>6368</v>
      </c>
      <c r="CQ288" t="s">
        <v>1462</v>
      </c>
      <c r="CR288" t="b">
        <v>1</v>
      </c>
      <c r="CT288">
        <v>0.0</v>
      </c>
      <c r="CU288">
        <v>0.0</v>
      </c>
      <c r="CX288" s="4" t="s">
        <v>6369</v>
      </c>
      <c r="CZ288" s="5">
        <v>44490.840682870374</v>
      </c>
      <c r="DA288" t="s">
        <v>6370</v>
      </c>
    </row>
    <row r="289">
      <c r="A289" t="s">
        <v>98</v>
      </c>
      <c r="D289" t="s">
        <v>6371</v>
      </c>
      <c r="E289" t="s">
        <v>6372</v>
      </c>
      <c r="F289" s="2">
        <v>38576.0</v>
      </c>
      <c r="G289" t="s">
        <v>1360</v>
      </c>
      <c r="I289" s="3" t="str">
        <f>HYPERLINK("https://api.typeform.com/responses/files/0a725b88531fe2aee8abdac07c1e8c0ae26fad8bae9a968d0a893001bb2db606/7D46C5B2_33A0_4FCC_A2A0_1482831759F9.jpeg")</f>
        <v>https://api.typeform.com/responses/files/0a725b88531fe2aee8abdac07c1e8c0ae26fad8bae9a968d0a893001bb2db606/7D46C5B2_33A0_4FCC_A2A0_1482831759F9.jpeg</v>
      </c>
      <c r="J289" t="s">
        <v>6373</v>
      </c>
      <c r="K289" t="b">
        <v>1</v>
      </c>
      <c r="L289" s="4" t="s">
        <v>6374</v>
      </c>
      <c r="M289" t="s">
        <v>6375</v>
      </c>
      <c r="N289" t="s">
        <v>354</v>
      </c>
      <c r="O289" t="s">
        <v>179</v>
      </c>
      <c r="P289" t="s">
        <v>6376</v>
      </c>
      <c r="Q289" t="s">
        <v>189</v>
      </c>
      <c r="R289" t="s">
        <v>6377</v>
      </c>
      <c r="S289" t="s">
        <v>6375</v>
      </c>
      <c r="T289" s="4" t="s">
        <v>6378</v>
      </c>
      <c r="U289" t="s">
        <v>3028</v>
      </c>
      <c r="V289" t="s">
        <v>6379</v>
      </c>
      <c r="W289" t="s">
        <v>261</v>
      </c>
      <c r="Y289" t="s">
        <v>158</v>
      </c>
      <c r="Z289" t="s">
        <v>262</v>
      </c>
      <c r="AC289" s="3" t="str">
        <f>HYPERLINK("https://api.typeform.com/responses/files/99cb76c2a95e289cc9fcb8b14bd1ce2b07933f458a9fc41afa6b9a41de4b9455/5234E836_6BEC_4440_9A33_9049AC589FAD.jpeg")</f>
        <v>https://api.typeform.com/responses/files/99cb76c2a95e289cc9fcb8b14bd1ce2b07933f458a9fc41afa6b9a41de4b9455/5234E836_6BEC_4440_9A33_9049AC589FAD.jpeg</v>
      </c>
      <c r="AD289" t="s">
        <v>118</v>
      </c>
      <c r="AE289" t="s">
        <v>729</v>
      </c>
      <c r="AF289" t="s">
        <v>459</v>
      </c>
      <c r="AG289">
        <v>11.0</v>
      </c>
      <c r="AH289" s="4" t="s">
        <v>639</v>
      </c>
      <c r="AI289" t="s">
        <v>205</v>
      </c>
      <c r="AK289" t="s">
        <v>179</v>
      </c>
      <c r="AL289" t="s">
        <v>460</v>
      </c>
      <c r="AO289" t="s">
        <v>1479</v>
      </c>
      <c r="AP289">
        <v>4.0</v>
      </c>
      <c r="AQ289" t="s">
        <v>1520</v>
      </c>
      <c r="AR289" t="s">
        <v>179</v>
      </c>
      <c r="AS289" t="b">
        <v>0</v>
      </c>
      <c r="AV289">
        <v>5.0</v>
      </c>
      <c r="AW289" t="b">
        <v>0</v>
      </c>
      <c r="AZ289" t="b">
        <v>0</v>
      </c>
      <c r="BA289" t="b">
        <v>0</v>
      </c>
      <c r="BD289" t="s">
        <v>575</v>
      </c>
      <c r="BH289" t="s">
        <v>132</v>
      </c>
      <c r="BI289">
        <v>1.0</v>
      </c>
      <c r="BJ289" t="s">
        <v>6380</v>
      </c>
      <c r="BK289">
        <v>2.0</v>
      </c>
      <c r="BL289">
        <v>1.0</v>
      </c>
      <c r="BM289" t="s">
        <v>6381</v>
      </c>
      <c r="BN289">
        <v>1.0</v>
      </c>
      <c r="BO289">
        <v>4.0</v>
      </c>
      <c r="BP289" t="s">
        <v>6382</v>
      </c>
      <c r="BQ289" t="s">
        <v>6383</v>
      </c>
      <c r="BR289" t="s">
        <v>6384</v>
      </c>
      <c r="BS289" t="s">
        <v>6385</v>
      </c>
      <c r="BU289" t="s">
        <v>139</v>
      </c>
      <c r="BV289" s="3" t="str">
        <f>HYPERLINK("https://api.typeform.com/responses/files/ba8b70d333ab503160afe2fef807972c5aca4f1d2731aa355ecbd6fd98757767/2D1B7379_435B_43A9_BE01_D92DA13A609F.jpeg")</f>
        <v>https://api.typeform.com/responses/files/ba8b70d333ab503160afe2fef807972c5aca4f1d2731aa355ecbd6fd98757767/2D1B7379_435B_43A9_BE01_D92DA13A609F.jpeg</v>
      </c>
      <c r="BW289" t="b">
        <v>1</v>
      </c>
      <c r="BX289" t="s">
        <v>1394</v>
      </c>
      <c r="BY289" t="s">
        <v>140</v>
      </c>
      <c r="CA289" t="s">
        <v>1395</v>
      </c>
      <c r="CD289">
        <v>0.0</v>
      </c>
      <c r="CF289" t="b">
        <v>0</v>
      </c>
      <c r="CG289" t="b">
        <v>0</v>
      </c>
      <c r="CH289" t="s">
        <v>168</v>
      </c>
      <c r="CJ289" t="b">
        <v>0</v>
      </c>
      <c r="CK289" t="b">
        <v>1</v>
      </c>
      <c r="CL289" t="s">
        <v>362</v>
      </c>
      <c r="CM289" t="s">
        <v>362</v>
      </c>
      <c r="CO289" t="s">
        <v>179</v>
      </c>
      <c r="CQ289" t="s">
        <v>362</v>
      </c>
      <c r="CR289" t="b">
        <v>1</v>
      </c>
      <c r="CT289">
        <v>1.0</v>
      </c>
      <c r="CU289">
        <v>0.0</v>
      </c>
      <c r="CX289" s="4" t="s">
        <v>6386</v>
      </c>
      <c r="CZ289" s="5">
        <v>44490.859560185185</v>
      </c>
      <c r="DA289" t="s">
        <v>6387</v>
      </c>
    </row>
    <row r="290">
      <c r="A290" t="s">
        <v>98</v>
      </c>
      <c r="D290" t="s">
        <v>6388</v>
      </c>
      <c r="E290" t="s">
        <v>6389</v>
      </c>
      <c r="F290" s="2">
        <v>38073.0</v>
      </c>
      <c r="G290" t="s">
        <v>1360</v>
      </c>
      <c r="I290" s="3" t="str">
        <f>HYPERLINK("https://api.typeform.com/responses/files/5bbe7e64db1a97de7a7aab74b133f4c79df73ea99bfaa7ea87b4b0bf2ffdf4a2/image_6487327.JPG")</f>
        <v>https://api.typeform.com/responses/files/5bbe7e64db1a97de7a7aab74b133f4c79df73ea99bfaa7ea87b4b0bf2ffdf4a2/image_6487327.JPG</v>
      </c>
      <c r="J290" t="s">
        <v>6390</v>
      </c>
      <c r="K290" t="b">
        <v>1</v>
      </c>
      <c r="L290" s="4" t="s">
        <v>6391</v>
      </c>
      <c r="M290" t="s">
        <v>6392</v>
      </c>
      <c r="N290" t="s">
        <v>149</v>
      </c>
      <c r="O290" t="s">
        <v>6393</v>
      </c>
      <c r="P290" t="s">
        <v>6394</v>
      </c>
      <c r="Q290" t="s">
        <v>189</v>
      </c>
      <c r="R290" t="s">
        <v>6395</v>
      </c>
      <c r="S290" t="s">
        <v>6396</v>
      </c>
      <c r="T290" s="4" t="s">
        <v>6397</v>
      </c>
      <c r="U290" t="s">
        <v>6398</v>
      </c>
      <c r="V290" t="s">
        <v>6399</v>
      </c>
      <c r="W290" t="s">
        <v>2290</v>
      </c>
      <c r="Y290" t="s">
        <v>158</v>
      </c>
      <c r="Z290" t="s">
        <v>262</v>
      </c>
      <c r="AC290" s="3" t="str">
        <f>HYPERLINK("https://api.typeform.com/responses/files/26136654674c497be08b66b987dc4762f8607a4e578aa708e0ff7eebc9c35890/IMG_6533.jpeg")</f>
        <v>https://api.typeform.com/responses/files/26136654674c497be08b66b987dc4762f8607a4e578aa708e0ff7eebc9c35890/IMG_6533.jpeg</v>
      </c>
      <c r="AD290" t="s">
        <v>118</v>
      </c>
      <c r="AE290" t="s">
        <v>729</v>
      </c>
      <c r="AF290" t="s">
        <v>1170</v>
      </c>
      <c r="AG290">
        <v>14.0</v>
      </c>
      <c r="AH290" t="s">
        <v>6400</v>
      </c>
      <c r="AI290" t="s">
        <v>543</v>
      </c>
      <c r="AK290" t="s">
        <v>6401</v>
      </c>
      <c r="AL290" t="s">
        <v>199</v>
      </c>
      <c r="AO290" t="s">
        <v>335</v>
      </c>
      <c r="AP290">
        <v>4.0</v>
      </c>
      <c r="AQ290" t="s">
        <v>4222</v>
      </c>
      <c r="AR290" t="s">
        <v>3010</v>
      </c>
      <c r="AS290" t="b">
        <v>1</v>
      </c>
      <c r="AT290" t="b">
        <v>0</v>
      </c>
      <c r="AV290">
        <v>7.0</v>
      </c>
      <c r="AW290" t="b">
        <v>0</v>
      </c>
      <c r="AZ290" t="b">
        <v>0</v>
      </c>
      <c r="BA290" t="b">
        <v>0</v>
      </c>
      <c r="BD290" t="s">
        <v>3010</v>
      </c>
      <c r="BH290" t="s">
        <v>132</v>
      </c>
      <c r="BI290">
        <v>2.0</v>
      </c>
      <c r="BJ290" t="s">
        <v>6402</v>
      </c>
      <c r="BK290">
        <v>1.0</v>
      </c>
      <c r="BL290">
        <v>2.0</v>
      </c>
      <c r="BM290" t="s">
        <v>6403</v>
      </c>
      <c r="BN290">
        <v>1.0</v>
      </c>
      <c r="BO290">
        <v>2.0</v>
      </c>
      <c r="BP290" t="s">
        <v>5338</v>
      </c>
      <c r="BQ290" t="s">
        <v>626</v>
      </c>
      <c r="BR290" t="s">
        <v>6404</v>
      </c>
      <c r="BS290" t="s">
        <v>6405</v>
      </c>
      <c r="BU290" t="s">
        <v>6406</v>
      </c>
      <c r="BV290" s="3" t="str">
        <f>HYPERLINK("https://api.typeform.com/responses/files/5ef3f36049073b26ebec4bd6944187af6d5b7f72480b8960eefcff56beea6a7e/image_67151617.JPG")</f>
        <v>https://api.typeform.com/responses/files/5ef3f36049073b26ebec4bd6944187af6d5b7f72480b8960eefcff56beea6a7e/image_67151617.JPG</v>
      </c>
      <c r="BW290" t="b">
        <v>1</v>
      </c>
      <c r="BX290" t="s">
        <v>1394</v>
      </c>
      <c r="BY290" t="s">
        <v>140</v>
      </c>
      <c r="CA290" t="s">
        <v>1395</v>
      </c>
      <c r="CD290">
        <v>0.0</v>
      </c>
      <c r="CF290" t="b">
        <v>1</v>
      </c>
      <c r="CG290" t="b">
        <v>1</v>
      </c>
      <c r="CH290" t="s">
        <v>6407</v>
      </c>
      <c r="CJ290" t="b">
        <v>1</v>
      </c>
      <c r="CK290" t="b">
        <v>1</v>
      </c>
      <c r="CL290" t="s">
        <v>387</v>
      </c>
      <c r="CM290" t="s">
        <v>387</v>
      </c>
      <c r="CN290" t="s">
        <v>6408</v>
      </c>
      <c r="CO290" t="s">
        <v>3491</v>
      </c>
      <c r="CQ290" t="s">
        <v>387</v>
      </c>
      <c r="CR290" t="b">
        <v>1</v>
      </c>
      <c r="CT290">
        <v>0.0</v>
      </c>
      <c r="CU290">
        <v>1.0</v>
      </c>
      <c r="CX290" t="s">
        <v>679</v>
      </c>
      <c r="CZ290" s="5">
        <v>44491.05118055556</v>
      </c>
      <c r="DA290" t="s">
        <v>6409</v>
      </c>
    </row>
    <row r="291">
      <c r="A291" t="s">
        <v>98</v>
      </c>
      <c r="D291" t="s">
        <v>6410</v>
      </c>
      <c r="E291" t="s">
        <v>6411</v>
      </c>
      <c r="F291" s="2">
        <v>37970.0</v>
      </c>
      <c r="G291" t="s">
        <v>1360</v>
      </c>
      <c r="I291" s="3" t="str">
        <f>HYPERLINK("fbbe41713da3-20211001_083021__2_.jpg")</f>
        <v>fbbe41713da3-20211001_083021__2_.jpg</v>
      </c>
      <c r="J291" t="s">
        <v>6412</v>
      </c>
      <c r="K291" t="b">
        <v>1</v>
      </c>
      <c r="L291" s="4" t="s">
        <v>6413</v>
      </c>
      <c r="M291" t="s">
        <v>6414</v>
      </c>
      <c r="N291" t="s">
        <v>149</v>
      </c>
      <c r="O291" t="s">
        <v>6415</v>
      </c>
      <c r="P291" t="s">
        <v>6416</v>
      </c>
      <c r="Q291" t="s">
        <v>189</v>
      </c>
      <c r="R291" t="s">
        <v>6153</v>
      </c>
      <c r="S291" t="s">
        <v>6417</v>
      </c>
      <c r="T291" s="4" t="s">
        <v>5391</v>
      </c>
      <c r="U291" t="s">
        <v>6418</v>
      </c>
      <c r="V291" t="s">
        <v>6419</v>
      </c>
      <c r="W291" t="s">
        <v>2290</v>
      </c>
      <c r="Y291" t="s">
        <v>158</v>
      </c>
      <c r="Z291" t="s">
        <v>262</v>
      </c>
      <c r="AC291" s="3" t="str">
        <f>HYPERLINK("https://api.typeform.com/responses/files/f0ac1ed35693136a11a25db90ae9faf79e3c9d0b2b31484588a8edd289c4268a/Screenshot_2021_10_21_3.11.59_PM.png")</f>
        <v>https://api.typeform.com/responses/files/f0ac1ed35693136a11a25db90ae9faf79e3c9d0b2b31484588a8edd289c4268a/Screenshot_2021_10_21_3.11.59_PM.png</v>
      </c>
      <c r="AD291" t="s">
        <v>118</v>
      </c>
      <c r="AE291" t="s">
        <v>729</v>
      </c>
      <c r="AF291" t="s">
        <v>1196</v>
      </c>
      <c r="AG291">
        <v>15.0</v>
      </c>
      <c r="AH291" t="s">
        <v>6420</v>
      </c>
      <c r="AI291" t="s">
        <v>205</v>
      </c>
      <c r="AK291" t="s">
        <v>6421</v>
      </c>
      <c r="AL291" t="s">
        <v>6422</v>
      </c>
      <c r="AO291" t="s">
        <v>125</v>
      </c>
      <c r="AP291">
        <v>4.0</v>
      </c>
      <c r="AQ291" t="s">
        <v>201</v>
      </c>
      <c r="AR291" t="s">
        <v>3300</v>
      </c>
      <c r="AS291" t="b">
        <v>1</v>
      </c>
      <c r="AT291" t="b">
        <v>0</v>
      </c>
      <c r="AV291">
        <v>4.0</v>
      </c>
      <c r="AW291" t="b">
        <v>0</v>
      </c>
      <c r="AZ291" t="b">
        <v>0</v>
      </c>
      <c r="BA291" t="b">
        <v>1</v>
      </c>
      <c r="BB291" t="b">
        <v>0</v>
      </c>
      <c r="BC291" t="s">
        <v>6423</v>
      </c>
      <c r="BH291" t="s">
        <v>132</v>
      </c>
      <c r="BI291">
        <v>1.0</v>
      </c>
      <c r="BJ291" t="s">
        <v>6424</v>
      </c>
      <c r="BK291">
        <v>4.0</v>
      </c>
      <c r="BL291">
        <v>4.0</v>
      </c>
      <c r="BM291" t="s">
        <v>6425</v>
      </c>
      <c r="BN291">
        <v>2.0</v>
      </c>
      <c r="BO291">
        <v>4.0</v>
      </c>
      <c r="BP291" t="s">
        <v>6426</v>
      </c>
      <c r="BQ291" t="s">
        <v>3013</v>
      </c>
      <c r="BR291" t="s">
        <v>6427</v>
      </c>
      <c r="BS291" t="s">
        <v>6428</v>
      </c>
      <c r="BU291" t="s">
        <v>6429</v>
      </c>
      <c r="BV291" s="3" t="str">
        <f>HYPERLINK("https://api.typeform.com/responses/files/efca6f2c6a3415f58b105d34cadf78b9fc78db25a961360b49c9aa3455e4d88b/IMG_20211022_130846.jpg")</f>
        <v>https://api.typeform.com/responses/files/efca6f2c6a3415f58b105d34cadf78b9fc78db25a961360b49c9aa3455e4d88b/IMG_20211022_130846.jpg</v>
      </c>
      <c r="BW291" t="b">
        <v>1</v>
      </c>
      <c r="BX291" t="s">
        <v>1394</v>
      </c>
      <c r="BY291" t="s">
        <v>140</v>
      </c>
      <c r="CA291" t="s">
        <v>1395</v>
      </c>
      <c r="CD291">
        <v>0.0</v>
      </c>
      <c r="CF291" t="b">
        <v>1</v>
      </c>
      <c r="CG291" t="b">
        <v>0</v>
      </c>
      <c r="CH291" t="s">
        <v>128</v>
      </c>
      <c r="CJ291" t="b">
        <v>0</v>
      </c>
      <c r="CK291" t="b">
        <v>1</v>
      </c>
      <c r="CL291" t="s">
        <v>387</v>
      </c>
      <c r="CO291" t="s">
        <v>1635</v>
      </c>
      <c r="CR291" t="b">
        <v>1</v>
      </c>
      <c r="CT291">
        <v>10.0</v>
      </c>
      <c r="CU291">
        <v>5.0</v>
      </c>
      <c r="CX291" s="4" t="s">
        <v>6430</v>
      </c>
      <c r="CZ291" s="5">
        <v>44491.71532407407</v>
      </c>
      <c r="DA291" t="s">
        <v>6431</v>
      </c>
    </row>
    <row r="292">
      <c r="A292" t="s">
        <v>98</v>
      </c>
      <c r="D292" t="s">
        <v>6432</v>
      </c>
      <c r="E292" t="s">
        <v>6433</v>
      </c>
      <c r="F292" s="2">
        <v>38070.0</v>
      </c>
      <c r="G292" t="s">
        <v>1466</v>
      </c>
      <c r="I292" s="3" t="str">
        <f>HYPERLINK("https://api.typeform.com/responses/files/d810720b5a2d602715b4c1ff1de61d08b76cb69cf6096ec9f46ef85ffbfc9e95/IMG_20211021_150245.jpg")</f>
        <v>https://api.typeform.com/responses/files/d810720b5a2d602715b4c1ff1de61d08b76cb69cf6096ec9f46ef85ffbfc9e95/IMG_20211021_150245.jpg</v>
      </c>
      <c r="J292" t="s">
        <v>6434</v>
      </c>
      <c r="K292" t="b">
        <v>1</v>
      </c>
      <c r="L292" s="4" t="s">
        <v>6435</v>
      </c>
      <c r="M292" t="s">
        <v>6436</v>
      </c>
      <c r="N292" t="s">
        <v>354</v>
      </c>
      <c r="O292" t="s">
        <v>6437</v>
      </c>
      <c r="P292" t="s">
        <v>6438</v>
      </c>
      <c r="Q292" t="s">
        <v>189</v>
      </c>
      <c r="R292" t="s">
        <v>6439</v>
      </c>
      <c r="S292" t="s">
        <v>6436</v>
      </c>
      <c r="T292" s="4" t="s">
        <v>6440</v>
      </c>
      <c r="U292" t="s">
        <v>2313</v>
      </c>
      <c r="V292" t="s">
        <v>6441</v>
      </c>
      <c r="W292" t="s">
        <v>261</v>
      </c>
      <c r="Y292" t="s">
        <v>158</v>
      </c>
      <c r="Z292" t="s">
        <v>262</v>
      </c>
      <c r="AC292" s="3" t="str">
        <f>HYPERLINK("https://api.typeform.com/responses/files/6ab587b10e4500f519052773027e839ee6e4e3de783d987f81182c82158fdc78/20211021_151708__1_.jpg")</f>
        <v>https://api.typeform.com/responses/files/6ab587b10e4500f519052773027e839ee6e4e3de783d987f81182c82158fdc78/20211021_151708__1_.jpg</v>
      </c>
      <c r="AD292" t="s">
        <v>118</v>
      </c>
      <c r="AE292" t="s">
        <v>729</v>
      </c>
      <c r="AF292" t="s">
        <v>6442</v>
      </c>
      <c r="AG292">
        <v>16.0</v>
      </c>
      <c r="AH292" t="s">
        <v>620</v>
      </c>
      <c r="AI292" t="s">
        <v>205</v>
      </c>
      <c r="AL292" t="s">
        <v>199</v>
      </c>
      <c r="AO292" t="s">
        <v>486</v>
      </c>
      <c r="AP292">
        <v>4.0</v>
      </c>
      <c r="AQ292" t="s">
        <v>2240</v>
      </c>
      <c r="AR292" t="s">
        <v>6443</v>
      </c>
      <c r="AS292" t="b">
        <v>1</v>
      </c>
      <c r="AT292" t="b">
        <v>1</v>
      </c>
      <c r="AV292">
        <v>4.0</v>
      </c>
      <c r="AW292" t="b">
        <v>0</v>
      </c>
      <c r="AZ292" t="b">
        <v>0</v>
      </c>
      <c r="BA292" t="b">
        <v>0</v>
      </c>
      <c r="BD292" t="s">
        <v>6443</v>
      </c>
      <c r="BH292" t="s">
        <v>132</v>
      </c>
      <c r="BI292">
        <v>2.0</v>
      </c>
      <c r="BJ292" t="s">
        <v>620</v>
      </c>
      <c r="BK292">
        <v>1.0</v>
      </c>
      <c r="BL292">
        <v>2.0</v>
      </c>
      <c r="BM292" t="s">
        <v>6444</v>
      </c>
      <c r="BN292">
        <v>1.0</v>
      </c>
      <c r="BO292">
        <v>1.0</v>
      </c>
      <c r="BP292" t="s">
        <v>6445</v>
      </c>
      <c r="BQ292" t="s">
        <v>945</v>
      </c>
      <c r="BR292" t="s">
        <v>6446</v>
      </c>
      <c r="BS292" t="s">
        <v>6447</v>
      </c>
      <c r="BU292" t="s">
        <v>620</v>
      </c>
      <c r="BV292" s="3" t="str">
        <f>HYPERLINK("https://api.typeform.com/responses/files/cf2f186a9074464f642a1c414bb9664e991a26ca4de67d17c613f3792416c895/20211022_141614__1_.jpg")</f>
        <v>https://api.typeform.com/responses/files/cf2f186a9074464f642a1c414bb9664e991a26ca4de67d17c613f3792416c895/20211022_141614__1_.jpg</v>
      </c>
      <c r="BW292" t="b">
        <v>1</v>
      </c>
      <c r="BX292" t="s">
        <v>1394</v>
      </c>
      <c r="BY292" t="s">
        <v>140</v>
      </c>
      <c r="CA292" t="s">
        <v>1395</v>
      </c>
      <c r="CD292">
        <v>0.0</v>
      </c>
      <c r="CF292" t="b">
        <v>1</v>
      </c>
      <c r="CG292" t="b">
        <v>1</v>
      </c>
      <c r="CH292" t="s">
        <v>1935</v>
      </c>
      <c r="CJ292" t="b">
        <v>0</v>
      </c>
      <c r="CK292" t="b">
        <v>0</v>
      </c>
      <c r="CL292" t="s">
        <v>2301</v>
      </c>
      <c r="CO292" t="s">
        <v>6448</v>
      </c>
      <c r="CR292" t="b">
        <v>1</v>
      </c>
      <c r="CT292">
        <v>1.0</v>
      </c>
      <c r="CU292">
        <v>0.0</v>
      </c>
      <c r="CX292" s="4" t="s">
        <v>6449</v>
      </c>
      <c r="CZ292" s="5">
        <v>44491.77690972222</v>
      </c>
      <c r="DA292" t="s">
        <v>6450</v>
      </c>
    </row>
    <row r="293">
      <c r="A293" t="s">
        <v>98</v>
      </c>
      <c r="D293" t="s">
        <v>6451</v>
      </c>
      <c r="E293" t="s">
        <v>6452</v>
      </c>
      <c r="F293" s="2">
        <v>38630.0</v>
      </c>
      <c r="G293" t="s">
        <v>1466</v>
      </c>
      <c r="I293" s="3" t="str">
        <f>HYPERLINK("ff23a41f0548-20211007_151503_HDR.jpg")</f>
        <v>ff23a41f0548-20211007_151503_HDR.jpg</v>
      </c>
      <c r="J293" t="s">
        <v>6453</v>
      </c>
      <c r="K293" t="b">
        <v>1</v>
      </c>
      <c r="L293" s="4" t="s">
        <v>6454</v>
      </c>
      <c r="M293" t="s">
        <v>6455</v>
      </c>
      <c r="N293" t="s">
        <v>354</v>
      </c>
      <c r="P293" t="s">
        <v>6456</v>
      </c>
      <c r="Q293" t="s">
        <v>189</v>
      </c>
      <c r="R293" t="s">
        <v>6457</v>
      </c>
      <c r="S293" t="s">
        <v>6458</v>
      </c>
      <c r="T293" s="4" t="s">
        <v>6459</v>
      </c>
      <c r="U293" t="s">
        <v>6460</v>
      </c>
      <c r="V293" t="s">
        <v>4664</v>
      </c>
      <c r="W293" t="s">
        <v>2290</v>
      </c>
      <c r="Y293" t="s">
        <v>158</v>
      </c>
      <c r="Z293" t="s">
        <v>262</v>
      </c>
      <c r="AC293" s="3" t="str">
        <f>HYPERLINK("https://api.typeform.com/responses/files/c56cd34495eb85ff0ecd9fb3afa8c66209de7b6b56680f1845f2a702c56b491e/20211008_130458.jpg")</f>
        <v>https://api.typeform.com/responses/files/c56cd34495eb85ff0ecd9fb3afa8c66209de7b6b56680f1845f2a702c56b491e/20211008_130458.jpg</v>
      </c>
      <c r="AD293" t="s">
        <v>118</v>
      </c>
      <c r="AE293" t="s">
        <v>1780</v>
      </c>
      <c r="AI293" t="s">
        <v>386</v>
      </c>
      <c r="AL293" t="s">
        <v>199</v>
      </c>
      <c r="AO293" t="s">
        <v>335</v>
      </c>
      <c r="AP293">
        <v>1.0</v>
      </c>
      <c r="AQ293" t="s">
        <v>201</v>
      </c>
      <c r="AR293" t="s">
        <v>6461</v>
      </c>
      <c r="AS293" t="b">
        <v>1</v>
      </c>
      <c r="AT293" t="b">
        <v>0</v>
      </c>
      <c r="AV293">
        <v>4.0</v>
      </c>
      <c r="AW293" t="b">
        <v>0</v>
      </c>
      <c r="AZ293" t="b">
        <v>0</v>
      </c>
      <c r="BA293" t="b">
        <v>1</v>
      </c>
      <c r="BB293" t="b">
        <v>0</v>
      </c>
      <c r="BC293" t="s">
        <v>6462</v>
      </c>
      <c r="BH293" t="s">
        <v>132</v>
      </c>
      <c r="BI293">
        <v>1.0</v>
      </c>
      <c r="BJ293" t="s">
        <v>679</v>
      </c>
      <c r="BK293">
        <v>5.0</v>
      </c>
      <c r="BL293">
        <v>4.0</v>
      </c>
      <c r="BM293" t="s">
        <v>6463</v>
      </c>
      <c r="BN293">
        <v>1.0</v>
      </c>
      <c r="BO293">
        <v>7.0</v>
      </c>
      <c r="BP293" t="s">
        <v>6464</v>
      </c>
      <c r="BQ293" t="s">
        <v>3464</v>
      </c>
      <c r="BR293" t="s">
        <v>6465</v>
      </c>
      <c r="BS293" t="s">
        <v>6466</v>
      </c>
      <c r="BU293" t="s">
        <v>606</v>
      </c>
      <c r="BV293" s="3" t="str">
        <f>HYPERLINK("https://api.typeform.com/responses/files/7c59423718fbabc9955fa414fea61ccfd9c597f2891d2b268a182ffddabd1df4/speakhire.jpg")</f>
        <v>https://api.typeform.com/responses/files/7c59423718fbabc9955fa414fea61ccfd9c597f2891d2b268a182ffddabd1df4/speakhire.jpg</v>
      </c>
      <c r="BW293" t="b">
        <v>1</v>
      </c>
      <c r="BX293" t="s">
        <v>1394</v>
      </c>
      <c r="BY293" t="s">
        <v>140</v>
      </c>
      <c r="CA293" t="s">
        <v>1395</v>
      </c>
      <c r="CD293">
        <v>0.0</v>
      </c>
      <c r="CF293" t="b">
        <v>1</v>
      </c>
      <c r="CG293" t="b">
        <v>1</v>
      </c>
      <c r="CH293" t="s">
        <v>4869</v>
      </c>
      <c r="CJ293" t="b">
        <v>1</v>
      </c>
      <c r="CK293" t="b">
        <v>1</v>
      </c>
      <c r="CL293" t="s">
        <v>387</v>
      </c>
      <c r="CO293" t="s">
        <v>6467</v>
      </c>
      <c r="CR293" t="b">
        <v>1</v>
      </c>
      <c r="CT293">
        <v>0.0</v>
      </c>
      <c r="CU293">
        <v>0.0</v>
      </c>
      <c r="CX293" s="4" t="s">
        <v>6468</v>
      </c>
      <c r="CZ293" s="5">
        <v>44492.808217592596</v>
      </c>
      <c r="DA293" t="s">
        <v>6469</v>
      </c>
    </row>
    <row r="294">
      <c r="A294" t="s">
        <v>98</v>
      </c>
      <c r="D294" t="s">
        <v>6470</v>
      </c>
      <c r="E294" t="s">
        <v>6471</v>
      </c>
      <c r="F294" s="2">
        <v>37421.0</v>
      </c>
      <c r="G294" t="s">
        <v>1466</v>
      </c>
      <c r="I294" s="3" t="str">
        <f>HYPERLINK("e109d45455ce-Fabian_Picture.JPG_2.JPG")</f>
        <v>e109d45455ce-Fabian_Picture.JPG_2.JPG</v>
      </c>
      <c r="J294" t="s">
        <v>6472</v>
      </c>
      <c r="K294" t="b">
        <v>1</v>
      </c>
      <c r="L294" s="4" t="s">
        <v>6473</v>
      </c>
      <c r="M294" t="s">
        <v>6474</v>
      </c>
      <c r="N294" t="s">
        <v>149</v>
      </c>
      <c r="P294" t="s">
        <v>6475</v>
      </c>
      <c r="Q294" t="s">
        <v>189</v>
      </c>
      <c r="R294" t="s">
        <v>6476</v>
      </c>
      <c r="S294" t="s">
        <v>6474</v>
      </c>
      <c r="T294" s="4" t="s">
        <v>6477</v>
      </c>
      <c r="U294" t="s">
        <v>6478</v>
      </c>
      <c r="V294" t="s">
        <v>6479</v>
      </c>
      <c r="W294" t="s">
        <v>261</v>
      </c>
      <c r="Y294" t="s">
        <v>158</v>
      </c>
      <c r="Z294" t="s">
        <v>262</v>
      </c>
      <c r="AC294" s="3" t="str">
        <f>HYPERLINK("https://api.typeform.com/responses/files/4bcbd563cedd5f5f27505c7190a9eca6f89d094f552bfff8bfa39533b6ae6bed/Douglas_carrasco__T.pdf")</f>
        <v>https://api.typeform.com/responses/files/4bcbd563cedd5f5f27505c7190a9eca6f89d094f552bfff8bfa39533b6ae6bed/Douglas_carrasco__T.pdf</v>
      </c>
      <c r="AD294" t="s">
        <v>118</v>
      </c>
      <c r="AE294" t="s">
        <v>729</v>
      </c>
      <c r="AF294" t="s">
        <v>1019</v>
      </c>
      <c r="AG294">
        <v>16.0</v>
      </c>
      <c r="AH294" t="s">
        <v>3275</v>
      </c>
      <c r="AI294" t="s">
        <v>386</v>
      </c>
      <c r="AK294" t="s">
        <v>620</v>
      </c>
      <c r="AL294" t="s">
        <v>1043</v>
      </c>
      <c r="AO294" t="s">
        <v>125</v>
      </c>
      <c r="AP294">
        <v>4.0</v>
      </c>
      <c r="AQ294" t="s">
        <v>201</v>
      </c>
      <c r="AR294" t="s">
        <v>6480</v>
      </c>
      <c r="AS294" t="b">
        <v>1</v>
      </c>
      <c r="AT294" t="b">
        <v>1</v>
      </c>
      <c r="AV294">
        <v>5.0</v>
      </c>
      <c r="AW294" t="b">
        <v>1</v>
      </c>
      <c r="AX294" t="s">
        <v>1902</v>
      </c>
      <c r="AY294" s="4" t="s">
        <v>518</v>
      </c>
      <c r="AZ294" t="b">
        <v>1</v>
      </c>
      <c r="BA294" t="b">
        <v>0</v>
      </c>
      <c r="BD294" t="s">
        <v>6481</v>
      </c>
      <c r="BH294" t="s">
        <v>132</v>
      </c>
      <c r="BI294">
        <v>1.0</v>
      </c>
      <c r="BJ294" t="s">
        <v>6482</v>
      </c>
      <c r="BK294">
        <v>2.0</v>
      </c>
      <c r="BL294">
        <v>4.0</v>
      </c>
      <c r="BM294" t="s">
        <v>6483</v>
      </c>
      <c r="BN294">
        <v>4.0</v>
      </c>
      <c r="BO294">
        <v>2.0</v>
      </c>
      <c r="BP294" t="s">
        <v>6484</v>
      </c>
      <c r="BQ294" t="s">
        <v>6485</v>
      </c>
      <c r="BR294" t="s">
        <v>6486</v>
      </c>
      <c r="BS294" t="s">
        <v>6487</v>
      </c>
      <c r="BU294" t="s">
        <v>620</v>
      </c>
      <c r="BV294" s="3" t="str">
        <f>HYPERLINK("https://api.typeform.com/responses/files/b3c71510a5f9fbacf650ace17df803e744309a13c690353ce539cdd3934ed1f2/Douglas__Fabian__Carrasco__Consent_form.pdf")</f>
        <v>https://api.typeform.com/responses/files/b3c71510a5f9fbacf650ace17df803e744309a13c690353ce539cdd3934ed1f2/Douglas__Fabian__Carrasco__Consent_form.pdf</v>
      </c>
      <c r="BW294" t="b">
        <v>1</v>
      </c>
      <c r="BX294" t="s">
        <v>1394</v>
      </c>
      <c r="BY294" t="s">
        <v>140</v>
      </c>
      <c r="CA294" t="s">
        <v>1395</v>
      </c>
      <c r="CD294">
        <v>0.0</v>
      </c>
      <c r="CF294" t="b">
        <v>0</v>
      </c>
      <c r="CG294" t="b">
        <v>1</v>
      </c>
      <c r="CH294" t="s">
        <v>1557</v>
      </c>
      <c r="CJ294" t="b">
        <v>1</v>
      </c>
      <c r="CK294" t="b">
        <v>0</v>
      </c>
      <c r="CL294" t="s">
        <v>387</v>
      </c>
      <c r="CM294" t="s">
        <v>387</v>
      </c>
      <c r="CO294" t="s">
        <v>1635</v>
      </c>
      <c r="CR294" t="b">
        <v>1</v>
      </c>
      <c r="CT294">
        <v>7.0</v>
      </c>
      <c r="CU294">
        <v>1.0</v>
      </c>
      <c r="CX294" s="4" t="s">
        <v>6488</v>
      </c>
      <c r="CZ294" s="5">
        <v>44494.710856481484</v>
      </c>
      <c r="DA294" t="s">
        <v>6489</v>
      </c>
    </row>
    <row r="295">
      <c r="A295" t="s">
        <v>98</v>
      </c>
      <c r="D295" t="s">
        <v>6490</v>
      </c>
      <c r="E295" t="s">
        <v>6491</v>
      </c>
      <c r="F295" s="2">
        <v>38461.0</v>
      </c>
      <c r="G295" t="s">
        <v>1466</v>
      </c>
      <c r="I295" s="3" t="str">
        <f>HYPERLINK("1eb87a276ef6-30A663B8_479F_441B_BEC3_1C65A9826A8C.jpeg")</f>
        <v>1eb87a276ef6-30A663B8_479F_441B_BEC3_1C65A9826A8C.jpeg</v>
      </c>
      <c r="J295" t="s">
        <v>6492</v>
      </c>
      <c r="K295" t="b">
        <v>1</v>
      </c>
      <c r="L295" s="4" t="s">
        <v>6493</v>
      </c>
      <c r="M295" t="s">
        <v>6494</v>
      </c>
      <c r="N295" t="s">
        <v>149</v>
      </c>
      <c r="P295" t="s">
        <v>6495</v>
      </c>
      <c r="Q295" t="s">
        <v>563</v>
      </c>
      <c r="R295" t="s">
        <v>6492</v>
      </c>
      <c r="S295" t="s">
        <v>6496</v>
      </c>
      <c r="T295" s="4" t="s">
        <v>6497</v>
      </c>
      <c r="U295" t="s">
        <v>3028</v>
      </c>
      <c r="V295" t="s">
        <v>4926</v>
      </c>
      <c r="W295" t="s">
        <v>261</v>
      </c>
      <c r="Y295" t="s">
        <v>158</v>
      </c>
      <c r="Z295" t="s">
        <v>262</v>
      </c>
      <c r="AC295" s="3" t="str">
        <f>HYPERLINK("https://api.typeform.com/responses/files/a56f8e854536b045aa1a44aea9d99e65b5f5c5c866ec9be360dad827f35a8dd3/80273179_E6FB_4AB9_806A_8291CCAA65D8.jpeg")</f>
        <v>https://api.typeform.com/responses/files/a56f8e854536b045aa1a44aea9d99e65b5f5c5c866ec9be360dad827f35a8dd3/80273179_E6FB_4AB9_806A_8291CCAA65D8.jpeg</v>
      </c>
      <c r="AD295" t="s">
        <v>118</v>
      </c>
      <c r="AE295" t="s">
        <v>729</v>
      </c>
      <c r="AF295" t="s">
        <v>2724</v>
      </c>
      <c r="AG295">
        <v>12.0</v>
      </c>
      <c r="AH295" s="4" t="s">
        <v>1428</v>
      </c>
      <c r="AI295" t="s">
        <v>386</v>
      </c>
      <c r="AK295" t="s">
        <v>139</v>
      </c>
      <c r="AL295" t="s">
        <v>460</v>
      </c>
      <c r="AO295" t="s">
        <v>335</v>
      </c>
      <c r="AP295">
        <v>3.0</v>
      </c>
      <c r="AQ295" t="s">
        <v>1520</v>
      </c>
      <c r="AR295" t="s">
        <v>6498</v>
      </c>
      <c r="AS295" t="b">
        <v>1</v>
      </c>
      <c r="AT295" t="b">
        <v>1</v>
      </c>
      <c r="AV295">
        <v>3.0</v>
      </c>
      <c r="AW295" t="b">
        <v>1</v>
      </c>
      <c r="AX295" s="4" t="s">
        <v>130</v>
      </c>
      <c r="AY295" s="4" t="s">
        <v>518</v>
      </c>
      <c r="AZ295" t="b">
        <v>0</v>
      </c>
      <c r="BA295" t="b">
        <v>0</v>
      </c>
      <c r="BD295" t="s">
        <v>6498</v>
      </c>
      <c r="BH295" t="s">
        <v>132</v>
      </c>
      <c r="BI295">
        <v>4.0</v>
      </c>
      <c r="BJ295" t="s">
        <v>6499</v>
      </c>
      <c r="BK295">
        <v>4.0</v>
      </c>
      <c r="BL295">
        <v>4.0</v>
      </c>
      <c r="BM295" t="s">
        <v>6499</v>
      </c>
      <c r="BN295">
        <v>4.0</v>
      </c>
      <c r="BO295">
        <v>4.0</v>
      </c>
      <c r="BP295" t="s">
        <v>6500</v>
      </c>
      <c r="BQ295" t="s">
        <v>6363</v>
      </c>
      <c r="BR295" t="s">
        <v>6501</v>
      </c>
      <c r="BS295" t="s">
        <v>6502</v>
      </c>
      <c r="BU295" t="s">
        <v>139</v>
      </c>
      <c r="BV295" s="3" t="str">
        <f>HYPERLINK("https://api.typeform.com/responses/files/20cbea21b5470111c279534a0dc02fcad1fddf3fdee877ffecced6c9b2551210/86D172B0_9C4F_4BE6_8674_2D885D65D36C.jpeg")</f>
        <v>https://api.typeform.com/responses/files/20cbea21b5470111c279534a0dc02fcad1fddf3fdee877ffecced6c9b2551210/86D172B0_9C4F_4BE6_8674_2D885D65D36C.jpeg</v>
      </c>
      <c r="BW295" t="b">
        <v>1</v>
      </c>
      <c r="BX295" t="s">
        <v>1394</v>
      </c>
      <c r="BY295" t="s">
        <v>140</v>
      </c>
      <c r="CA295" t="s">
        <v>1395</v>
      </c>
      <c r="CD295">
        <v>0.0</v>
      </c>
      <c r="CF295" t="b">
        <v>1</v>
      </c>
      <c r="CG295" t="b">
        <v>1</v>
      </c>
      <c r="CH295" t="s">
        <v>1420</v>
      </c>
      <c r="CJ295" t="b">
        <v>1</v>
      </c>
      <c r="CK295" t="b">
        <v>1</v>
      </c>
      <c r="CL295" t="s">
        <v>413</v>
      </c>
      <c r="CM295" t="s">
        <v>413</v>
      </c>
      <c r="CO295" t="s">
        <v>6503</v>
      </c>
      <c r="CQ295" t="s">
        <v>413</v>
      </c>
      <c r="CR295" t="b">
        <v>1</v>
      </c>
      <c r="CT295">
        <v>0.0</v>
      </c>
      <c r="CU295">
        <v>0.0</v>
      </c>
      <c r="CX295" s="4" t="s">
        <v>6504</v>
      </c>
      <c r="CZ295" s="5">
        <v>44495.71710648148</v>
      </c>
      <c r="DA295" t="s">
        <v>6505</v>
      </c>
    </row>
    <row r="296">
      <c r="A296" t="s">
        <v>98</v>
      </c>
      <c r="D296" t="s">
        <v>6506</v>
      </c>
      <c r="E296" t="s">
        <v>6507</v>
      </c>
      <c r="F296" s="2">
        <v>38565.0</v>
      </c>
      <c r="G296" t="s">
        <v>1466</v>
      </c>
      <c r="I296" s="3" t="str">
        <f>HYPERLINK("https://api.typeform.com/responses/files/166d75fd478977852177ebd25b975ccb140d309d2d65b31d9f57e885ca33204d/SPEAKHIRE_Parent.Guardian_Consent_Form.pdf")</f>
        <v>https://api.typeform.com/responses/files/166d75fd478977852177ebd25b975ccb140d309d2d65b31d9f57e885ca33204d/SPEAKHIRE_Parent.Guardian_Consent_Form.pdf</v>
      </c>
      <c r="J296" t="s">
        <v>6508</v>
      </c>
      <c r="K296" t="b">
        <v>1</v>
      </c>
      <c r="L296" s="4" t="s">
        <v>6509</v>
      </c>
      <c r="M296" t="s">
        <v>6510</v>
      </c>
      <c r="N296" t="s">
        <v>255</v>
      </c>
      <c r="P296" t="s">
        <v>6511</v>
      </c>
      <c r="Q296" t="s">
        <v>152</v>
      </c>
      <c r="R296" t="s">
        <v>6508</v>
      </c>
      <c r="S296" t="s">
        <v>6510</v>
      </c>
      <c r="T296" s="4" t="s">
        <v>6509</v>
      </c>
      <c r="U296" t="s">
        <v>2313</v>
      </c>
      <c r="V296" t="s">
        <v>4664</v>
      </c>
      <c r="W296" t="s">
        <v>2290</v>
      </c>
      <c r="Y296" t="s">
        <v>158</v>
      </c>
      <c r="Z296" t="s">
        <v>262</v>
      </c>
      <c r="AC296" s="3" t="str">
        <f>HYPERLINK("https://api.typeform.com/responses/files/74b9d439ef25284fb5f0184cec4dcccd361ff55407af2bb271fefe8fca28db7f/SPEAKHIRE_Parent.Guardian_Consent_Form.pdf")</f>
        <v>https://api.typeform.com/responses/files/74b9d439ef25284fb5f0184cec4dcccd361ff55407af2bb271fefe8fca28db7f/SPEAKHIRE_Parent.Guardian_Consent_Form.pdf</v>
      </c>
      <c r="AD296" t="s">
        <v>118</v>
      </c>
      <c r="AE296" t="s">
        <v>729</v>
      </c>
      <c r="AF296" t="s">
        <v>459</v>
      </c>
      <c r="AG296">
        <v>16.0</v>
      </c>
      <c r="AH296" s="4" t="s">
        <v>339</v>
      </c>
      <c r="AI296" t="s">
        <v>121</v>
      </c>
      <c r="AK296" t="s">
        <v>6512</v>
      </c>
      <c r="AL296" t="s">
        <v>460</v>
      </c>
      <c r="AO296" t="s">
        <v>486</v>
      </c>
      <c r="AP296">
        <v>7.0</v>
      </c>
      <c r="AQ296" t="s">
        <v>4222</v>
      </c>
      <c r="AR296" t="s">
        <v>6513</v>
      </c>
      <c r="AS296" t="b">
        <v>1</v>
      </c>
      <c r="AT296" t="b">
        <v>1</v>
      </c>
      <c r="AV296">
        <v>7.0</v>
      </c>
      <c r="AW296" t="b">
        <v>0</v>
      </c>
      <c r="AZ296" t="b">
        <v>0</v>
      </c>
      <c r="BA296" t="b">
        <v>0</v>
      </c>
      <c r="BD296" t="s">
        <v>6514</v>
      </c>
      <c r="BH296" t="s">
        <v>132</v>
      </c>
      <c r="BI296">
        <v>7.0</v>
      </c>
      <c r="BJ296" t="s">
        <v>6515</v>
      </c>
      <c r="BK296">
        <v>6.0</v>
      </c>
      <c r="BL296">
        <v>7.0</v>
      </c>
      <c r="BM296" t="s">
        <v>6516</v>
      </c>
      <c r="BN296">
        <v>6.0</v>
      </c>
      <c r="BO296">
        <v>6.0</v>
      </c>
      <c r="BP296" t="s">
        <v>6517</v>
      </c>
      <c r="BQ296" t="s">
        <v>1931</v>
      </c>
      <c r="BR296" t="s">
        <v>6518</v>
      </c>
      <c r="BS296" t="s">
        <v>6519</v>
      </c>
      <c r="BU296" t="s">
        <v>6520</v>
      </c>
      <c r="BV296" s="3" t="str">
        <f>HYPERLINK("https://api.typeform.com/responses/files/efa911f4c2a527f63cfacadd874fae64947522bb2d2906f61e1c912fb10b9d3d/SPEAKHIRE_Parent.Guardian_Consent_Form.pdf")</f>
        <v>https://api.typeform.com/responses/files/efa911f4c2a527f63cfacadd874fae64947522bb2d2906f61e1c912fb10b9d3d/SPEAKHIRE_Parent.Guardian_Consent_Form.pdf</v>
      </c>
      <c r="BW296" t="b">
        <v>1</v>
      </c>
      <c r="BX296" t="s">
        <v>1394</v>
      </c>
      <c r="BY296" t="s">
        <v>822</v>
      </c>
      <c r="BZ296" t="s">
        <v>1419</v>
      </c>
      <c r="CD296">
        <v>0.0</v>
      </c>
      <c r="CF296" t="b">
        <v>1</v>
      </c>
      <c r="CG296" t="b">
        <v>1</v>
      </c>
      <c r="CH296" t="s">
        <v>1420</v>
      </c>
      <c r="CJ296" t="b">
        <v>1</v>
      </c>
      <c r="CK296" t="b">
        <v>1</v>
      </c>
      <c r="CL296" t="s">
        <v>810</v>
      </c>
      <c r="CM296" t="s">
        <v>362</v>
      </c>
      <c r="CO296" t="s">
        <v>179</v>
      </c>
      <c r="CQ296" t="s">
        <v>362</v>
      </c>
      <c r="CR296" t="b">
        <v>1</v>
      </c>
      <c r="CT296">
        <v>0.0</v>
      </c>
      <c r="CU296">
        <v>0.0</v>
      </c>
      <c r="CX296" s="4" t="s">
        <v>6521</v>
      </c>
      <c r="CZ296" s="5">
        <v>44495.71770833333</v>
      </c>
      <c r="DA296" t="s">
        <v>6522</v>
      </c>
    </row>
    <row r="297">
      <c r="A297" t="s">
        <v>98</v>
      </c>
      <c r="D297" t="s">
        <v>6523</v>
      </c>
      <c r="E297" t="s">
        <v>6524</v>
      </c>
      <c r="F297" s="2">
        <v>37650.0</v>
      </c>
      <c r="G297" t="s">
        <v>1360</v>
      </c>
      <c r="I297" s="3" t="str">
        <f>HYPERLINK("7e60f38b796b-IMG_3321.jpg")</f>
        <v>7e60f38b796b-IMG_3321.jpg</v>
      </c>
      <c r="J297" t="s">
        <v>6525</v>
      </c>
      <c r="K297" t="b">
        <v>1</v>
      </c>
      <c r="L297" s="4" t="s">
        <v>6526</v>
      </c>
      <c r="M297" t="s">
        <v>6527</v>
      </c>
      <c r="N297" t="s">
        <v>149</v>
      </c>
      <c r="O297" t="s">
        <v>6528</v>
      </c>
      <c r="P297" t="s">
        <v>6529</v>
      </c>
      <c r="Q297" t="s">
        <v>189</v>
      </c>
      <c r="R297" t="s">
        <v>6530</v>
      </c>
      <c r="S297" t="s">
        <v>6531</v>
      </c>
      <c r="T297" s="4" t="s">
        <v>6532</v>
      </c>
      <c r="U297" t="s">
        <v>6533</v>
      </c>
      <c r="V297" t="s">
        <v>6534</v>
      </c>
      <c r="W297" t="s">
        <v>2290</v>
      </c>
      <c r="Y297" t="s">
        <v>158</v>
      </c>
      <c r="Z297" t="s">
        <v>262</v>
      </c>
      <c r="AC297" s="3" t="str">
        <f>HYPERLINK("1b7f2b7ce913-IMG_4848.jpg")</f>
        <v>1b7f2b7ce913-IMG_4848.jpg</v>
      </c>
      <c r="AD297" t="s">
        <v>1014</v>
      </c>
      <c r="AE297" t="s">
        <v>729</v>
      </c>
      <c r="AF297" t="s">
        <v>6535</v>
      </c>
      <c r="AG297">
        <v>16.0</v>
      </c>
      <c r="AH297" t="s">
        <v>6536</v>
      </c>
      <c r="AI297" t="s">
        <v>543</v>
      </c>
      <c r="AK297" t="s">
        <v>6537</v>
      </c>
      <c r="AL297" t="s">
        <v>1043</v>
      </c>
      <c r="AO297" t="s">
        <v>335</v>
      </c>
      <c r="AP297">
        <v>5.0</v>
      </c>
      <c r="AQ297" t="s">
        <v>201</v>
      </c>
      <c r="AR297" t="s">
        <v>6538</v>
      </c>
      <c r="AS297" t="b">
        <v>1</v>
      </c>
      <c r="AT297" t="b">
        <v>1</v>
      </c>
      <c r="AV297">
        <v>6.0</v>
      </c>
      <c r="AW297" t="b">
        <v>1</v>
      </c>
      <c r="AX297" t="s">
        <v>1902</v>
      </c>
      <c r="AY297" s="4" t="s">
        <v>170</v>
      </c>
      <c r="AZ297" t="b">
        <v>1</v>
      </c>
      <c r="BA297" t="b">
        <v>1</v>
      </c>
      <c r="BB297" t="b">
        <v>1</v>
      </c>
      <c r="BC297" t="s">
        <v>6539</v>
      </c>
      <c r="BH297" t="s">
        <v>132</v>
      </c>
      <c r="BI297">
        <v>5.0</v>
      </c>
      <c r="BJ297" t="s">
        <v>6540</v>
      </c>
      <c r="BK297">
        <v>5.0</v>
      </c>
      <c r="BL297">
        <v>4.0</v>
      </c>
      <c r="BM297" t="s">
        <v>6541</v>
      </c>
      <c r="BN297">
        <v>4.0</v>
      </c>
      <c r="BO297">
        <v>6.0</v>
      </c>
      <c r="BP297" t="s">
        <v>6542</v>
      </c>
      <c r="BQ297" t="s">
        <v>5850</v>
      </c>
      <c r="BR297" t="s">
        <v>6543</v>
      </c>
      <c r="BS297" t="s">
        <v>6544</v>
      </c>
      <c r="BU297" t="s">
        <v>6545</v>
      </c>
      <c r="BV297" s="3" t="str">
        <f>HYPERLINK("https://api.typeform.com/responses/files/5fb679e5a1124309ef845b10059e8ff63a7921179fec02195aa40fba386b526c/IMG_5368.jpg")</f>
        <v>https://api.typeform.com/responses/files/5fb679e5a1124309ef845b10059e8ff63a7921179fec02195aa40fba386b526c/IMG_5368.jpg</v>
      </c>
      <c r="BW297" t="b">
        <v>1</v>
      </c>
      <c r="BX297" t="s">
        <v>1394</v>
      </c>
      <c r="BY297" t="s">
        <v>140</v>
      </c>
      <c r="CA297" t="s">
        <v>1395</v>
      </c>
      <c r="CD297">
        <v>0.0</v>
      </c>
      <c r="CF297" t="b">
        <v>1</v>
      </c>
      <c r="CG297" t="b">
        <v>1</v>
      </c>
      <c r="CH297" t="s">
        <v>6546</v>
      </c>
      <c r="CJ297" t="b">
        <v>1</v>
      </c>
      <c r="CK297" t="b">
        <v>1</v>
      </c>
      <c r="CL297" t="s">
        <v>387</v>
      </c>
      <c r="CM297" t="s">
        <v>387</v>
      </c>
      <c r="CN297" t="s">
        <v>6547</v>
      </c>
      <c r="CO297" t="s">
        <v>2888</v>
      </c>
      <c r="CQ297" t="s">
        <v>387</v>
      </c>
      <c r="CR297" t="b">
        <v>1</v>
      </c>
      <c r="CT297">
        <v>2.0</v>
      </c>
      <c r="CU297">
        <v>2.0</v>
      </c>
      <c r="CX297" s="4" t="s">
        <v>6548</v>
      </c>
      <c r="CZ297" s="5">
        <v>44495.73368055555</v>
      </c>
      <c r="DA297" t="s">
        <v>6549</v>
      </c>
    </row>
    <row r="298">
      <c r="A298" t="s">
        <v>98</v>
      </c>
      <c r="D298" t="s">
        <v>6550</v>
      </c>
      <c r="E298" t="s">
        <v>6551</v>
      </c>
      <c r="F298" s="2">
        <v>38341.0</v>
      </c>
      <c r="G298" t="s">
        <v>1360</v>
      </c>
      <c r="I298" s="3" t="str">
        <f>HYPERLINK("https://api.typeform.com/responses/files/fc074d249791dfb6802fb2bde4c263d0bf65cee504dd3e7721b627ef1f6fe5ea/Screenshot_2021_10_25_3.38.36_PM.png")</f>
        <v>https://api.typeform.com/responses/files/fc074d249791dfb6802fb2bde4c263d0bf65cee504dd3e7721b627ef1f6fe5ea/Screenshot_2021_10_25_3.38.36_PM.png</v>
      </c>
      <c r="J298" t="s">
        <v>6552</v>
      </c>
      <c r="K298" t="b">
        <v>1</v>
      </c>
      <c r="L298" s="4" t="s">
        <v>6553</v>
      </c>
      <c r="M298" t="s">
        <v>6554</v>
      </c>
      <c r="N298" t="s">
        <v>149</v>
      </c>
      <c r="O298" t="s">
        <v>258</v>
      </c>
      <c r="P298" t="s">
        <v>6555</v>
      </c>
      <c r="Q298" t="s">
        <v>189</v>
      </c>
      <c r="R298" t="s">
        <v>6556</v>
      </c>
      <c r="S298" t="s">
        <v>6554</v>
      </c>
      <c r="T298" s="4" t="s">
        <v>6557</v>
      </c>
      <c r="U298" t="s">
        <v>6558</v>
      </c>
      <c r="V298" t="s">
        <v>6559</v>
      </c>
      <c r="W298" t="s">
        <v>113</v>
      </c>
      <c r="Y298" t="s">
        <v>158</v>
      </c>
      <c r="Z298" t="s">
        <v>159</v>
      </c>
      <c r="AC298" s="3" t="str">
        <f>HYPERLINK("https://api.typeform.com/responses/files/061087717f16b22a559a59df605330078b320d1c08e915371ef49926a81fbf7c/Screenshot_2021_10_25_3.38.13_PM.png")</f>
        <v>https://api.typeform.com/responses/files/061087717f16b22a559a59df605330078b320d1c08e915371ef49926a81fbf7c/Screenshot_2021_10_25_3.38.13_PM.png</v>
      </c>
      <c r="AD298" t="s">
        <v>118</v>
      </c>
      <c r="AE298" t="s">
        <v>3349</v>
      </c>
      <c r="AF298" t="s">
        <v>6560</v>
      </c>
      <c r="AG298">
        <v>14.0</v>
      </c>
      <c r="AH298" t="s">
        <v>6561</v>
      </c>
      <c r="AI298" t="s">
        <v>162</v>
      </c>
      <c r="AK298" t="s">
        <v>139</v>
      </c>
      <c r="AL298" t="s">
        <v>1043</v>
      </c>
      <c r="AO298" t="s">
        <v>486</v>
      </c>
      <c r="AP298">
        <v>4.0</v>
      </c>
      <c r="AQ298" t="s">
        <v>201</v>
      </c>
      <c r="AR298" t="s">
        <v>3300</v>
      </c>
      <c r="AS298" t="b">
        <v>0</v>
      </c>
      <c r="AV298">
        <v>5.0</v>
      </c>
      <c r="AW298" t="b">
        <v>1</v>
      </c>
      <c r="AX298" s="4" t="s">
        <v>130</v>
      </c>
      <c r="AY298" s="4" t="s">
        <v>518</v>
      </c>
      <c r="AZ298" t="b">
        <v>0</v>
      </c>
      <c r="BA298" t="b">
        <v>0</v>
      </c>
      <c r="BD298" t="s">
        <v>3300</v>
      </c>
      <c r="BH298" t="s">
        <v>132</v>
      </c>
      <c r="BI298">
        <v>4.0</v>
      </c>
      <c r="BJ298" t="s">
        <v>6562</v>
      </c>
      <c r="BK298">
        <v>7.0</v>
      </c>
      <c r="BL298">
        <v>7.0</v>
      </c>
      <c r="BM298" t="s">
        <v>6563</v>
      </c>
      <c r="BN298">
        <v>3.0</v>
      </c>
      <c r="BO298">
        <v>6.0</v>
      </c>
      <c r="BP298" t="s">
        <v>6564</v>
      </c>
      <c r="BQ298" t="s">
        <v>6565</v>
      </c>
      <c r="BR298" t="s">
        <v>6566</v>
      </c>
      <c r="BS298" t="s">
        <v>6567</v>
      </c>
      <c r="BU298" t="s">
        <v>6568</v>
      </c>
      <c r="BV298" s="3" t="str">
        <f>HYPERLINK("https://api.typeform.com/responses/files/e5dbc488b8271cbccc761963440a038801a94d87331fbfc82f883ead92a96cea/SPEAKHIRE_Parent.Guardian_Consent_Form.pdf")</f>
        <v>https://api.typeform.com/responses/files/e5dbc488b8271cbccc761963440a038801a94d87331fbfc82f883ead92a96cea/SPEAKHIRE_Parent.Guardian_Consent_Form.pdf</v>
      </c>
      <c r="BW298" t="b">
        <v>1</v>
      </c>
      <c r="BX298" t="s">
        <v>1394</v>
      </c>
      <c r="BY298" t="s">
        <v>140</v>
      </c>
      <c r="CA298" t="s">
        <v>1395</v>
      </c>
      <c r="CD298">
        <v>0.0</v>
      </c>
      <c r="CF298" t="b">
        <v>1</v>
      </c>
      <c r="CG298" t="b">
        <v>1</v>
      </c>
      <c r="CH298" t="s">
        <v>4188</v>
      </c>
      <c r="CJ298" t="b">
        <v>1</v>
      </c>
      <c r="CK298" t="b">
        <v>1</v>
      </c>
      <c r="CL298" t="s">
        <v>541</v>
      </c>
      <c r="CM298" t="s">
        <v>2301</v>
      </c>
      <c r="CO298" t="s">
        <v>309</v>
      </c>
      <c r="CR298" t="b">
        <v>1</v>
      </c>
      <c r="CT298">
        <v>1.0</v>
      </c>
      <c r="CU298">
        <v>0.0</v>
      </c>
      <c r="CX298" s="4" t="s">
        <v>6569</v>
      </c>
      <c r="CZ298" s="5">
        <v>44495.83164351852</v>
      </c>
      <c r="DA298" t="s">
        <v>6570</v>
      </c>
    </row>
    <row r="299">
      <c r="A299" t="s">
        <v>98</v>
      </c>
      <c r="D299" t="s">
        <v>6571</v>
      </c>
      <c r="E299" t="s">
        <v>6572</v>
      </c>
      <c r="F299" s="2">
        <v>37269.0</v>
      </c>
      <c r="G299" t="s">
        <v>1466</v>
      </c>
      <c r="I299" s="3" t="str">
        <f>HYPERLINK("https://api.typeform.com/responses/files/e3fe1e63fc8d8c5c153561d376207d39d971c19ca9ac47b98e94af28e9601e53/image.jpg")</f>
        <v>https://api.typeform.com/responses/files/e3fe1e63fc8d8c5c153561d376207d39d971c19ca9ac47b98e94af28e9601e53/image.jpg</v>
      </c>
      <c r="J299" t="s">
        <v>6573</v>
      </c>
      <c r="K299" t="b">
        <v>1</v>
      </c>
      <c r="L299" s="4" t="s">
        <v>6574</v>
      </c>
      <c r="M299" t="s">
        <v>6575</v>
      </c>
      <c r="N299" t="s">
        <v>105</v>
      </c>
      <c r="P299" t="s">
        <v>6576</v>
      </c>
      <c r="Q299" t="s">
        <v>152</v>
      </c>
      <c r="R299" t="s">
        <v>6577</v>
      </c>
      <c r="S299" t="s">
        <v>6575</v>
      </c>
      <c r="T299" s="4" t="s">
        <v>6578</v>
      </c>
      <c r="U299" t="s">
        <v>329</v>
      </c>
      <c r="V299" t="s">
        <v>457</v>
      </c>
      <c r="W299" t="s">
        <v>261</v>
      </c>
      <c r="Y299" t="s">
        <v>158</v>
      </c>
      <c r="Z299" t="s">
        <v>262</v>
      </c>
      <c r="AC299" s="3" t="str">
        <f>HYPERLINK("https://api.typeform.com/responses/files/627383e1a5932eccc4e6ae1b14398fed22d69a95d065b21db36a489cbdf831e6/Khadim.pdf")</f>
        <v>https://api.typeform.com/responses/files/627383e1a5932eccc4e6ae1b14398fed22d69a95d065b21db36a489cbdf831e6/Khadim.pdf</v>
      </c>
      <c r="AD299" t="s">
        <v>118</v>
      </c>
      <c r="AE299" t="s">
        <v>729</v>
      </c>
      <c r="AF299" t="s">
        <v>6579</v>
      </c>
      <c r="AG299">
        <v>17.0</v>
      </c>
      <c r="AH299" t="s">
        <v>6580</v>
      </c>
      <c r="AI299" t="s">
        <v>121</v>
      </c>
      <c r="AL299" t="s">
        <v>6581</v>
      </c>
      <c r="AO299" t="s">
        <v>335</v>
      </c>
      <c r="AP299">
        <v>7.0</v>
      </c>
      <c r="AQ299" t="s">
        <v>2240</v>
      </c>
      <c r="AR299" t="s">
        <v>2701</v>
      </c>
      <c r="AS299" t="b">
        <v>1</v>
      </c>
      <c r="AT299" t="b">
        <v>1</v>
      </c>
      <c r="AV299">
        <v>7.0</v>
      </c>
      <c r="AW299" t="b">
        <v>1</v>
      </c>
      <c r="AX299" t="s">
        <v>1481</v>
      </c>
      <c r="AY299" s="4" t="s">
        <v>518</v>
      </c>
      <c r="AZ299" t="b">
        <v>0</v>
      </c>
      <c r="BA299" t="b">
        <v>1</v>
      </c>
      <c r="BB299" t="b">
        <v>0</v>
      </c>
      <c r="BC299" t="s">
        <v>6582</v>
      </c>
      <c r="BH299" t="s">
        <v>132</v>
      </c>
      <c r="BI299">
        <v>1.0</v>
      </c>
      <c r="BJ299" t="s">
        <v>6583</v>
      </c>
      <c r="BK299">
        <v>7.0</v>
      </c>
      <c r="BL299">
        <v>7.0</v>
      </c>
      <c r="BM299" t="s">
        <v>6584</v>
      </c>
      <c r="BN299">
        <v>7.0</v>
      </c>
      <c r="BO299">
        <v>7.0</v>
      </c>
      <c r="BP299" t="s">
        <v>6585</v>
      </c>
      <c r="BQ299" t="s">
        <v>6586</v>
      </c>
      <c r="BR299" t="s">
        <v>6587</v>
      </c>
      <c r="BS299" t="s">
        <v>6588</v>
      </c>
      <c r="BU299" t="s">
        <v>6589</v>
      </c>
      <c r="BV299" s="3" t="str">
        <f>HYPERLINK("https://api.typeform.com/responses/files/c5d97acd919bd93c29f2140d66fd26dbf440ba26318d5189defe291bb07d2e84/Copy_of_SPEAKHIRE_Parent.Guardian_Consent_Form.pdf")</f>
        <v>https://api.typeform.com/responses/files/c5d97acd919bd93c29f2140d66fd26dbf440ba26318d5189defe291bb07d2e84/Copy_of_SPEAKHIRE_Parent.Guardian_Consent_Form.pdf</v>
      </c>
      <c r="BW299" t="b">
        <v>1</v>
      </c>
      <c r="BX299" t="s">
        <v>1394</v>
      </c>
      <c r="BY299" t="s">
        <v>140</v>
      </c>
      <c r="CA299" t="s">
        <v>1395</v>
      </c>
      <c r="CD299">
        <v>0.0</v>
      </c>
      <c r="CF299" t="b">
        <v>1</v>
      </c>
      <c r="CG299" t="b">
        <v>1</v>
      </c>
      <c r="CH299" t="s">
        <v>6590</v>
      </c>
      <c r="CJ299" t="b">
        <v>1</v>
      </c>
      <c r="CK299" t="b">
        <v>1</v>
      </c>
      <c r="CL299" t="s">
        <v>541</v>
      </c>
      <c r="CM299" t="s">
        <v>541</v>
      </c>
      <c r="CO299" t="s">
        <v>124</v>
      </c>
      <c r="CR299" t="b">
        <v>1</v>
      </c>
      <c r="CT299">
        <v>5.0</v>
      </c>
      <c r="CU299">
        <v>4.0</v>
      </c>
      <c r="CX299" t="s">
        <v>6591</v>
      </c>
      <c r="CZ299" s="5">
        <v>44495.94184027778</v>
      </c>
      <c r="DA299" t="s">
        <v>6592</v>
      </c>
    </row>
    <row r="300">
      <c r="A300" t="s">
        <v>98</v>
      </c>
      <c r="D300" t="s">
        <v>6593</v>
      </c>
      <c r="E300" t="s">
        <v>6594</v>
      </c>
      <c r="F300" s="2">
        <v>38036.0</v>
      </c>
      <c r="G300" t="s">
        <v>1360</v>
      </c>
      <c r="I300" s="3" t="str">
        <f>HYPERLINK("https://api.typeform.com/responses/files/43e22e22b5620307dac9d32d9406e4d046dd399923e83bd689cdc1c9f5fc3d6c/A58ADDBB_1B5C_4546_B5A0_475BBEE271D9.jpg")</f>
        <v>https://api.typeform.com/responses/files/43e22e22b5620307dac9d32d9406e4d046dd399923e83bd689cdc1c9f5fc3d6c/A58ADDBB_1B5C_4546_B5A0_475BBEE271D9.jpg</v>
      </c>
      <c r="J300" t="s">
        <v>6595</v>
      </c>
      <c r="K300" t="b">
        <v>1</v>
      </c>
      <c r="L300" s="4" t="s">
        <v>6596</v>
      </c>
      <c r="M300" t="s">
        <v>6597</v>
      </c>
      <c r="N300" t="s">
        <v>255</v>
      </c>
      <c r="P300" t="s">
        <v>6598</v>
      </c>
      <c r="Q300" t="s">
        <v>292</v>
      </c>
      <c r="R300" t="s">
        <v>6599</v>
      </c>
      <c r="S300" t="s">
        <v>6597</v>
      </c>
      <c r="T300" s="4" t="s">
        <v>6600</v>
      </c>
      <c r="U300" t="s">
        <v>6601</v>
      </c>
      <c r="V300" t="s">
        <v>6602</v>
      </c>
      <c r="W300" t="s">
        <v>113</v>
      </c>
      <c r="Y300" t="s">
        <v>158</v>
      </c>
      <c r="Z300" t="s">
        <v>262</v>
      </c>
      <c r="AC300" s="3" t="str">
        <f>HYPERLINK("https://api.typeform.com/responses/files/6169b2dfc140b6572c47231db9b1095f400b5a87a6a337442cd4d89d76c49d01/schedule_2021_2022.png")</f>
        <v>https://api.typeform.com/responses/files/6169b2dfc140b6572c47231db9b1095f400b5a87a6a337442cd4d89d76c49d01/schedule_2021_2022.png</v>
      </c>
      <c r="AD300" t="s">
        <v>118</v>
      </c>
      <c r="AE300" t="s">
        <v>729</v>
      </c>
      <c r="AF300" t="s">
        <v>197</v>
      </c>
      <c r="AG300">
        <v>16.0</v>
      </c>
      <c r="AH300" t="s">
        <v>6603</v>
      </c>
      <c r="AI300" t="s">
        <v>162</v>
      </c>
      <c r="AK300" t="s">
        <v>6604</v>
      </c>
      <c r="AL300" t="s">
        <v>1546</v>
      </c>
      <c r="AO300" t="s">
        <v>335</v>
      </c>
      <c r="AP300">
        <v>5.0</v>
      </c>
      <c r="AQ300" t="s">
        <v>201</v>
      </c>
      <c r="AR300" t="s">
        <v>3300</v>
      </c>
      <c r="AS300" t="b">
        <v>1</v>
      </c>
      <c r="AT300" t="b">
        <v>0</v>
      </c>
      <c r="AV300">
        <v>5.0</v>
      </c>
      <c r="AW300" t="b">
        <v>0</v>
      </c>
      <c r="AZ300" t="b">
        <v>1</v>
      </c>
      <c r="BA300" t="b">
        <v>0</v>
      </c>
      <c r="BD300" t="s">
        <v>3300</v>
      </c>
      <c r="BH300" t="s">
        <v>132</v>
      </c>
      <c r="BI300">
        <v>4.0</v>
      </c>
      <c r="BJ300" t="s">
        <v>6605</v>
      </c>
      <c r="BK300">
        <v>3.0</v>
      </c>
      <c r="BL300">
        <v>4.0</v>
      </c>
      <c r="BM300" t="s">
        <v>6606</v>
      </c>
      <c r="BN300">
        <v>2.0</v>
      </c>
      <c r="BO300">
        <v>3.0</v>
      </c>
      <c r="BP300" t="s">
        <v>6607</v>
      </c>
      <c r="BQ300" t="s">
        <v>916</v>
      </c>
      <c r="BR300" t="s">
        <v>6608</v>
      </c>
      <c r="BS300" t="s">
        <v>6609</v>
      </c>
      <c r="BU300" t="s">
        <v>6610</v>
      </c>
      <c r="BV300" s="3" t="str">
        <f>HYPERLINK("https://api.typeform.com/responses/files/e9f90c193d63e745ac35a33801148c988f52417fbcb2375e572490635ea28667/SPEAKHIRE_Parent.Guardian_Consent_Form__1_.pdf")</f>
        <v>https://api.typeform.com/responses/files/e9f90c193d63e745ac35a33801148c988f52417fbcb2375e572490635ea28667/SPEAKHIRE_Parent.Guardian_Consent_Form__1_.pdf</v>
      </c>
      <c r="BW300" t="b">
        <v>1</v>
      </c>
      <c r="BX300" t="s">
        <v>1394</v>
      </c>
      <c r="BY300" t="s">
        <v>140</v>
      </c>
      <c r="CA300" t="s">
        <v>1395</v>
      </c>
      <c r="CD300">
        <v>0.0</v>
      </c>
      <c r="CF300" t="b">
        <v>1</v>
      </c>
      <c r="CG300" t="b">
        <v>1</v>
      </c>
      <c r="CH300" t="s">
        <v>6611</v>
      </c>
      <c r="CJ300" t="b">
        <v>1</v>
      </c>
      <c r="CK300" t="b">
        <v>0</v>
      </c>
      <c r="CL300" t="s">
        <v>387</v>
      </c>
      <c r="CM300" t="s">
        <v>198</v>
      </c>
      <c r="CO300" t="s">
        <v>200</v>
      </c>
      <c r="CR300" t="b">
        <v>1</v>
      </c>
      <c r="CT300">
        <v>0.0</v>
      </c>
      <c r="CU300">
        <v>0.0</v>
      </c>
      <c r="CX300" s="4" t="s">
        <v>2995</v>
      </c>
      <c r="CZ300" s="5">
        <v>44495.94207175926</v>
      </c>
      <c r="DA300" t="s">
        <v>6612</v>
      </c>
    </row>
    <row r="301">
      <c r="A301" t="s">
        <v>98</v>
      </c>
      <c r="D301" t="s">
        <v>6571</v>
      </c>
      <c r="E301" t="s">
        <v>6572</v>
      </c>
      <c r="F301" s="2">
        <v>37269.0</v>
      </c>
      <c r="G301" t="s">
        <v>1466</v>
      </c>
      <c r="I301" s="3" t="str">
        <f>HYPERLINK("https://api.typeform.com/responses/files/64ebdd7230d05ac8932694f607b6027533d5daa969b67d7e4be7dc3d3688c358/image.jpg")</f>
        <v>https://api.typeform.com/responses/files/64ebdd7230d05ac8932694f607b6027533d5daa969b67d7e4be7dc3d3688c358/image.jpg</v>
      </c>
      <c r="J301" t="s">
        <v>6573</v>
      </c>
      <c r="K301" t="b">
        <v>1</v>
      </c>
      <c r="L301" s="4" t="s">
        <v>6574</v>
      </c>
      <c r="M301" t="s">
        <v>6575</v>
      </c>
      <c r="N301" t="s">
        <v>105</v>
      </c>
      <c r="P301" t="s">
        <v>6613</v>
      </c>
      <c r="Q301" t="s">
        <v>152</v>
      </c>
      <c r="R301" t="s">
        <v>6577</v>
      </c>
      <c r="S301" t="s">
        <v>6575</v>
      </c>
      <c r="T301" s="4" t="s">
        <v>6578</v>
      </c>
      <c r="U301" t="s">
        <v>329</v>
      </c>
      <c r="V301" t="s">
        <v>6614</v>
      </c>
      <c r="W301" t="s">
        <v>261</v>
      </c>
      <c r="Y301" t="s">
        <v>158</v>
      </c>
      <c r="Z301" t="s">
        <v>262</v>
      </c>
      <c r="AC301" s="3" t="str">
        <f>HYPERLINK("https://api.typeform.com/responses/files/87bbd023d93020a686a1f24d74c874cd16e00cefed01d4bd7e69caee6567dcfb/Khadim.pdf")</f>
        <v>https://api.typeform.com/responses/files/87bbd023d93020a686a1f24d74c874cd16e00cefed01d4bd7e69caee6567dcfb/Khadim.pdf</v>
      </c>
      <c r="AD301" t="s">
        <v>118</v>
      </c>
      <c r="AE301" t="s">
        <v>729</v>
      </c>
      <c r="AF301" t="s">
        <v>3817</v>
      </c>
      <c r="AG301">
        <v>17.0</v>
      </c>
      <c r="AH301" t="s">
        <v>164</v>
      </c>
      <c r="AI301" t="s">
        <v>121</v>
      </c>
      <c r="AL301" t="s">
        <v>621</v>
      </c>
      <c r="AO301" t="s">
        <v>125</v>
      </c>
      <c r="AP301">
        <v>7.0</v>
      </c>
      <c r="AQ301" t="s">
        <v>2240</v>
      </c>
      <c r="AR301" t="s">
        <v>2701</v>
      </c>
      <c r="AS301" t="b">
        <v>1</v>
      </c>
      <c r="AT301" t="b">
        <v>1</v>
      </c>
      <c r="AV301">
        <v>7.0</v>
      </c>
      <c r="AW301" t="b">
        <v>1</v>
      </c>
      <c r="AX301" s="4" t="s">
        <v>1521</v>
      </c>
      <c r="AY301" s="4" t="s">
        <v>518</v>
      </c>
      <c r="AZ301" t="b">
        <v>1</v>
      </c>
      <c r="BA301" t="b">
        <v>1</v>
      </c>
      <c r="BB301" t="b">
        <v>0</v>
      </c>
      <c r="BC301" t="s">
        <v>6615</v>
      </c>
      <c r="BH301" t="s">
        <v>132</v>
      </c>
      <c r="BI301">
        <v>7.0</v>
      </c>
      <c r="BJ301" s="4" t="s">
        <v>547</v>
      </c>
      <c r="BK301">
        <v>7.0</v>
      </c>
      <c r="BL301">
        <v>7.0</v>
      </c>
      <c r="BM301" s="4" t="s">
        <v>2300</v>
      </c>
      <c r="BN301">
        <v>7.0</v>
      </c>
      <c r="BO301">
        <v>7.0</v>
      </c>
      <c r="BP301" t="s">
        <v>6616</v>
      </c>
      <c r="BQ301" t="s">
        <v>6617</v>
      </c>
      <c r="BR301" t="s">
        <v>6618</v>
      </c>
      <c r="BS301" t="s">
        <v>6619</v>
      </c>
      <c r="BU301" t="s">
        <v>6620</v>
      </c>
      <c r="BV301" s="3" t="str">
        <f>HYPERLINK("https://api.typeform.com/responses/files/6300f9fdc4ecb8dbc92f037a2f45a351dfb0095d260279cb4fa712b58fce20d8/Copy_of_SPEAKHIRE_Parent.Guardian_Consent_Form.pdf")</f>
        <v>https://api.typeform.com/responses/files/6300f9fdc4ecb8dbc92f037a2f45a351dfb0095d260279cb4fa712b58fce20d8/Copy_of_SPEAKHIRE_Parent.Guardian_Consent_Form.pdf</v>
      </c>
      <c r="BW301" t="b">
        <v>1</v>
      </c>
      <c r="BX301" t="s">
        <v>1394</v>
      </c>
      <c r="BY301" t="s">
        <v>140</v>
      </c>
      <c r="CA301" t="s">
        <v>1395</v>
      </c>
      <c r="CD301">
        <v>0.0</v>
      </c>
      <c r="CF301" t="b">
        <v>1</v>
      </c>
      <c r="CG301" t="b">
        <v>1</v>
      </c>
      <c r="CH301" t="s">
        <v>3212</v>
      </c>
      <c r="CJ301" t="b">
        <v>1</v>
      </c>
      <c r="CK301" t="b">
        <v>1</v>
      </c>
      <c r="CL301" t="s">
        <v>541</v>
      </c>
      <c r="CO301" t="s">
        <v>124</v>
      </c>
      <c r="CR301" t="b">
        <v>1</v>
      </c>
      <c r="CT301">
        <v>5.0</v>
      </c>
      <c r="CU301">
        <v>5.0</v>
      </c>
      <c r="CX301" t="s">
        <v>6591</v>
      </c>
      <c r="CZ301" s="5">
        <v>44495.95112268518</v>
      </c>
      <c r="DA301" t="s">
        <v>6621</v>
      </c>
    </row>
    <row r="302">
      <c r="A302" t="s">
        <v>98</v>
      </c>
      <c r="D302" t="s">
        <v>6622</v>
      </c>
      <c r="E302" t="s">
        <v>4832</v>
      </c>
      <c r="F302" s="2">
        <v>37838.0</v>
      </c>
      <c r="G302" t="s">
        <v>1360</v>
      </c>
      <c r="I302" s="3" t="str">
        <f>HYPERLINK("https://api.typeform.com/responses/files/33fe193ba753983dca99c1860029e44566e7440d720e110271b5ad7162a73d55/IMG_6695.JPG")</f>
        <v>https://api.typeform.com/responses/files/33fe193ba753983dca99c1860029e44566e7440d720e110271b5ad7162a73d55/IMG_6695.JPG</v>
      </c>
      <c r="J302" t="s">
        <v>6623</v>
      </c>
      <c r="K302" t="b">
        <v>1</v>
      </c>
      <c r="L302" s="4" t="s">
        <v>4834</v>
      </c>
      <c r="M302" t="s">
        <v>6624</v>
      </c>
      <c r="N302" t="s">
        <v>149</v>
      </c>
      <c r="P302" t="s">
        <v>4836</v>
      </c>
      <c r="Q302" t="s">
        <v>152</v>
      </c>
      <c r="R302" t="s">
        <v>4837</v>
      </c>
      <c r="S302" t="s">
        <v>6624</v>
      </c>
      <c r="T302" s="4" t="s">
        <v>4839</v>
      </c>
      <c r="U302" t="s">
        <v>329</v>
      </c>
      <c r="V302" t="s">
        <v>6625</v>
      </c>
      <c r="W302" t="s">
        <v>261</v>
      </c>
      <c r="Y302" t="s">
        <v>158</v>
      </c>
      <c r="Z302" t="s">
        <v>159</v>
      </c>
      <c r="AC302" s="3" t="str">
        <f>HYPERLINK("https://api.typeform.com/responses/files/bab0c99eda95868d1e2fdbc5dc6902295f95e5a547c84a3511a9a0f6075d1bff/Romina_S..pdf")</f>
        <v>https://api.typeform.com/responses/files/bab0c99eda95868d1e2fdbc5dc6902295f95e5a547c84a3511a9a0f6075d1bff/Romina_S..pdf</v>
      </c>
      <c r="AD302" t="s">
        <v>118</v>
      </c>
      <c r="AE302" t="s">
        <v>729</v>
      </c>
      <c r="AF302" t="s">
        <v>759</v>
      </c>
      <c r="AG302">
        <v>16.0</v>
      </c>
      <c r="AH302" t="s">
        <v>3387</v>
      </c>
      <c r="AI302" t="s">
        <v>162</v>
      </c>
      <c r="AL302" t="s">
        <v>857</v>
      </c>
      <c r="AO302" t="s">
        <v>1479</v>
      </c>
      <c r="AP302">
        <v>5.0</v>
      </c>
      <c r="AQ302" t="s">
        <v>1070</v>
      </c>
      <c r="AR302" t="s">
        <v>1071</v>
      </c>
      <c r="AS302" t="b">
        <v>1</v>
      </c>
      <c r="AT302" t="b">
        <v>1</v>
      </c>
      <c r="AV302">
        <v>7.0</v>
      </c>
      <c r="AW302" t="b">
        <v>0</v>
      </c>
      <c r="AZ302" t="b">
        <v>1</v>
      </c>
      <c r="BA302" t="b">
        <v>1</v>
      </c>
      <c r="BB302" t="b">
        <v>0</v>
      </c>
      <c r="BC302" t="s">
        <v>6626</v>
      </c>
      <c r="BH302" t="s">
        <v>132</v>
      </c>
      <c r="BI302">
        <v>4.0</v>
      </c>
      <c r="BJ302" t="s">
        <v>6627</v>
      </c>
      <c r="BK302">
        <v>4.0</v>
      </c>
      <c r="BL302">
        <v>4.0</v>
      </c>
      <c r="BM302" t="s">
        <v>6628</v>
      </c>
      <c r="BN302">
        <v>3.0</v>
      </c>
      <c r="BO302">
        <v>4.0</v>
      </c>
      <c r="BP302" t="s">
        <v>6629</v>
      </c>
      <c r="BQ302" t="s">
        <v>6630</v>
      </c>
      <c r="BR302" t="s">
        <v>6631</v>
      </c>
      <c r="BS302" t="s">
        <v>6632</v>
      </c>
      <c r="BU302" t="s">
        <v>6633</v>
      </c>
      <c r="BV302" s="3" t="str">
        <f>HYPERLINK("https://api.typeform.com/responses/files/05f62584acf334bbb011393710d0a26e54b93b0e66c86782dcfab7b438fa49c2/SPEAKHIRE_Parent.Guardian_Consent_Form.docx")</f>
        <v>https://api.typeform.com/responses/files/05f62584acf334bbb011393710d0a26e54b93b0e66c86782dcfab7b438fa49c2/SPEAKHIRE_Parent.Guardian_Consent_Form.docx</v>
      </c>
      <c r="BW302" t="b">
        <v>1</v>
      </c>
      <c r="BX302" t="s">
        <v>1394</v>
      </c>
      <c r="BY302" t="s">
        <v>140</v>
      </c>
      <c r="CA302" t="s">
        <v>1395</v>
      </c>
      <c r="CD302">
        <v>0.0</v>
      </c>
      <c r="CF302" t="b">
        <v>1</v>
      </c>
      <c r="CG302" t="b">
        <v>1</v>
      </c>
      <c r="CH302" t="s">
        <v>168</v>
      </c>
      <c r="CJ302" t="b">
        <v>1</v>
      </c>
      <c r="CK302" t="b">
        <v>1</v>
      </c>
      <c r="CL302" t="s">
        <v>163</v>
      </c>
      <c r="CM302" t="s">
        <v>3213</v>
      </c>
      <c r="CO302" t="s">
        <v>124</v>
      </c>
      <c r="CR302" t="b">
        <v>1</v>
      </c>
      <c r="CT302">
        <v>0.0</v>
      </c>
      <c r="CU302">
        <v>0.0</v>
      </c>
      <c r="CX302" s="4" t="s">
        <v>3882</v>
      </c>
      <c r="CZ302" s="5">
        <v>44495.98100694444</v>
      </c>
      <c r="DA302" t="s">
        <v>6634</v>
      </c>
    </row>
    <row r="303">
      <c r="A303" t="s">
        <v>98</v>
      </c>
      <c r="D303" t="s">
        <v>6635</v>
      </c>
      <c r="E303" t="s">
        <v>6636</v>
      </c>
      <c r="F303" s="2">
        <v>37930.0</v>
      </c>
      <c r="G303" t="s">
        <v>1360</v>
      </c>
      <c r="I303" s="3" t="str">
        <f>HYPERLINK("https://api.typeform.com/responses/files/9c8e24f6402ec1531db780db6423ea1fcb07a54740df8d219e6c46f8c3c1d9e9/IMG_3086.JPG")</f>
        <v>https://api.typeform.com/responses/files/9c8e24f6402ec1531db780db6423ea1fcb07a54740df8d219e6c46f8c3c1d9e9/IMG_3086.JPG</v>
      </c>
      <c r="J303" t="s">
        <v>6637</v>
      </c>
      <c r="K303" t="b">
        <v>1</v>
      </c>
      <c r="L303" s="4" t="s">
        <v>6638</v>
      </c>
      <c r="M303" t="s">
        <v>6639</v>
      </c>
      <c r="N303" t="s">
        <v>354</v>
      </c>
      <c r="O303" t="s">
        <v>139</v>
      </c>
      <c r="P303" t="s">
        <v>6640</v>
      </c>
      <c r="Q303" t="s">
        <v>152</v>
      </c>
      <c r="R303" t="s">
        <v>6641</v>
      </c>
      <c r="S303" t="s">
        <v>6639</v>
      </c>
      <c r="T303" s="4" t="s">
        <v>6642</v>
      </c>
      <c r="U303" t="s">
        <v>3028</v>
      </c>
      <c r="V303" t="s">
        <v>4664</v>
      </c>
      <c r="W303" t="s">
        <v>2290</v>
      </c>
      <c r="Y303" t="s">
        <v>158</v>
      </c>
      <c r="Z303" t="s">
        <v>262</v>
      </c>
      <c r="AC303" s="3" t="str">
        <f>HYPERLINK("https://api.typeform.com/responses/files/fb5a3dd941c38d7a28895db147c0af1358711d315e3f932dfad2010c5bfb8f99/屏幕截图_2021_10_27_200955.png")</f>
        <v>https://api.typeform.com/responses/files/fb5a3dd941c38d7a28895db147c0af1358711d315e3f932dfad2010c5bfb8f99/屏幕截图_2021_10_27_200955.png</v>
      </c>
      <c r="AD303" t="s">
        <v>118</v>
      </c>
      <c r="AE303" t="s">
        <v>729</v>
      </c>
      <c r="AF303" t="s">
        <v>459</v>
      </c>
      <c r="AG303">
        <v>16.0</v>
      </c>
      <c r="AH303" s="4" t="s">
        <v>273</v>
      </c>
      <c r="AI303" t="s">
        <v>205</v>
      </c>
      <c r="AK303" t="s">
        <v>139</v>
      </c>
      <c r="AL303" t="s">
        <v>460</v>
      </c>
      <c r="AO303" t="s">
        <v>335</v>
      </c>
      <c r="AP303">
        <v>4.0</v>
      </c>
      <c r="AQ303" t="s">
        <v>1520</v>
      </c>
      <c r="AR303" t="s">
        <v>6643</v>
      </c>
      <c r="AS303" t="b">
        <v>1</v>
      </c>
      <c r="AT303" t="b">
        <v>1</v>
      </c>
      <c r="AV303">
        <v>4.0</v>
      </c>
      <c r="AW303" t="b">
        <v>0</v>
      </c>
      <c r="AZ303" t="b">
        <v>0</v>
      </c>
      <c r="BA303" t="b">
        <v>0</v>
      </c>
      <c r="BD303" t="s">
        <v>6643</v>
      </c>
      <c r="BH303" t="s">
        <v>132</v>
      </c>
      <c r="BI303">
        <v>2.0</v>
      </c>
      <c r="BJ303" t="s">
        <v>6644</v>
      </c>
      <c r="BK303">
        <v>1.0</v>
      </c>
      <c r="BL303">
        <v>2.0</v>
      </c>
      <c r="BM303" t="s">
        <v>6645</v>
      </c>
      <c r="BN303">
        <v>1.0</v>
      </c>
      <c r="BO303">
        <v>3.0</v>
      </c>
      <c r="BP303" t="s">
        <v>6646</v>
      </c>
      <c r="BQ303" t="s">
        <v>2390</v>
      </c>
      <c r="BR303" t="s">
        <v>6647</v>
      </c>
      <c r="BS303" t="s">
        <v>6648</v>
      </c>
      <c r="BU303" t="s">
        <v>139</v>
      </c>
      <c r="BV303" s="3" t="str">
        <f>HYPERLINK("https://api.typeform.com/responses/files/5cc428006e43e703773bc899eaff94aeb3d54a43b57f804cafd41ab2cbffef96/屏幕截图_2021_10_27_202121.png")</f>
        <v>https://api.typeform.com/responses/files/5cc428006e43e703773bc899eaff94aeb3d54a43b57f804cafd41ab2cbffef96/屏幕截图_2021_10_27_202121.png</v>
      </c>
      <c r="BW303" t="b">
        <v>1</v>
      </c>
      <c r="BX303" t="s">
        <v>1394</v>
      </c>
      <c r="BY303" t="s">
        <v>140</v>
      </c>
      <c r="CA303" t="s">
        <v>1395</v>
      </c>
      <c r="CD303">
        <v>0.0</v>
      </c>
      <c r="CF303" t="b">
        <v>1</v>
      </c>
      <c r="CG303" t="b">
        <v>0</v>
      </c>
      <c r="CH303" t="s">
        <v>6649</v>
      </c>
      <c r="CJ303" t="b">
        <v>0</v>
      </c>
      <c r="CK303" t="b">
        <v>1</v>
      </c>
      <c r="CL303" t="s">
        <v>362</v>
      </c>
      <c r="CM303" t="s">
        <v>810</v>
      </c>
      <c r="CO303" t="s">
        <v>3041</v>
      </c>
      <c r="CR303" t="b">
        <v>1</v>
      </c>
      <c r="CT303">
        <v>1.0</v>
      </c>
      <c r="CU303">
        <v>1.0</v>
      </c>
      <c r="CX303" s="4" t="s">
        <v>6650</v>
      </c>
      <c r="CZ303" s="5">
        <v>44497.01768518519</v>
      </c>
      <c r="DA303" t="s">
        <v>6651</v>
      </c>
    </row>
    <row r="304">
      <c r="A304" t="s">
        <v>98</v>
      </c>
      <c r="D304" t="s">
        <v>6289</v>
      </c>
      <c r="E304" t="s">
        <v>6652</v>
      </c>
      <c r="F304" s="2">
        <v>38499.0</v>
      </c>
      <c r="G304" t="s">
        <v>1466</v>
      </c>
      <c r="I304" s="3" t="str">
        <f>HYPERLINK("https://api.typeform.com/responses/files/36cb36bceecbaa14657846ba93d09c5af761934944326a883e46e9cc8a160478/IMG_20211028_091608.jpg")</f>
        <v>https://api.typeform.com/responses/files/36cb36bceecbaa14657846ba93d09c5af761934944326a883e46e9cc8a160478/IMG_20211028_091608.jpg</v>
      </c>
      <c r="J304" t="s">
        <v>6653</v>
      </c>
      <c r="K304" t="b">
        <v>1</v>
      </c>
      <c r="L304" s="4" t="s">
        <v>6654</v>
      </c>
      <c r="M304" t="s">
        <v>6655</v>
      </c>
      <c r="N304" t="s">
        <v>149</v>
      </c>
      <c r="P304" t="s">
        <v>6656</v>
      </c>
      <c r="Q304" t="s">
        <v>152</v>
      </c>
      <c r="R304" t="s">
        <v>6657</v>
      </c>
      <c r="S304" t="s">
        <v>6655</v>
      </c>
      <c r="T304" s="4" t="s">
        <v>6658</v>
      </c>
      <c r="U304" t="s">
        <v>6659</v>
      </c>
      <c r="V304" t="s">
        <v>6660</v>
      </c>
      <c r="W304" t="s">
        <v>261</v>
      </c>
      <c r="Y304" t="s">
        <v>158</v>
      </c>
      <c r="Z304" t="s">
        <v>262</v>
      </c>
      <c r="AC304" s="3" t="str">
        <f>HYPERLINK("https://api.typeform.com/responses/files/f9e1b0d2eb8d3c664e6ce20cae3ac4fd043123665d1c4e58fbde9f304f4608ac/IMG_20211028_094245.jpg")</f>
        <v>https://api.typeform.com/responses/files/f9e1b0d2eb8d3c664e6ce20cae3ac4fd043123665d1c4e58fbde9f304f4608ac/IMG_20211028_094245.jpg</v>
      </c>
      <c r="AD304" t="s">
        <v>118</v>
      </c>
      <c r="AE304" t="s">
        <v>729</v>
      </c>
      <c r="AF304" t="s">
        <v>2292</v>
      </c>
      <c r="AG304">
        <v>14.0</v>
      </c>
      <c r="AH304" s="4" t="s">
        <v>130</v>
      </c>
      <c r="AI304" t="s">
        <v>386</v>
      </c>
      <c r="AK304" t="s">
        <v>6661</v>
      </c>
      <c r="AL304" t="s">
        <v>1043</v>
      </c>
      <c r="AO304" t="s">
        <v>335</v>
      </c>
      <c r="AP304">
        <v>6.0</v>
      </c>
      <c r="AQ304" t="s">
        <v>6146</v>
      </c>
      <c r="AR304" t="s">
        <v>6662</v>
      </c>
      <c r="AS304" t="b">
        <v>1</v>
      </c>
      <c r="AT304" t="b">
        <v>0</v>
      </c>
      <c r="AV304">
        <v>3.0</v>
      </c>
      <c r="AW304" t="b">
        <v>0</v>
      </c>
      <c r="AZ304" t="b">
        <v>0</v>
      </c>
      <c r="BA304" t="b">
        <v>0</v>
      </c>
      <c r="BD304" t="s">
        <v>1951</v>
      </c>
      <c r="BH304" t="s">
        <v>132</v>
      </c>
      <c r="BI304">
        <v>2.0</v>
      </c>
      <c r="BJ304" t="s">
        <v>6663</v>
      </c>
      <c r="BK304">
        <v>2.0</v>
      </c>
      <c r="BL304">
        <v>3.0</v>
      </c>
      <c r="BM304" t="s">
        <v>6664</v>
      </c>
      <c r="BN304">
        <v>4.0</v>
      </c>
      <c r="BO304">
        <v>6.0</v>
      </c>
      <c r="BP304" t="s">
        <v>6665</v>
      </c>
      <c r="BQ304" t="s">
        <v>5321</v>
      </c>
      <c r="BR304" t="s">
        <v>6666</v>
      </c>
      <c r="BS304" t="s">
        <v>6667</v>
      </c>
      <c r="BU304" t="s">
        <v>139</v>
      </c>
      <c r="BV304" s="3" t="str">
        <f>HYPERLINK("https://api.typeform.com/responses/files/cdd00f7aa012a265f696e1b442cb4b950882bad2898740b922e264575d8b4303/IMG_20211028_101103.jpg")</f>
        <v>https://api.typeform.com/responses/files/cdd00f7aa012a265f696e1b442cb4b950882bad2898740b922e264575d8b4303/IMG_20211028_101103.jpg</v>
      </c>
      <c r="BW304" t="b">
        <v>1</v>
      </c>
      <c r="BX304" t="s">
        <v>1394</v>
      </c>
      <c r="BY304" t="s">
        <v>140</v>
      </c>
      <c r="CA304" t="s">
        <v>1395</v>
      </c>
      <c r="CD304">
        <v>0.0</v>
      </c>
      <c r="CF304" t="b">
        <v>1</v>
      </c>
      <c r="CG304" t="b">
        <v>1</v>
      </c>
      <c r="CH304" t="s">
        <v>2553</v>
      </c>
      <c r="CJ304" t="b">
        <v>0</v>
      </c>
      <c r="CK304" t="b">
        <v>0</v>
      </c>
      <c r="CL304" t="s">
        <v>2301</v>
      </c>
      <c r="CM304" t="s">
        <v>2301</v>
      </c>
      <c r="CO304" t="s">
        <v>3491</v>
      </c>
      <c r="CR304" t="b">
        <v>1</v>
      </c>
      <c r="CT304">
        <v>0.0</v>
      </c>
      <c r="CU304">
        <v>0.0</v>
      </c>
      <c r="CX304" s="4" t="s">
        <v>6668</v>
      </c>
      <c r="CZ304" s="5">
        <v>44497.59207175926</v>
      </c>
      <c r="DA304" t="s">
        <v>6669</v>
      </c>
    </row>
    <row r="305">
      <c r="A305" t="s">
        <v>98</v>
      </c>
      <c r="D305" t="s">
        <v>6670</v>
      </c>
      <c r="E305" t="s">
        <v>6671</v>
      </c>
      <c r="F305" s="2">
        <v>38272.0</v>
      </c>
      <c r="G305" t="s">
        <v>1360</v>
      </c>
      <c r="I305" s="3" t="str">
        <f>HYPERLINK("https://api.typeform.com/responses/files/cc5a0ef9653078bd15c41c11e019fa025fd5b544fd5b822c4222beb84ebfffe9/78515.jpg")</f>
        <v>https://api.typeform.com/responses/files/cc5a0ef9653078bd15c41c11e019fa025fd5b544fd5b822c4222beb84ebfffe9/78515.jpg</v>
      </c>
      <c r="J305" t="s">
        <v>6672</v>
      </c>
      <c r="K305" t="b">
        <v>1</v>
      </c>
      <c r="L305" s="4" t="s">
        <v>6673</v>
      </c>
      <c r="M305" t="s">
        <v>6674</v>
      </c>
      <c r="N305" t="s">
        <v>354</v>
      </c>
      <c r="P305" t="s">
        <v>6675</v>
      </c>
      <c r="Q305" t="s">
        <v>189</v>
      </c>
      <c r="R305" t="s">
        <v>6672</v>
      </c>
      <c r="S305" t="s">
        <v>6676</v>
      </c>
      <c r="T305" s="4" t="s">
        <v>6677</v>
      </c>
      <c r="U305" t="s">
        <v>3596</v>
      </c>
      <c r="V305" t="s">
        <v>6678</v>
      </c>
      <c r="W305" t="s">
        <v>113</v>
      </c>
      <c r="Y305" t="s">
        <v>158</v>
      </c>
      <c r="Z305" t="s">
        <v>195</v>
      </c>
      <c r="AC305" s="3" t="str">
        <f>HYPERLINK("https://api.typeform.com/responses/files/94453a183ffeb9e3c77cfc7af24c8c2ec648f3675013f4282560637d77b7b87a/Progress_Report_for_Ndeye_Diedhiou_2021_10_28_17_38.pdf")</f>
        <v>https://api.typeform.com/responses/files/94453a183ffeb9e3c77cfc7af24c8c2ec648f3675013f4282560637d77b7b87a/Progress_Report_for_Ndeye_Diedhiou_2021_10_28_17_38.pdf</v>
      </c>
      <c r="AD305" t="s">
        <v>118</v>
      </c>
      <c r="AE305" t="s">
        <v>729</v>
      </c>
      <c r="AF305" t="s">
        <v>3817</v>
      </c>
      <c r="AG305">
        <v>16.0</v>
      </c>
      <c r="AH305" t="s">
        <v>620</v>
      </c>
      <c r="AI305" t="s">
        <v>162</v>
      </c>
      <c r="AK305" t="s">
        <v>6679</v>
      </c>
      <c r="AL305" t="s">
        <v>6680</v>
      </c>
      <c r="AO305" t="s">
        <v>335</v>
      </c>
      <c r="AP305">
        <v>4.0</v>
      </c>
      <c r="AQ305" t="s">
        <v>303</v>
      </c>
      <c r="AR305" t="s">
        <v>6681</v>
      </c>
      <c r="AS305" t="b">
        <v>1</v>
      </c>
      <c r="AT305" t="b">
        <v>0</v>
      </c>
      <c r="AV305">
        <v>6.0</v>
      </c>
      <c r="AW305" t="b">
        <v>0</v>
      </c>
      <c r="AZ305" t="b">
        <v>0</v>
      </c>
      <c r="BA305" t="b">
        <v>0</v>
      </c>
      <c r="BD305" t="s">
        <v>6682</v>
      </c>
      <c r="BH305" t="s">
        <v>132</v>
      </c>
      <c r="BI305">
        <v>1.0</v>
      </c>
      <c r="BJ305" t="s">
        <v>6683</v>
      </c>
      <c r="BK305">
        <v>2.0</v>
      </c>
      <c r="BL305">
        <v>6.0</v>
      </c>
      <c r="BM305" t="s">
        <v>6684</v>
      </c>
      <c r="BN305">
        <v>7.0</v>
      </c>
      <c r="BO305">
        <v>4.0</v>
      </c>
      <c r="BP305" t="s">
        <v>6685</v>
      </c>
      <c r="BQ305" t="s">
        <v>6686</v>
      </c>
      <c r="BR305" t="s">
        <v>6687</v>
      </c>
      <c r="BS305" t="s">
        <v>6688</v>
      </c>
      <c r="BU305" t="s">
        <v>620</v>
      </c>
      <c r="BV305" s="3" t="str">
        <f>HYPERLINK("https://api.typeform.com/responses/files/78523eef8ff7fa4443f4d9ee2fa68b7d1f59f27229c1abcb672d8e0ffed1b3a2/Oct_20__2021_at_10_12_PM.png")</f>
        <v>https://api.typeform.com/responses/files/78523eef8ff7fa4443f4d9ee2fa68b7d1f59f27229c1abcb672d8e0ffed1b3a2/Oct_20__2021_at_10_12_PM.png</v>
      </c>
      <c r="BW305" t="b">
        <v>1</v>
      </c>
      <c r="BX305" t="s">
        <v>1394</v>
      </c>
      <c r="BY305" t="s">
        <v>140</v>
      </c>
      <c r="CA305" t="s">
        <v>1395</v>
      </c>
      <c r="CD305">
        <v>0.0</v>
      </c>
      <c r="CF305" t="b">
        <v>1</v>
      </c>
      <c r="CG305" t="b">
        <v>1</v>
      </c>
      <c r="CH305" t="s">
        <v>168</v>
      </c>
      <c r="CJ305" t="b">
        <v>1</v>
      </c>
      <c r="CK305" t="b">
        <v>1</v>
      </c>
      <c r="CL305" t="s">
        <v>300</v>
      </c>
      <c r="CO305" t="s">
        <v>124</v>
      </c>
      <c r="CR305" t="b">
        <v>1</v>
      </c>
      <c r="CT305">
        <v>0.0</v>
      </c>
      <c r="CU305">
        <v>3.0</v>
      </c>
      <c r="CX305" s="4" t="s">
        <v>3042</v>
      </c>
      <c r="CZ305" s="5">
        <v>44497.77423611111</v>
      </c>
      <c r="DA305" t="s">
        <v>6689</v>
      </c>
    </row>
    <row r="306">
      <c r="A306" t="s">
        <v>98</v>
      </c>
      <c r="D306" t="s">
        <v>6690</v>
      </c>
      <c r="E306" t="s">
        <v>6691</v>
      </c>
      <c r="F306" s="2">
        <v>38177.0</v>
      </c>
      <c r="G306" t="s">
        <v>1360</v>
      </c>
      <c r="I306" s="3" t="str">
        <f>HYPERLINK("https://api.typeform.com/responses/files/ca65b7da9f92936cf1fcfd960f829093a621099ba9d640eacbdbe254973569c9/IMG_9981.PNG")</f>
        <v>https://api.typeform.com/responses/files/ca65b7da9f92936cf1fcfd960f829093a621099ba9d640eacbdbe254973569c9/IMG_9981.PNG</v>
      </c>
      <c r="J306" t="s">
        <v>6692</v>
      </c>
      <c r="K306" t="b">
        <v>1</v>
      </c>
      <c r="L306" s="4" t="s">
        <v>6693</v>
      </c>
      <c r="M306" t="s">
        <v>6694</v>
      </c>
      <c r="N306" t="s">
        <v>149</v>
      </c>
      <c r="O306" t="s">
        <v>6695</v>
      </c>
      <c r="P306" t="s">
        <v>6696</v>
      </c>
      <c r="Q306" t="s">
        <v>189</v>
      </c>
      <c r="R306" t="s">
        <v>6697</v>
      </c>
      <c r="S306" t="s">
        <v>6698</v>
      </c>
      <c r="T306" s="4" t="s">
        <v>4628</v>
      </c>
      <c r="U306" t="s">
        <v>5315</v>
      </c>
      <c r="V306" t="s">
        <v>6699</v>
      </c>
      <c r="W306" t="s">
        <v>2290</v>
      </c>
      <c r="Y306" t="s">
        <v>158</v>
      </c>
      <c r="Z306" t="s">
        <v>262</v>
      </c>
      <c r="AC306" s="3" t="str">
        <f>HYPERLINK("110cc3327cd5-Screenshot_2021_10_21_3.06.20_PM.png")</f>
        <v>110cc3327cd5-Screenshot_2021_10_21_3.06.20_PM.png</v>
      </c>
      <c r="AD306" t="s">
        <v>118</v>
      </c>
      <c r="AE306" t="s">
        <v>729</v>
      </c>
      <c r="AF306" t="s">
        <v>2651</v>
      </c>
      <c r="AG306">
        <v>14.0</v>
      </c>
      <c r="AH306" t="s">
        <v>1221</v>
      </c>
      <c r="AI306" t="s">
        <v>386</v>
      </c>
      <c r="AK306" t="s">
        <v>139</v>
      </c>
      <c r="AL306" t="s">
        <v>199</v>
      </c>
      <c r="AO306" t="s">
        <v>335</v>
      </c>
      <c r="AP306">
        <v>6.0</v>
      </c>
      <c r="AQ306" t="s">
        <v>126</v>
      </c>
      <c r="AR306" t="s">
        <v>1877</v>
      </c>
      <c r="AS306" t="b">
        <v>1</v>
      </c>
      <c r="AT306" t="b">
        <v>0</v>
      </c>
      <c r="AV306">
        <v>6.0</v>
      </c>
      <c r="AW306" t="b">
        <v>0</v>
      </c>
      <c r="AZ306" t="b">
        <v>0</v>
      </c>
      <c r="BA306" t="b">
        <v>1</v>
      </c>
      <c r="BB306" t="b">
        <v>1</v>
      </c>
      <c r="BC306" t="s">
        <v>6700</v>
      </c>
      <c r="BH306" t="s">
        <v>132</v>
      </c>
      <c r="BI306">
        <v>4.0</v>
      </c>
      <c r="BJ306" t="s">
        <v>6701</v>
      </c>
      <c r="BK306">
        <v>4.0</v>
      </c>
      <c r="BL306">
        <v>4.0</v>
      </c>
      <c r="BM306" t="s">
        <v>1201</v>
      </c>
      <c r="BN306">
        <v>4.0</v>
      </c>
      <c r="BO306">
        <v>4.0</v>
      </c>
      <c r="BP306" t="s">
        <v>5378</v>
      </c>
      <c r="BQ306" t="s">
        <v>916</v>
      </c>
      <c r="BR306" t="s">
        <v>6702</v>
      </c>
      <c r="BS306" t="s">
        <v>1201</v>
      </c>
      <c r="BU306" t="s">
        <v>606</v>
      </c>
      <c r="BV306" s="3" t="str">
        <f>HYPERLINK("https://api.typeform.com/responses/files/dfbc0f5eaeaa67de3da363308821104e4ce87c71c19d4cb49d8a0fe595334c3f/IMG_4060.jpg")</f>
        <v>https://api.typeform.com/responses/files/dfbc0f5eaeaa67de3da363308821104e4ce87c71c19d4cb49d8a0fe595334c3f/IMG_4060.jpg</v>
      </c>
      <c r="BW306" t="b">
        <v>1</v>
      </c>
      <c r="BX306" t="s">
        <v>1394</v>
      </c>
      <c r="BY306" t="s">
        <v>140</v>
      </c>
      <c r="CA306" t="s">
        <v>1395</v>
      </c>
      <c r="CD306">
        <v>0.0</v>
      </c>
      <c r="CF306" t="b">
        <v>1</v>
      </c>
      <c r="CG306" t="b">
        <v>1</v>
      </c>
      <c r="CH306" t="s">
        <v>1420</v>
      </c>
      <c r="CJ306" t="b">
        <v>1</v>
      </c>
      <c r="CK306" t="b">
        <v>1</v>
      </c>
      <c r="CL306" t="s">
        <v>2301</v>
      </c>
      <c r="CM306" t="s">
        <v>2301</v>
      </c>
      <c r="CO306" t="s">
        <v>1635</v>
      </c>
      <c r="CQ306" t="s">
        <v>2301</v>
      </c>
      <c r="CR306" t="b">
        <v>1</v>
      </c>
      <c r="CT306">
        <v>0.0</v>
      </c>
      <c r="CU306">
        <v>0.0</v>
      </c>
      <c r="CX306" s="4" t="s">
        <v>6703</v>
      </c>
      <c r="CZ306" s="5">
        <v>44498.6358912037</v>
      </c>
      <c r="DA306" t="s">
        <v>6704</v>
      </c>
    </row>
    <row r="307">
      <c r="A307" t="s">
        <v>98</v>
      </c>
      <c r="D307" t="s">
        <v>6705</v>
      </c>
      <c r="E307" t="s">
        <v>3287</v>
      </c>
      <c r="F307" s="2">
        <v>38441.0</v>
      </c>
      <c r="G307" t="s">
        <v>1360</v>
      </c>
      <c r="I307" s="3" t="str">
        <f>HYPERLINK("https://api.typeform.com/responses/files/fda87510b1e3377ad8e8f11c10bc0bf44a8ed122da834ee1be30a4cf8ce8c389/16355200633532896328935992307096.jpg")</f>
        <v>https://api.typeform.com/responses/files/fda87510b1e3377ad8e8f11c10bc0bf44a8ed122da834ee1be30a4cf8ce8c389/16355200633532896328935992307096.jpg</v>
      </c>
      <c r="J307" t="s">
        <v>6706</v>
      </c>
      <c r="K307" t="b">
        <v>1</v>
      </c>
      <c r="L307" s="4" t="s">
        <v>6707</v>
      </c>
      <c r="M307" t="s">
        <v>6708</v>
      </c>
      <c r="N307" t="s">
        <v>255</v>
      </c>
      <c r="P307" t="s">
        <v>6709</v>
      </c>
      <c r="Q307" t="s">
        <v>189</v>
      </c>
      <c r="R307" t="s">
        <v>6706</v>
      </c>
      <c r="S307" t="s">
        <v>6708</v>
      </c>
      <c r="T307" s="4" t="s">
        <v>6710</v>
      </c>
      <c r="U307" t="s">
        <v>6711</v>
      </c>
      <c r="V307" t="s">
        <v>6712</v>
      </c>
      <c r="W307" t="s">
        <v>2290</v>
      </c>
      <c r="Y307" t="s">
        <v>158</v>
      </c>
      <c r="Z307" t="s">
        <v>262</v>
      </c>
      <c r="AC307" s="3" t="str">
        <f>HYPERLINK("https://api.typeform.com/responses/files/09793e9d60fa9afa851abe61993eedafe93486b940d6a7db02fc97cf44627d87/16355203940788058620158016900166.jpg")</f>
        <v>https://api.typeform.com/responses/files/09793e9d60fa9afa851abe61993eedafe93486b940d6a7db02fc97cf44627d87/16355203940788058620158016900166.jpg</v>
      </c>
      <c r="AD307" t="s">
        <v>118</v>
      </c>
      <c r="AE307" t="s">
        <v>729</v>
      </c>
      <c r="AF307" t="s">
        <v>4450</v>
      </c>
      <c r="AG307">
        <v>10.0</v>
      </c>
      <c r="AH307" t="s">
        <v>6278</v>
      </c>
      <c r="AI307" t="s">
        <v>121</v>
      </c>
      <c r="AK307" t="s">
        <v>179</v>
      </c>
      <c r="AL307" t="s">
        <v>199</v>
      </c>
      <c r="AO307" t="s">
        <v>335</v>
      </c>
      <c r="AP307">
        <v>3.0</v>
      </c>
      <c r="AQ307" t="s">
        <v>201</v>
      </c>
      <c r="AR307" t="s">
        <v>6340</v>
      </c>
      <c r="AS307" t="b">
        <v>1</v>
      </c>
      <c r="AT307" t="b">
        <v>1</v>
      </c>
      <c r="AV307">
        <v>3.0</v>
      </c>
      <c r="AW307" t="b">
        <v>0</v>
      </c>
      <c r="AZ307" t="b">
        <v>0</v>
      </c>
      <c r="BA307" t="b">
        <v>0</v>
      </c>
      <c r="BD307" t="s">
        <v>6340</v>
      </c>
      <c r="BH307" t="s">
        <v>132</v>
      </c>
      <c r="BI307">
        <v>2.0</v>
      </c>
      <c r="BJ307" t="s">
        <v>164</v>
      </c>
      <c r="BK307">
        <v>1.0</v>
      </c>
      <c r="BL307">
        <v>1.0</v>
      </c>
      <c r="BM307" t="s">
        <v>6713</v>
      </c>
      <c r="BN307">
        <v>3.0</v>
      </c>
      <c r="BO307">
        <v>2.0</v>
      </c>
      <c r="BP307" t="s">
        <v>6714</v>
      </c>
      <c r="BQ307" t="s">
        <v>1050</v>
      </c>
      <c r="BR307" t="s">
        <v>6715</v>
      </c>
      <c r="BS307" t="s">
        <v>6716</v>
      </c>
      <c r="BU307" t="s">
        <v>179</v>
      </c>
      <c r="BV307" s="3" t="str">
        <f>HYPERLINK("https://api.typeform.com/responses/files/6017fef976023889e5d8d03487bf739e9f1315ecaa955c52178422075e87c5a8/IMG_20211014_145803.jpg")</f>
        <v>https://api.typeform.com/responses/files/6017fef976023889e5d8d03487bf739e9f1315ecaa955c52178422075e87c5a8/IMG_20211014_145803.jpg</v>
      </c>
      <c r="BW307" t="b">
        <v>1</v>
      </c>
      <c r="BX307" t="s">
        <v>1394</v>
      </c>
      <c r="BY307" t="s">
        <v>140</v>
      </c>
      <c r="CA307" t="s">
        <v>1395</v>
      </c>
      <c r="CD307">
        <v>0.0</v>
      </c>
      <c r="CF307" t="b">
        <v>0</v>
      </c>
      <c r="CG307" t="b">
        <v>0</v>
      </c>
      <c r="CH307" t="s">
        <v>168</v>
      </c>
      <c r="CJ307" t="b">
        <v>1</v>
      </c>
      <c r="CK307" t="b">
        <v>0</v>
      </c>
      <c r="CL307" t="s">
        <v>387</v>
      </c>
      <c r="CO307" t="s">
        <v>6717</v>
      </c>
      <c r="CR307" t="b">
        <v>1</v>
      </c>
      <c r="CT307">
        <v>3.0</v>
      </c>
      <c r="CU307">
        <v>3.0</v>
      </c>
      <c r="CX307" s="4" t="s">
        <v>6718</v>
      </c>
      <c r="CZ307" s="5">
        <v>44498.64699074074</v>
      </c>
      <c r="DA307" t="s">
        <v>6719</v>
      </c>
    </row>
    <row r="308">
      <c r="A308" t="s">
        <v>98</v>
      </c>
      <c r="D308" t="s">
        <v>6720</v>
      </c>
      <c r="E308" t="s">
        <v>6721</v>
      </c>
      <c r="F308" s="2">
        <v>38491.0</v>
      </c>
      <c r="G308" t="s">
        <v>1466</v>
      </c>
      <c r="I308" s="3" t="str">
        <f>HYPERLINK("https://api.typeform.com/responses/files/7dd78c98c6544765f3952a6fcbb4f3c064809678bbfa8439c84fc2b701311058/9D1C6323_116C_472B_8B68_1F745A9A3765.jpeg")</f>
        <v>https://api.typeform.com/responses/files/7dd78c98c6544765f3952a6fcbb4f3c064809678bbfa8439c84fc2b701311058/9D1C6323_116C_472B_8B68_1F745A9A3765.jpeg</v>
      </c>
      <c r="J308" t="s">
        <v>6722</v>
      </c>
      <c r="K308" t="b">
        <v>1</v>
      </c>
      <c r="L308" s="4" t="s">
        <v>6723</v>
      </c>
      <c r="M308" t="s">
        <v>6724</v>
      </c>
      <c r="N308" t="s">
        <v>149</v>
      </c>
      <c r="O308" t="s">
        <v>6725</v>
      </c>
      <c r="P308" t="s">
        <v>6726</v>
      </c>
      <c r="Q308" t="s">
        <v>189</v>
      </c>
      <c r="R308" t="s">
        <v>6722</v>
      </c>
      <c r="S308" t="s">
        <v>6724</v>
      </c>
      <c r="T308" s="4" t="s">
        <v>6727</v>
      </c>
      <c r="U308" t="s">
        <v>6728</v>
      </c>
      <c r="V308" t="s">
        <v>4664</v>
      </c>
      <c r="W308" t="s">
        <v>2290</v>
      </c>
      <c r="Y308" t="s">
        <v>158</v>
      </c>
      <c r="Z308" t="s">
        <v>262</v>
      </c>
      <c r="AC308" s="3" t="str">
        <f>HYPERLINK("https://api.typeform.com/responses/files/299e815de1573fe05389d1b842cf7d7e8cd07cb1fdb033515809c4a59f7f0130/221C75D0_5869_424C_A456_21BE97F765E0.jpeg")</f>
        <v>https://api.typeform.com/responses/files/299e815de1573fe05389d1b842cf7d7e8cd07cb1fdb033515809c4a59f7f0130/221C75D0_5869_424C_A456_21BE97F765E0.jpeg</v>
      </c>
      <c r="AD308" t="s">
        <v>758</v>
      </c>
      <c r="AE308" t="s">
        <v>729</v>
      </c>
      <c r="AF308" t="s">
        <v>459</v>
      </c>
      <c r="AG308">
        <v>13.0</v>
      </c>
      <c r="AH308" s="4" t="s">
        <v>3057</v>
      </c>
      <c r="AI308" t="s">
        <v>162</v>
      </c>
      <c r="AK308" t="s">
        <v>460</v>
      </c>
      <c r="AL308" t="s">
        <v>460</v>
      </c>
      <c r="AO308" t="s">
        <v>335</v>
      </c>
      <c r="AP308">
        <v>3.0</v>
      </c>
      <c r="AQ308" t="s">
        <v>126</v>
      </c>
      <c r="AR308" t="s">
        <v>1172</v>
      </c>
      <c r="AS308" t="b">
        <v>1</v>
      </c>
      <c r="AT308" t="b">
        <v>0</v>
      </c>
      <c r="AV308">
        <v>3.0</v>
      </c>
      <c r="AW308" t="b">
        <v>0</v>
      </c>
      <c r="AZ308" t="b">
        <v>1</v>
      </c>
      <c r="BA308" t="b">
        <v>1</v>
      </c>
      <c r="BB308" t="b">
        <v>0</v>
      </c>
      <c r="BC308" t="s">
        <v>6729</v>
      </c>
      <c r="BH308" t="s">
        <v>132</v>
      </c>
      <c r="BI308">
        <v>4.0</v>
      </c>
      <c r="BJ308" t="s">
        <v>6730</v>
      </c>
      <c r="BK308">
        <v>4.0</v>
      </c>
      <c r="BL308">
        <v>4.0</v>
      </c>
      <c r="BM308" t="s">
        <v>1252</v>
      </c>
      <c r="BN308">
        <v>4.0</v>
      </c>
      <c r="BO308">
        <v>4.0</v>
      </c>
      <c r="BP308" t="s">
        <v>6731</v>
      </c>
      <c r="BQ308" t="s">
        <v>626</v>
      </c>
      <c r="BR308" t="s">
        <v>6732</v>
      </c>
      <c r="BS308" t="s">
        <v>6733</v>
      </c>
      <c r="BU308" t="s">
        <v>679</v>
      </c>
      <c r="BV308" s="3" t="str">
        <f>HYPERLINK("https://api.typeform.com/responses/files/12d650a144cb8d03dd7afabb928f61a4914023cf0fafef097b9918932fdafa30/D94489D5_3A7E_40EE_9608_45F9F8EE9325.jpeg")</f>
        <v>https://api.typeform.com/responses/files/12d650a144cb8d03dd7afabb928f61a4914023cf0fafef097b9918932fdafa30/D94489D5_3A7E_40EE_9608_45F9F8EE9325.jpeg</v>
      </c>
      <c r="BW308" t="b">
        <v>1</v>
      </c>
      <c r="BX308" t="s">
        <v>1394</v>
      </c>
      <c r="BY308" t="s">
        <v>140</v>
      </c>
      <c r="CA308" t="s">
        <v>1395</v>
      </c>
      <c r="CD308">
        <v>0.0</v>
      </c>
      <c r="CF308" t="b">
        <v>1</v>
      </c>
      <c r="CG308" t="b">
        <v>1</v>
      </c>
      <c r="CH308" t="s">
        <v>4188</v>
      </c>
      <c r="CJ308" t="b">
        <v>1</v>
      </c>
      <c r="CK308" t="b">
        <v>1</v>
      </c>
      <c r="CL308" t="s">
        <v>362</v>
      </c>
      <c r="CM308" t="s">
        <v>362</v>
      </c>
      <c r="CO308" t="s">
        <v>388</v>
      </c>
      <c r="CQ308" t="s">
        <v>810</v>
      </c>
      <c r="CR308" t="b">
        <v>1</v>
      </c>
      <c r="CT308">
        <v>9.0</v>
      </c>
      <c r="CU308">
        <v>7.0</v>
      </c>
      <c r="CX308" s="4" t="s">
        <v>6734</v>
      </c>
      <c r="CZ308" s="5">
        <v>44498.65023148148</v>
      </c>
      <c r="DA308" t="s">
        <v>6735</v>
      </c>
    </row>
    <row r="309">
      <c r="A309" t="s">
        <v>98</v>
      </c>
      <c r="D309" t="s">
        <v>6736</v>
      </c>
      <c r="E309" t="s">
        <v>6737</v>
      </c>
      <c r="F309" s="2">
        <v>38184.0</v>
      </c>
      <c r="G309" t="s">
        <v>1360</v>
      </c>
      <c r="I309" s="3" t="str">
        <f>HYPERLINK("https://api.typeform.com/responses/files/46e38e34b07c256cfd743ba83f34570f9c309c7a33934fcc33a6285900bb031e/IMG_3414.jpg")</f>
        <v>https://api.typeform.com/responses/files/46e38e34b07c256cfd743ba83f34570f9c309c7a33934fcc33a6285900bb031e/IMG_3414.jpg</v>
      </c>
      <c r="J309" t="s">
        <v>6738</v>
      </c>
      <c r="K309" t="b">
        <v>1</v>
      </c>
      <c r="L309" s="4" t="s">
        <v>6739</v>
      </c>
      <c r="M309" t="s">
        <v>6740</v>
      </c>
      <c r="N309" t="s">
        <v>255</v>
      </c>
      <c r="O309" t="s">
        <v>6741</v>
      </c>
      <c r="P309" t="s">
        <v>6742</v>
      </c>
      <c r="Q309" t="s">
        <v>189</v>
      </c>
      <c r="R309" t="s">
        <v>6743</v>
      </c>
      <c r="S309" t="s">
        <v>6744</v>
      </c>
      <c r="T309" s="4" t="s">
        <v>6745</v>
      </c>
      <c r="U309" t="s">
        <v>2722</v>
      </c>
      <c r="V309" t="s">
        <v>6746</v>
      </c>
      <c r="W309" t="s">
        <v>2290</v>
      </c>
      <c r="Y309" t="s">
        <v>158</v>
      </c>
      <c r="Z309" t="s">
        <v>262</v>
      </c>
      <c r="AC309" s="3" t="str">
        <f>HYPERLINK("https://api.typeform.com/responses/files/1d20da1ea9a5def89a1dfc25a2d60775663883543a3e5237f3d61232a36c1b40/IMG_5065.jpg")</f>
        <v>https://api.typeform.com/responses/files/1d20da1ea9a5def89a1dfc25a2d60775663883543a3e5237f3d61232a36c1b40/IMG_5065.jpg</v>
      </c>
      <c r="AD309" t="s">
        <v>118</v>
      </c>
      <c r="AE309" t="s">
        <v>729</v>
      </c>
      <c r="AF309" t="s">
        <v>1170</v>
      </c>
      <c r="AG309">
        <v>11.0</v>
      </c>
      <c r="AH309" s="4" t="s">
        <v>1521</v>
      </c>
      <c r="AI309" t="s">
        <v>162</v>
      </c>
      <c r="AK309" t="s">
        <v>139</v>
      </c>
      <c r="AL309" t="s">
        <v>6747</v>
      </c>
      <c r="AO309" t="s">
        <v>125</v>
      </c>
      <c r="AP309">
        <v>7.0</v>
      </c>
      <c r="AQ309" t="s">
        <v>2240</v>
      </c>
      <c r="AR309" t="s">
        <v>6748</v>
      </c>
      <c r="AS309" t="b">
        <v>1</v>
      </c>
      <c r="AT309" t="b">
        <v>1</v>
      </c>
      <c r="AV309">
        <v>7.0</v>
      </c>
      <c r="AW309" t="b">
        <v>1</v>
      </c>
      <c r="AX309" t="s">
        <v>1902</v>
      </c>
      <c r="AY309" s="4" t="s">
        <v>518</v>
      </c>
      <c r="AZ309" t="b">
        <v>0</v>
      </c>
      <c r="BA309" t="b">
        <v>0</v>
      </c>
      <c r="BD309" t="s">
        <v>6749</v>
      </c>
      <c r="BH309" t="s">
        <v>132</v>
      </c>
      <c r="BI309">
        <v>1.0</v>
      </c>
      <c r="BJ309" t="s">
        <v>6750</v>
      </c>
      <c r="BK309">
        <v>7.0</v>
      </c>
      <c r="BL309">
        <v>7.0</v>
      </c>
      <c r="BM309" t="s">
        <v>6751</v>
      </c>
      <c r="BN309">
        <v>7.0</v>
      </c>
      <c r="BO309">
        <v>7.0</v>
      </c>
      <c r="BP309" t="s">
        <v>6752</v>
      </c>
      <c r="BQ309" t="s">
        <v>6753</v>
      </c>
      <c r="BR309" t="s">
        <v>6754</v>
      </c>
      <c r="BS309" t="s">
        <v>6755</v>
      </c>
      <c r="BU309" t="s">
        <v>6756</v>
      </c>
      <c r="BV309" s="3" t="str">
        <f>HYPERLINK("https://api.typeform.com/responses/files/60d12a1d5b637abdc4780020ff63bbb5d20d5836b11fdccb86d28c30f7824eff/IMG_5475.jpg")</f>
        <v>https://api.typeform.com/responses/files/60d12a1d5b637abdc4780020ff63bbb5d20d5836b11fdccb86d28c30f7824eff/IMG_5475.jpg</v>
      </c>
      <c r="BW309" t="b">
        <v>1</v>
      </c>
      <c r="BX309" t="s">
        <v>1394</v>
      </c>
      <c r="BY309" t="s">
        <v>140</v>
      </c>
      <c r="CA309" t="s">
        <v>1395</v>
      </c>
      <c r="CD309">
        <v>0.0</v>
      </c>
      <c r="CF309" t="b">
        <v>1</v>
      </c>
      <c r="CG309" t="b">
        <v>1</v>
      </c>
      <c r="CH309" t="s">
        <v>2553</v>
      </c>
      <c r="CJ309" t="b">
        <v>1</v>
      </c>
      <c r="CK309" t="b">
        <v>1</v>
      </c>
      <c r="CL309" t="s">
        <v>387</v>
      </c>
      <c r="CO309" t="s">
        <v>3491</v>
      </c>
      <c r="CR309" t="b">
        <v>1</v>
      </c>
      <c r="CT309">
        <v>0.0</v>
      </c>
      <c r="CU309">
        <v>0.0</v>
      </c>
      <c r="CX309" s="4" t="s">
        <v>6757</v>
      </c>
      <c r="CZ309" s="5">
        <v>44498.65332175926</v>
      </c>
      <c r="DA309" t="s">
        <v>6758</v>
      </c>
    </row>
    <row r="310">
      <c r="A310" t="s">
        <v>98</v>
      </c>
      <c r="D310" t="s">
        <v>6759</v>
      </c>
      <c r="E310" t="s">
        <v>6760</v>
      </c>
      <c r="F310" s="2">
        <v>37911.0</v>
      </c>
      <c r="G310" t="s">
        <v>1360</v>
      </c>
      <c r="I310" s="3" t="str">
        <f>HYPERLINK("https://api.typeform.com/responses/files/ef77f9441e270228a59fcfa4d49c2e73e91208cfd2d1195bfe5c3831200520b2/IMG_2811.JPG")</f>
        <v>https://api.typeform.com/responses/files/ef77f9441e270228a59fcfa4d49c2e73e91208cfd2d1195bfe5c3831200520b2/IMG_2811.JPG</v>
      </c>
      <c r="J310" t="s">
        <v>6761</v>
      </c>
      <c r="K310" t="b">
        <v>1</v>
      </c>
      <c r="L310" s="4" t="s">
        <v>6762</v>
      </c>
      <c r="M310" t="s">
        <v>6763</v>
      </c>
      <c r="N310" t="s">
        <v>354</v>
      </c>
      <c r="O310" t="s">
        <v>355</v>
      </c>
      <c r="P310" t="s">
        <v>6764</v>
      </c>
      <c r="Q310" t="s">
        <v>189</v>
      </c>
      <c r="R310" t="s">
        <v>6765</v>
      </c>
      <c r="S310" t="s">
        <v>6766</v>
      </c>
      <c r="T310" s="4" t="s">
        <v>6767</v>
      </c>
      <c r="U310" t="s">
        <v>2722</v>
      </c>
      <c r="V310" t="s">
        <v>6768</v>
      </c>
      <c r="W310" t="s">
        <v>2290</v>
      </c>
      <c r="Y310" t="s">
        <v>114</v>
      </c>
      <c r="Z310" t="s">
        <v>262</v>
      </c>
      <c r="AC310" s="3" t="str">
        <f>HYPERLINK("https://api.typeform.com/responses/files/488e8aba9cbc6c6e93b3bd6583c6beb64e297eb98243a19c7f6210eb42a358f5/IMG_2893.JPG")</f>
        <v>https://api.typeform.com/responses/files/488e8aba9cbc6c6e93b3bd6583c6beb64e297eb98243a19c7f6210eb42a358f5/IMG_2893.JPG</v>
      </c>
      <c r="AD310" t="s">
        <v>118</v>
      </c>
      <c r="AE310" t="s">
        <v>729</v>
      </c>
      <c r="AF310" t="s">
        <v>1170</v>
      </c>
      <c r="AG310">
        <v>15.0</v>
      </c>
      <c r="AH310" s="4" t="s">
        <v>5053</v>
      </c>
      <c r="AI310" t="s">
        <v>205</v>
      </c>
      <c r="AL310" t="s">
        <v>1043</v>
      </c>
      <c r="AO310" t="s">
        <v>335</v>
      </c>
      <c r="AP310">
        <v>3.0</v>
      </c>
      <c r="AQ310" t="s">
        <v>1480</v>
      </c>
      <c r="AR310" t="s">
        <v>6769</v>
      </c>
      <c r="AS310" t="b">
        <v>1</v>
      </c>
      <c r="AT310" t="b">
        <v>0</v>
      </c>
      <c r="AV310">
        <v>4.0</v>
      </c>
      <c r="AW310" t="b">
        <v>0</v>
      </c>
      <c r="AZ310" t="b">
        <v>0</v>
      </c>
      <c r="BA310" t="b">
        <v>0</v>
      </c>
      <c r="BD310" t="s">
        <v>6770</v>
      </c>
      <c r="BH310" t="s">
        <v>132</v>
      </c>
      <c r="BI310">
        <v>2.0</v>
      </c>
      <c r="BJ310" t="s">
        <v>309</v>
      </c>
      <c r="BK310">
        <v>7.0</v>
      </c>
      <c r="BL310">
        <v>4.0</v>
      </c>
      <c r="BM310" t="s">
        <v>6771</v>
      </c>
      <c r="BN310">
        <v>4.0</v>
      </c>
      <c r="BO310">
        <v>6.0</v>
      </c>
      <c r="BP310" t="s">
        <v>6772</v>
      </c>
      <c r="BQ310" t="s">
        <v>3728</v>
      </c>
      <c r="BR310" t="s">
        <v>6773</v>
      </c>
      <c r="BS310" t="s">
        <v>6774</v>
      </c>
      <c r="BU310" t="s">
        <v>6775</v>
      </c>
      <c r="BV310" s="3" t="str">
        <f>HYPERLINK("https://api.typeform.com/responses/files/82085101c84a81e62d3643a84dfee0d04a3d210ed3f951c614dca8c81fa93a4b/IMG_2961.JPG")</f>
        <v>https://api.typeform.com/responses/files/82085101c84a81e62d3643a84dfee0d04a3d210ed3f951c614dca8c81fa93a4b/IMG_2961.JPG</v>
      </c>
      <c r="BW310" t="b">
        <v>1</v>
      </c>
      <c r="BX310" t="s">
        <v>1394</v>
      </c>
      <c r="BY310" t="s">
        <v>140</v>
      </c>
      <c r="CA310" t="s">
        <v>1395</v>
      </c>
      <c r="CD310">
        <v>0.0</v>
      </c>
      <c r="CF310" t="b">
        <v>1</v>
      </c>
      <c r="CG310" t="b">
        <v>1</v>
      </c>
      <c r="CH310" t="s">
        <v>6776</v>
      </c>
      <c r="CJ310" t="b">
        <v>1</v>
      </c>
      <c r="CK310" t="b">
        <v>1</v>
      </c>
      <c r="CL310" t="s">
        <v>541</v>
      </c>
      <c r="CM310" t="s">
        <v>1489</v>
      </c>
      <c r="CO310" t="s">
        <v>6777</v>
      </c>
      <c r="CQ310" t="s">
        <v>1489</v>
      </c>
      <c r="CR310" t="b">
        <v>1</v>
      </c>
      <c r="CT310">
        <v>9.0</v>
      </c>
      <c r="CU310">
        <v>3.0</v>
      </c>
      <c r="CX310" s="4" t="s">
        <v>6778</v>
      </c>
      <c r="CZ310" s="5">
        <v>44498.65724537037</v>
      </c>
      <c r="DA310" t="s">
        <v>6779</v>
      </c>
    </row>
    <row r="311">
      <c r="A311" t="s">
        <v>98</v>
      </c>
      <c r="D311" t="s">
        <v>6780</v>
      </c>
      <c r="E311" t="s">
        <v>6781</v>
      </c>
      <c r="F311" s="2">
        <v>38497.0</v>
      </c>
      <c r="G311" t="s">
        <v>1466</v>
      </c>
      <c r="I311" s="3" t="str">
        <f>HYPERLINK("https://api.typeform.com/responses/files/1b54d2c9d1732f8cd08290e3b60a3449516f606e9dd188db17a934083059f217/IMG_20211029_111338.jpg")</f>
        <v>https://api.typeform.com/responses/files/1b54d2c9d1732f8cd08290e3b60a3449516f606e9dd188db17a934083059f217/IMG_20211029_111338.jpg</v>
      </c>
      <c r="J311" t="s">
        <v>6782</v>
      </c>
      <c r="K311" t="b">
        <v>0</v>
      </c>
      <c r="M311" t="s">
        <v>6783</v>
      </c>
      <c r="N311" t="s">
        <v>255</v>
      </c>
      <c r="O311" t="s">
        <v>1014</v>
      </c>
      <c r="P311" t="s">
        <v>6784</v>
      </c>
      <c r="Q311" t="s">
        <v>152</v>
      </c>
      <c r="R311" t="s">
        <v>6782</v>
      </c>
      <c r="S311" t="s">
        <v>6785</v>
      </c>
      <c r="T311" s="4" t="s">
        <v>6786</v>
      </c>
      <c r="U311" t="s">
        <v>6787</v>
      </c>
      <c r="V311" t="s">
        <v>6788</v>
      </c>
      <c r="W311" t="s">
        <v>2290</v>
      </c>
      <c r="Y311" t="s">
        <v>158</v>
      </c>
      <c r="Z311" t="s">
        <v>262</v>
      </c>
      <c r="AC311" s="3" t="str">
        <f>HYPERLINK("https://api.typeform.com/responses/files/87a6bb265ebd6ae4ec4afc2185a818438908ae9bd94dd24c87d369a22505d127/IMG_20211029_112231.jpg")</f>
        <v>https://api.typeform.com/responses/files/87a6bb265ebd6ae4ec4afc2185a818438908ae9bd94dd24c87d369a22505d127/IMG_20211029_112231.jpg</v>
      </c>
      <c r="AD311" t="s">
        <v>479</v>
      </c>
      <c r="AE311" t="s">
        <v>729</v>
      </c>
      <c r="AF311" t="s">
        <v>6789</v>
      </c>
      <c r="AG311">
        <v>14.0</v>
      </c>
      <c r="AH311" t="s">
        <v>6790</v>
      </c>
      <c r="AI311" t="s">
        <v>162</v>
      </c>
      <c r="AK311" t="s">
        <v>6791</v>
      </c>
      <c r="AL311" t="s">
        <v>6792</v>
      </c>
      <c r="AO311" t="s">
        <v>486</v>
      </c>
      <c r="AP311">
        <v>7.0</v>
      </c>
      <c r="AQ311" t="s">
        <v>303</v>
      </c>
      <c r="AR311" t="s">
        <v>6793</v>
      </c>
      <c r="AS311" t="b">
        <v>1</v>
      </c>
      <c r="AT311" t="b">
        <v>0</v>
      </c>
      <c r="AV311">
        <v>7.0</v>
      </c>
      <c r="AW311" t="b">
        <v>1</v>
      </c>
      <c r="AX311" t="s">
        <v>1450</v>
      </c>
      <c r="AY311" t="s">
        <v>1045</v>
      </c>
      <c r="AZ311" t="b">
        <v>1</v>
      </c>
      <c r="BA311" t="b">
        <v>0</v>
      </c>
      <c r="BD311" t="s">
        <v>6794</v>
      </c>
      <c r="BH311" t="s">
        <v>132</v>
      </c>
      <c r="BI311">
        <v>7.0</v>
      </c>
      <c r="BJ311" t="s">
        <v>6795</v>
      </c>
      <c r="BK311">
        <v>7.0</v>
      </c>
      <c r="BL311">
        <v>7.0</v>
      </c>
      <c r="BM311" t="s">
        <v>6796</v>
      </c>
      <c r="BN311">
        <v>7.0</v>
      </c>
      <c r="BO311">
        <v>7.0</v>
      </c>
      <c r="BP311" t="s">
        <v>6797</v>
      </c>
      <c r="BQ311" t="s">
        <v>1050</v>
      </c>
      <c r="BR311" t="s">
        <v>6798</v>
      </c>
      <c r="BS311" t="s">
        <v>6087</v>
      </c>
      <c r="BU311" t="s">
        <v>6799</v>
      </c>
      <c r="BV311" s="3" t="str">
        <f>HYPERLINK("https://api.typeform.com/responses/files/3272def82aa14f359eb9471f0a8fa03f1cbca8665a08613e722993fbcf2440a7/IMG_20211029_114702.jpg")</f>
        <v>https://api.typeform.com/responses/files/3272def82aa14f359eb9471f0a8fa03f1cbca8665a08613e722993fbcf2440a7/IMG_20211029_114702.jpg</v>
      </c>
      <c r="BW311" t="b">
        <v>1</v>
      </c>
      <c r="BX311" t="s">
        <v>1394</v>
      </c>
      <c r="BY311" t="s">
        <v>140</v>
      </c>
      <c r="CA311" t="s">
        <v>1395</v>
      </c>
      <c r="CD311">
        <v>0.0</v>
      </c>
      <c r="CF311" t="b">
        <v>1</v>
      </c>
      <c r="CG311" t="b">
        <v>0</v>
      </c>
      <c r="CH311" t="s">
        <v>4188</v>
      </c>
      <c r="CJ311" t="b">
        <v>1</v>
      </c>
      <c r="CK311" t="b">
        <v>1</v>
      </c>
      <c r="CL311" t="s">
        <v>810</v>
      </c>
      <c r="CM311" t="s">
        <v>810</v>
      </c>
      <c r="CO311" t="s">
        <v>2068</v>
      </c>
      <c r="CQ311" t="s">
        <v>413</v>
      </c>
      <c r="CR311" t="b">
        <v>1</v>
      </c>
      <c r="CT311">
        <v>1.0</v>
      </c>
      <c r="CU311">
        <v>2.0</v>
      </c>
      <c r="CX311" s="4" t="s">
        <v>6800</v>
      </c>
      <c r="CZ311" s="5">
        <v>44498.65891203703</v>
      </c>
      <c r="DA311" t="s">
        <v>6801</v>
      </c>
    </row>
    <row r="312">
      <c r="A312" t="s">
        <v>98</v>
      </c>
      <c r="D312" t="s">
        <v>6802</v>
      </c>
      <c r="E312" t="s">
        <v>6433</v>
      </c>
      <c r="F312" s="2">
        <v>38633.0</v>
      </c>
      <c r="G312" t="s">
        <v>1360</v>
      </c>
      <c r="I312" s="3" t="str">
        <f>HYPERLINK("https://api.typeform.com/responses/files/90580c96beb566614ad1475946dd8c8b0ea394287c15af88aafc59dd2d8467df/IMG_3441.JPG")</f>
        <v>https://api.typeform.com/responses/files/90580c96beb566614ad1475946dd8c8b0ea394287c15af88aafc59dd2d8467df/IMG_3441.JPG</v>
      </c>
      <c r="J312" t="s">
        <v>6803</v>
      </c>
      <c r="K312" t="b">
        <v>1</v>
      </c>
      <c r="L312" s="4" t="s">
        <v>6804</v>
      </c>
      <c r="M312" t="s">
        <v>6805</v>
      </c>
      <c r="N312" t="s">
        <v>255</v>
      </c>
      <c r="P312" t="s">
        <v>6806</v>
      </c>
      <c r="Q312" t="s">
        <v>189</v>
      </c>
      <c r="R312" t="s">
        <v>6807</v>
      </c>
      <c r="S312" t="s">
        <v>6808</v>
      </c>
      <c r="T312" s="4" t="s">
        <v>6440</v>
      </c>
      <c r="U312" t="s">
        <v>6107</v>
      </c>
      <c r="V312" t="s">
        <v>2407</v>
      </c>
      <c r="W312" t="s">
        <v>261</v>
      </c>
      <c r="Y312" t="s">
        <v>158</v>
      </c>
      <c r="Z312" t="s">
        <v>262</v>
      </c>
      <c r="AC312" s="3" t="str">
        <f>HYPERLINK("https://api.typeform.com/responses/files/18583c843f0c775e31b0791880366469653ba327d3b076ad6fac5161c308ba70/IMG_6080.jpg")</f>
        <v>https://api.typeform.com/responses/files/18583c843f0c775e31b0791880366469653ba327d3b076ad6fac5161c308ba70/IMG_6080.jpg</v>
      </c>
      <c r="AD312" t="s">
        <v>118</v>
      </c>
      <c r="AE312" t="s">
        <v>729</v>
      </c>
      <c r="AF312" t="s">
        <v>6442</v>
      </c>
      <c r="AG312">
        <v>14.0</v>
      </c>
      <c r="AH312" t="s">
        <v>3387</v>
      </c>
      <c r="AI312" t="s">
        <v>205</v>
      </c>
      <c r="AL312" t="s">
        <v>1546</v>
      </c>
      <c r="AO312" t="s">
        <v>335</v>
      </c>
      <c r="AP312">
        <v>5.0</v>
      </c>
      <c r="AQ312" t="s">
        <v>2625</v>
      </c>
      <c r="AR312" t="s">
        <v>1832</v>
      </c>
      <c r="AS312" t="b">
        <v>1</v>
      </c>
      <c r="AT312" t="b">
        <v>1</v>
      </c>
      <c r="AV312">
        <v>6.0</v>
      </c>
      <c r="AW312" t="b">
        <v>1</v>
      </c>
      <c r="AX312" t="s">
        <v>1902</v>
      </c>
      <c r="AY312" s="4" t="s">
        <v>518</v>
      </c>
      <c r="AZ312" t="b">
        <v>0</v>
      </c>
      <c r="BA312" t="b">
        <v>1</v>
      </c>
      <c r="BB312" t="b">
        <v>1</v>
      </c>
      <c r="BC312" t="s">
        <v>6809</v>
      </c>
      <c r="BH312" t="s">
        <v>132</v>
      </c>
      <c r="BI312">
        <v>4.0</v>
      </c>
      <c r="BJ312" t="s">
        <v>6810</v>
      </c>
      <c r="BK312">
        <v>5.0</v>
      </c>
      <c r="BL312">
        <v>5.0</v>
      </c>
      <c r="BM312" t="s">
        <v>6811</v>
      </c>
      <c r="BN312">
        <v>5.0</v>
      </c>
      <c r="BO312">
        <v>4.0</v>
      </c>
      <c r="BP312" t="s">
        <v>6812</v>
      </c>
      <c r="BQ312" t="s">
        <v>6813</v>
      </c>
      <c r="BR312" t="s">
        <v>6814</v>
      </c>
      <c r="BS312" t="s">
        <v>6815</v>
      </c>
      <c r="BU312" t="s">
        <v>606</v>
      </c>
      <c r="BV312" s="3" t="str">
        <f>HYPERLINK("https://api.typeform.com/responses/files/4ce82ecbcdf0e1d90e8e60e7573b16038d3935645a0b65a26eaccdd7555d0bd4/IMG_6081.jpg")</f>
        <v>https://api.typeform.com/responses/files/4ce82ecbcdf0e1d90e8e60e7573b16038d3935645a0b65a26eaccdd7555d0bd4/IMG_6081.jpg</v>
      </c>
      <c r="BW312" t="b">
        <v>1</v>
      </c>
      <c r="BX312" t="s">
        <v>1394</v>
      </c>
      <c r="BY312" t="s">
        <v>140</v>
      </c>
      <c r="CA312" t="s">
        <v>1395</v>
      </c>
      <c r="CD312">
        <v>0.0</v>
      </c>
      <c r="CF312" t="b">
        <v>1</v>
      </c>
      <c r="CG312" t="b">
        <v>1</v>
      </c>
      <c r="CH312" t="s">
        <v>6816</v>
      </c>
      <c r="CJ312" t="b">
        <v>1</v>
      </c>
      <c r="CK312" t="b">
        <v>0</v>
      </c>
      <c r="CL312" t="s">
        <v>387</v>
      </c>
      <c r="CO312" t="s">
        <v>1635</v>
      </c>
      <c r="CR312" t="b">
        <v>1</v>
      </c>
      <c r="CT312">
        <v>1.0</v>
      </c>
      <c r="CU312">
        <v>2.0</v>
      </c>
      <c r="CX312" s="4" t="s">
        <v>6817</v>
      </c>
      <c r="CZ312" s="5">
        <v>44498.66204861111</v>
      </c>
      <c r="DA312" t="s">
        <v>6818</v>
      </c>
    </row>
    <row r="313">
      <c r="A313" t="s">
        <v>98</v>
      </c>
      <c r="D313" t="s">
        <v>6268</v>
      </c>
      <c r="E313" t="s">
        <v>6819</v>
      </c>
      <c r="F313" s="2">
        <v>38360.0</v>
      </c>
      <c r="G313" t="s">
        <v>1466</v>
      </c>
      <c r="I313" s="3" t="str">
        <f>HYPERLINK("https://api.typeform.com/responses/files/f7595b4d21374b4d710b9775e2751fc3702bb745839e3349c192eb9304faba48/IMG_20211029_111232.jpg")</f>
        <v>https://api.typeform.com/responses/files/f7595b4d21374b4d710b9775e2751fc3702bb745839e3349c192eb9304faba48/IMG_20211029_111232.jpg</v>
      </c>
      <c r="J313" t="s">
        <v>6820</v>
      </c>
      <c r="K313" t="b">
        <v>1</v>
      </c>
      <c r="L313" s="4" t="s">
        <v>6821</v>
      </c>
      <c r="M313" t="s">
        <v>6822</v>
      </c>
      <c r="N313" t="s">
        <v>149</v>
      </c>
      <c r="O313" t="s">
        <v>6820</v>
      </c>
      <c r="P313" t="s">
        <v>6823</v>
      </c>
      <c r="Q313" t="s">
        <v>189</v>
      </c>
      <c r="R313" t="s">
        <v>6820</v>
      </c>
      <c r="S313" t="s">
        <v>6822</v>
      </c>
      <c r="T313" s="4" t="s">
        <v>6824</v>
      </c>
      <c r="U313" t="s">
        <v>2722</v>
      </c>
      <c r="V313" t="s">
        <v>6825</v>
      </c>
      <c r="W313" t="s">
        <v>2290</v>
      </c>
      <c r="Y313" t="s">
        <v>158</v>
      </c>
      <c r="Z313" t="s">
        <v>262</v>
      </c>
      <c r="AC313" s="3" t="str">
        <f>HYPERLINK("https://api.typeform.com/responses/files/dcdd2439dc44e2bf9b8b4075793d5782ab7e66110778ba5a881e115c64178f6e/IMG_20211029_112131.jpg")</f>
        <v>https://api.typeform.com/responses/files/dcdd2439dc44e2bf9b8b4075793d5782ab7e66110778ba5a881e115c64178f6e/IMG_20211029_112131.jpg</v>
      </c>
      <c r="AD313" t="s">
        <v>118</v>
      </c>
      <c r="AE313" t="s">
        <v>729</v>
      </c>
      <c r="AF313" t="s">
        <v>6826</v>
      </c>
      <c r="AG313">
        <v>10.0</v>
      </c>
      <c r="AH313" t="s">
        <v>3585</v>
      </c>
      <c r="AI313" t="s">
        <v>162</v>
      </c>
      <c r="AK313" t="s">
        <v>4595</v>
      </c>
      <c r="AL313" t="s">
        <v>1043</v>
      </c>
      <c r="AO313" t="s">
        <v>125</v>
      </c>
      <c r="AP313">
        <v>4.0</v>
      </c>
      <c r="AQ313" t="s">
        <v>126</v>
      </c>
      <c r="AR313" t="s">
        <v>3762</v>
      </c>
      <c r="AS313" t="b">
        <v>1</v>
      </c>
      <c r="AT313" t="b">
        <v>1</v>
      </c>
      <c r="AV313">
        <v>4.0</v>
      </c>
      <c r="AW313" t="b">
        <v>0</v>
      </c>
      <c r="AZ313" t="b">
        <v>1</v>
      </c>
      <c r="BA313" t="b">
        <v>0</v>
      </c>
      <c r="BD313" t="s">
        <v>6827</v>
      </c>
      <c r="BH313" t="s">
        <v>132</v>
      </c>
      <c r="BI313">
        <v>3.0</v>
      </c>
      <c r="BJ313" t="s">
        <v>6828</v>
      </c>
      <c r="BK313">
        <v>5.0</v>
      </c>
      <c r="BL313">
        <v>5.0</v>
      </c>
      <c r="BM313" t="s">
        <v>6829</v>
      </c>
      <c r="BN313">
        <v>4.0</v>
      </c>
      <c r="BO313">
        <v>5.0</v>
      </c>
      <c r="BP313" t="s">
        <v>6830</v>
      </c>
      <c r="BQ313" t="s">
        <v>6831</v>
      </c>
      <c r="BR313" t="s">
        <v>6832</v>
      </c>
      <c r="BS313" t="s">
        <v>6833</v>
      </c>
      <c r="BU313" t="s">
        <v>139</v>
      </c>
      <c r="BV313" s="3" t="str">
        <f>HYPERLINK("https://api.typeform.com/responses/files/34ef96807e174a76377aeea2285266a5fea227e8452bd37ae1ab1c49384241bd/IMG_20211029_115530.jpg")</f>
        <v>https://api.typeform.com/responses/files/34ef96807e174a76377aeea2285266a5fea227e8452bd37ae1ab1c49384241bd/IMG_20211029_115530.jpg</v>
      </c>
      <c r="BW313" t="b">
        <v>1</v>
      </c>
      <c r="BX313" t="s">
        <v>1394</v>
      </c>
      <c r="BY313" t="s">
        <v>822</v>
      </c>
      <c r="BZ313" t="s">
        <v>1419</v>
      </c>
      <c r="CD313">
        <v>0.0</v>
      </c>
      <c r="CF313" t="b">
        <v>1</v>
      </c>
      <c r="CG313" t="b">
        <v>1</v>
      </c>
      <c r="CH313" t="s">
        <v>4188</v>
      </c>
      <c r="CJ313" t="b">
        <v>1</v>
      </c>
      <c r="CK313" t="b">
        <v>1</v>
      </c>
      <c r="CL313" t="s">
        <v>387</v>
      </c>
      <c r="CM313" t="s">
        <v>387</v>
      </c>
      <c r="CO313" t="s">
        <v>3491</v>
      </c>
      <c r="CQ313" t="s">
        <v>387</v>
      </c>
      <c r="CR313" t="b">
        <v>1</v>
      </c>
      <c r="CT313">
        <v>1.0</v>
      </c>
      <c r="CU313">
        <v>2.0</v>
      </c>
      <c r="CX313" s="4" t="s">
        <v>6834</v>
      </c>
      <c r="CZ313" s="5">
        <v>44498.66443287037</v>
      </c>
      <c r="DA313" t="s">
        <v>6835</v>
      </c>
    </row>
    <row r="314">
      <c r="A314" t="s">
        <v>98</v>
      </c>
      <c r="D314" t="s">
        <v>6836</v>
      </c>
      <c r="E314" t="s">
        <v>6837</v>
      </c>
      <c r="F314" s="2">
        <v>37938.0</v>
      </c>
      <c r="G314" t="s">
        <v>1466</v>
      </c>
      <c r="I314" s="3" t="str">
        <f>HYPERLINK("https://api.typeform.com/responses/files/e61c0bf13480fd4d84eac8d931754ef1727229782751031ff333b0e588fd0c74/IMG_1768__1_.jpg")</f>
        <v>https://api.typeform.com/responses/files/e61c0bf13480fd4d84eac8d931754ef1727229782751031ff333b0e588fd0c74/IMG_1768__1_.jpg</v>
      </c>
      <c r="J314" t="s">
        <v>6838</v>
      </c>
      <c r="K314" t="b">
        <v>1</v>
      </c>
      <c r="L314" s="4" t="s">
        <v>6839</v>
      </c>
      <c r="M314" t="s">
        <v>6840</v>
      </c>
      <c r="N314" t="s">
        <v>354</v>
      </c>
      <c r="O314" t="s">
        <v>6841</v>
      </c>
      <c r="P314" t="s">
        <v>6842</v>
      </c>
      <c r="Q314" t="s">
        <v>152</v>
      </c>
      <c r="R314" t="s">
        <v>6843</v>
      </c>
      <c r="S314" t="s">
        <v>6840</v>
      </c>
      <c r="T314" s="4" t="s">
        <v>6844</v>
      </c>
      <c r="U314" t="s">
        <v>6845</v>
      </c>
      <c r="V314" t="s">
        <v>6846</v>
      </c>
      <c r="W314" t="s">
        <v>113</v>
      </c>
      <c r="Y314" t="s">
        <v>158</v>
      </c>
      <c r="Z314" t="s">
        <v>195</v>
      </c>
      <c r="AC314" s="3" t="str">
        <f>HYPERLINK("https://api.typeform.com/responses/files/bbd8c4e694014a104f5864d3395ed436ac4f874533deaa1fac4bc4ad14e590fc/IMG_1313__1_.jpg")</f>
        <v>https://api.typeform.com/responses/files/bbd8c4e694014a104f5864d3395ed436ac4f874533deaa1fac4bc4ad14e590fc/IMG_1313__1_.jpg</v>
      </c>
      <c r="AD314" t="s">
        <v>118</v>
      </c>
      <c r="AE314" t="s">
        <v>729</v>
      </c>
      <c r="AF314" t="s">
        <v>6847</v>
      </c>
      <c r="AG314">
        <v>14.0</v>
      </c>
      <c r="AH314" s="4" t="s">
        <v>6848</v>
      </c>
      <c r="AI314" t="s">
        <v>121</v>
      </c>
      <c r="AK314" t="s">
        <v>6849</v>
      </c>
      <c r="AL314" t="s">
        <v>6850</v>
      </c>
      <c r="AO314" t="s">
        <v>125</v>
      </c>
      <c r="AP314">
        <v>7.0</v>
      </c>
      <c r="AQ314" t="s">
        <v>2240</v>
      </c>
      <c r="AR314" t="s">
        <v>6851</v>
      </c>
      <c r="AS314" t="b">
        <v>0</v>
      </c>
      <c r="AV314">
        <v>6.0</v>
      </c>
      <c r="AW314" t="b">
        <v>0</v>
      </c>
      <c r="AZ314" t="b">
        <v>0</v>
      </c>
      <c r="BA314" t="b">
        <v>1</v>
      </c>
      <c r="BB314" t="b">
        <v>0</v>
      </c>
      <c r="BC314" t="s">
        <v>6852</v>
      </c>
      <c r="BH314" t="s">
        <v>132</v>
      </c>
      <c r="BI314">
        <v>4.0</v>
      </c>
      <c r="BJ314" t="s">
        <v>6853</v>
      </c>
      <c r="BK314">
        <v>5.0</v>
      </c>
      <c r="BL314">
        <v>5.0</v>
      </c>
      <c r="BM314" t="s">
        <v>6854</v>
      </c>
      <c r="BN314">
        <v>3.0</v>
      </c>
      <c r="BO314">
        <v>7.0</v>
      </c>
      <c r="BP314" t="s">
        <v>6855</v>
      </c>
      <c r="BQ314" t="s">
        <v>3605</v>
      </c>
      <c r="BR314" t="s">
        <v>6856</v>
      </c>
      <c r="BS314" t="s">
        <v>6857</v>
      </c>
      <c r="BU314" t="s">
        <v>620</v>
      </c>
      <c r="BV314" s="3" t="str">
        <f>HYPERLINK("https://api.typeform.com/responses/files/c5ef49d07860b5d2eb6671df504c8d58135f63a76603f88ad65546c629ec880a/IMG_1313__1_.jpg")</f>
        <v>https://api.typeform.com/responses/files/c5ef49d07860b5d2eb6671df504c8d58135f63a76603f88ad65546c629ec880a/IMG_1313__1_.jpg</v>
      </c>
      <c r="BW314" t="b">
        <v>1</v>
      </c>
      <c r="BX314" t="s">
        <v>1394</v>
      </c>
      <c r="BY314" t="s">
        <v>140</v>
      </c>
      <c r="CA314" t="s">
        <v>1395</v>
      </c>
      <c r="CD314">
        <v>0.0</v>
      </c>
      <c r="CF314" t="b">
        <v>1</v>
      </c>
      <c r="CG314" t="b">
        <v>1</v>
      </c>
      <c r="CH314" t="s">
        <v>1935</v>
      </c>
      <c r="CJ314" t="b">
        <v>1</v>
      </c>
      <c r="CK314" t="b">
        <v>1</v>
      </c>
      <c r="CL314" t="s">
        <v>300</v>
      </c>
      <c r="CM314" t="s">
        <v>300</v>
      </c>
      <c r="CO314" t="s">
        <v>124</v>
      </c>
      <c r="CQ314" t="s">
        <v>300</v>
      </c>
      <c r="CR314" t="b">
        <v>1</v>
      </c>
      <c r="CT314">
        <v>0.0</v>
      </c>
      <c r="CU314">
        <v>0.0</v>
      </c>
      <c r="CX314" s="4" t="s">
        <v>3042</v>
      </c>
      <c r="CZ314" s="5">
        <v>44498.664513888885</v>
      </c>
      <c r="DA314" t="s">
        <v>6858</v>
      </c>
    </row>
    <row r="315">
      <c r="A315" t="s">
        <v>98</v>
      </c>
      <c r="D315" t="s">
        <v>6593</v>
      </c>
      <c r="E315" t="s">
        <v>6859</v>
      </c>
      <c r="F315" s="2">
        <v>37251.0</v>
      </c>
      <c r="G315" t="s">
        <v>1360</v>
      </c>
      <c r="I315" s="3" t="str">
        <f>HYPERLINK("https://api.typeform.com/responses/files/a58dfc747a0df3145259ee86da3008010f20972f1806bbdf00797ae3faddd9e4/IMG_1833__1_.jpg")</f>
        <v>https://api.typeform.com/responses/files/a58dfc747a0df3145259ee86da3008010f20972f1806bbdf00797ae3faddd9e4/IMG_1833__1_.jpg</v>
      </c>
      <c r="J315" t="s">
        <v>6860</v>
      </c>
      <c r="K315" t="b">
        <v>1</v>
      </c>
      <c r="L315" s="4" t="s">
        <v>6861</v>
      </c>
      <c r="M315" t="s">
        <v>6862</v>
      </c>
      <c r="N315" t="s">
        <v>354</v>
      </c>
      <c r="P315" t="s">
        <v>6863</v>
      </c>
      <c r="Q315" t="s">
        <v>152</v>
      </c>
      <c r="R315" t="s">
        <v>6860</v>
      </c>
      <c r="S315" t="s">
        <v>6862</v>
      </c>
      <c r="T315" s="4" t="s">
        <v>6864</v>
      </c>
      <c r="U315" t="s">
        <v>2313</v>
      </c>
      <c r="V315" t="s">
        <v>6865</v>
      </c>
      <c r="W315" t="s">
        <v>2290</v>
      </c>
      <c r="Y315" t="s">
        <v>158</v>
      </c>
      <c r="Z315" t="s">
        <v>262</v>
      </c>
      <c r="AC315" s="3" t="str">
        <f>HYPERLINK("https://api.typeform.com/responses/files/8d52a67fdef0ccfc19aa0e7a3e27dd7e105323b9ed70db6d38c220d0e33056a3/IMG_1793.jpeg")</f>
        <v>https://api.typeform.com/responses/files/8d52a67fdef0ccfc19aa0e7a3e27dd7e105323b9ed70db6d38c220d0e33056a3/IMG_1793.jpeg</v>
      </c>
      <c r="AD315" t="s">
        <v>118</v>
      </c>
      <c r="AE315" t="s">
        <v>729</v>
      </c>
      <c r="AF315" t="s">
        <v>197</v>
      </c>
      <c r="AG315">
        <v>17.0</v>
      </c>
      <c r="AH315" s="4" t="s">
        <v>2300</v>
      </c>
      <c r="AI315" t="s">
        <v>162</v>
      </c>
      <c r="AK315" t="s">
        <v>6866</v>
      </c>
      <c r="AL315" t="s">
        <v>1043</v>
      </c>
      <c r="AO315" t="s">
        <v>125</v>
      </c>
      <c r="AP315">
        <v>2.0</v>
      </c>
      <c r="AQ315" t="s">
        <v>303</v>
      </c>
      <c r="AR315" t="s">
        <v>6867</v>
      </c>
      <c r="AS315" t="b">
        <v>1</v>
      </c>
      <c r="AT315" t="b">
        <v>1</v>
      </c>
      <c r="AV315">
        <v>4.0</v>
      </c>
      <c r="AW315" t="b">
        <v>0</v>
      </c>
      <c r="AZ315" t="b">
        <v>1</v>
      </c>
      <c r="BA315" t="b">
        <v>1</v>
      </c>
      <c r="BB315" t="b">
        <v>1</v>
      </c>
      <c r="BC315" t="s">
        <v>6868</v>
      </c>
      <c r="BH315" t="s">
        <v>132</v>
      </c>
      <c r="BI315">
        <v>3.0</v>
      </c>
      <c r="BJ315" t="s">
        <v>6869</v>
      </c>
      <c r="BK315">
        <v>4.0</v>
      </c>
      <c r="BL315">
        <v>3.0</v>
      </c>
      <c r="BM315" t="s">
        <v>6870</v>
      </c>
      <c r="BN315">
        <v>3.0</v>
      </c>
      <c r="BO315">
        <v>3.0</v>
      </c>
      <c r="BP315" t="s">
        <v>6871</v>
      </c>
      <c r="BQ315" t="s">
        <v>1050</v>
      </c>
      <c r="BR315" t="s">
        <v>6872</v>
      </c>
      <c r="BS315" t="s">
        <v>3860</v>
      </c>
      <c r="BU315" t="s">
        <v>6873</v>
      </c>
      <c r="BV315" s="3" t="str">
        <f>HYPERLINK("https://api.typeform.com/responses/files/680b41f2cfba88ce47feffa276c3245d80ac8f79b078ab90a8ecece24353afd7/IMG_1834.jpg")</f>
        <v>https://api.typeform.com/responses/files/680b41f2cfba88ce47feffa276c3245d80ac8f79b078ab90a8ecece24353afd7/IMG_1834.jpg</v>
      </c>
      <c r="BW315" t="b">
        <v>1</v>
      </c>
      <c r="BX315" t="s">
        <v>1394</v>
      </c>
      <c r="BY315" t="s">
        <v>140</v>
      </c>
      <c r="CA315" t="s">
        <v>1395</v>
      </c>
      <c r="CD315">
        <v>0.0</v>
      </c>
      <c r="CF315" t="b">
        <v>1</v>
      </c>
      <c r="CG315" t="b">
        <v>0</v>
      </c>
      <c r="CH315" t="s">
        <v>1935</v>
      </c>
      <c r="CJ315" t="b">
        <v>1</v>
      </c>
      <c r="CK315" t="b">
        <v>1</v>
      </c>
      <c r="CL315" t="s">
        <v>2301</v>
      </c>
      <c r="CO315" t="s">
        <v>2888</v>
      </c>
      <c r="CR315" t="b">
        <v>1</v>
      </c>
      <c r="CT315">
        <v>1.0</v>
      </c>
      <c r="CU315">
        <v>2.0</v>
      </c>
      <c r="CX315" s="4" t="s">
        <v>6874</v>
      </c>
      <c r="CZ315" s="5">
        <v>44498.671898148146</v>
      </c>
      <c r="DA315" t="s">
        <v>6875</v>
      </c>
    </row>
    <row r="316">
      <c r="A316" t="s">
        <v>98</v>
      </c>
      <c r="D316" t="s">
        <v>374</v>
      </c>
      <c r="E316" t="s">
        <v>6876</v>
      </c>
      <c r="F316" s="2">
        <v>38589.0</v>
      </c>
      <c r="G316" t="s">
        <v>1360</v>
      </c>
      <c r="I316" s="3" t="str">
        <f>HYPERLINK("https://api.typeform.com/responses/files/1d312e5e2403361caa7ebc8e4d0a98efb219a19693503274041dab5123dd8e0b/2020_04_17.jpg")</f>
        <v>https://api.typeform.com/responses/files/1d312e5e2403361caa7ebc8e4d0a98efb219a19693503274041dab5123dd8e0b/2020_04_17.jpg</v>
      </c>
      <c r="J316" t="s">
        <v>6877</v>
      </c>
      <c r="K316" t="b">
        <v>1</v>
      </c>
      <c r="L316" s="4" t="s">
        <v>6878</v>
      </c>
      <c r="M316" t="s">
        <v>6879</v>
      </c>
      <c r="N316" t="s">
        <v>255</v>
      </c>
      <c r="O316" t="s">
        <v>309</v>
      </c>
      <c r="P316" t="s">
        <v>6880</v>
      </c>
      <c r="Q316" t="s">
        <v>189</v>
      </c>
      <c r="R316" t="s">
        <v>6877</v>
      </c>
      <c r="S316" t="s">
        <v>6879</v>
      </c>
      <c r="T316" s="4" t="s">
        <v>6881</v>
      </c>
      <c r="U316" t="s">
        <v>5987</v>
      </c>
      <c r="V316" t="s">
        <v>6882</v>
      </c>
      <c r="W316" t="s">
        <v>2290</v>
      </c>
      <c r="Y316" t="s">
        <v>158</v>
      </c>
      <c r="Z316" t="s">
        <v>262</v>
      </c>
      <c r="AC316" s="3" t="str">
        <f>HYPERLINK("https://api.typeform.com/responses/files/0f352a446b7753703ba0a2b5c842b2c623ae4367f9b365bd3db6cbc2bfe92806/transcript__1_.jpg")</f>
        <v>https://api.typeform.com/responses/files/0f352a446b7753703ba0a2b5c842b2c623ae4367f9b365bd3db6cbc2bfe92806/transcript__1_.jpg</v>
      </c>
      <c r="AD316" t="s">
        <v>118</v>
      </c>
      <c r="AE316" t="s">
        <v>729</v>
      </c>
      <c r="AF316" t="s">
        <v>6883</v>
      </c>
      <c r="AG316">
        <v>13.0</v>
      </c>
      <c r="AH316" s="4" t="s">
        <v>734</v>
      </c>
      <c r="AI316" t="s">
        <v>386</v>
      </c>
      <c r="AL316" t="s">
        <v>199</v>
      </c>
      <c r="AO316" t="s">
        <v>335</v>
      </c>
      <c r="AP316">
        <v>4.0</v>
      </c>
      <c r="AQ316" t="s">
        <v>1480</v>
      </c>
      <c r="AR316" t="s">
        <v>3856</v>
      </c>
      <c r="AS316" t="b">
        <v>1</v>
      </c>
      <c r="AT316" t="b">
        <v>1</v>
      </c>
      <c r="AV316">
        <v>5.0</v>
      </c>
      <c r="AW316" t="b">
        <v>0</v>
      </c>
      <c r="AZ316" t="b">
        <v>0</v>
      </c>
      <c r="BA316" t="b">
        <v>1</v>
      </c>
      <c r="BB316" t="b">
        <v>0</v>
      </c>
      <c r="BC316" t="s">
        <v>6884</v>
      </c>
      <c r="BH316" t="s">
        <v>132</v>
      </c>
      <c r="BI316">
        <v>3.0</v>
      </c>
      <c r="BJ316" t="s">
        <v>4579</v>
      </c>
      <c r="BK316">
        <v>3.0</v>
      </c>
      <c r="BL316">
        <v>3.0</v>
      </c>
      <c r="BM316" t="s">
        <v>6885</v>
      </c>
      <c r="BN316">
        <v>3.0</v>
      </c>
      <c r="BO316">
        <v>3.0</v>
      </c>
      <c r="BP316" t="s">
        <v>6886</v>
      </c>
      <c r="BQ316" t="s">
        <v>3728</v>
      </c>
      <c r="BR316" t="s">
        <v>6887</v>
      </c>
      <c r="BS316" t="s">
        <v>6888</v>
      </c>
      <c r="BU316" t="s">
        <v>139</v>
      </c>
      <c r="BV316" s="3" t="str">
        <f>HYPERLINK("https://api.typeform.com/responses/files/8cf7b88389526f0ffd6720bb3b0e1023e25d57f2118a4d6c93d58ba4b6282d70/documentoo.jpg")</f>
        <v>https://api.typeform.com/responses/files/8cf7b88389526f0ffd6720bb3b0e1023e25d57f2118a4d6c93d58ba4b6282d70/documentoo.jpg</v>
      </c>
      <c r="BW316" t="b">
        <v>1</v>
      </c>
      <c r="BX316" t="s">
        <v>1394</v>
      </c>
      <c r="BY316" t="s">
        <v>140</v>
      </c>
      <c r="CA316" t="s">
        <v>1395</v>
      </c>
      <c r="CD316">
        <v>0.0</v>
      </c>
      <c r="CF316" t="b">
        <v>0</v>
      </c>
      <c r="CG316" t="b">
        <v>1</v>
      </c>
      <c r="CH316" t="s">
        <v>1557</v>
      </c>
      <c r="CJ316" t="b">
        <v>1</v>
      </c>
      <c r="CK316" t="b">
        <v>1</v>
      </c>
      <c r="CL316" t="s">
        <v>387</v>
      </c>
      <c r="CO316" t="s">
        <v>6889</v>
      </c>
      <c r="CR316" t="b">
        <v>1</v>
      </c>
      <c r="CT316">
        <v>2.0</v>
      </c>
      <c r="CU316">
        <v>1.0</v>
      </c>
      <c r="CX316" s="4" t="s">
        <v>6890</v>
      </c>
      <c r="CZ316" s="5">
        <v>44498.711377314816</v>
      </c>
      <c r="DA316" t="s">
        <v>6891</v>
      </c>
    </row>
    <row r="317">
      <c r="A317" t="s">
        <v>98</v>
      </c>
      <c r="D317" t="s">
        <v>6892</v>
      </c>
      <c r="E317" t="s">
        <v>6691</v>
      </c>
      <c r="F317" s="2">
        <v>38648.0</v>
      </c>
      <c r="G317" t="s">
        <v>1466</v>
      </c>
      <c r="I317" s="3" t="str">
        <f>HYPERLINK("https://api.typeform.com/responses/files/6cc03f95ca6d2084cd8fb4c2ffa065f125194a6215d8e1c71f3e9a3bd005316d/D1BB144D_6104_493B_B008_3516D975CA5D.jpeg")</f>
        <v>https://api.typeform.com/responses/files/6cc03f95ca6d2084cd8fb4c2ffa065f125194a6215d8e1c71f3e9a3bd005316d/D1BB144D_6104_493B_B008_3516D975CA5D.jpeg</v>
      </c>
      <c r="J317" t="s">
        <v>4627</v>
      </c>
      <c r="K317" t="b">
        <v>1</v>
      </c>
      <c r="L317" s="4" t="s">
        <v>4623</v>
      </c>
      <c r="M317" t="s">
        <v>6893</v>
      </c>
      <c r="N317" t="s">
        <v>149</v>
      </c>
      <c r="O317" t="s">
        <v>6894</v>
      </c>
      <c r="P317" t="s">
        <v>6895</v>
      </c>
      <c r="Q317" t="s">
        <v>189</v>
      </c>
      <c r="R317" t="s">
        <v>4627</v>
      </c>
      <c r="S317" t="s">
        <v>6893</v>
      </c>
      <c r="T317" s="4" t="s">
        <v>4628</v>
      </c>
      <c r="U317" t="s">
        <v>4963</v>
      </c>
      <c r="V317" t="s">
        <v>4664</v>
      </c>
      <c r="W317" t="s">
        <v>2290</v>
      </c>
      <c r="Y317" t="s">
        <v>158</v>
      </c>
      <c r="Z317" t="s">
        <v>262</v>
      </c>
      <c r="AC317" s="3" t="str">
        <f>HYPERLINK("https://api.typeform.com/responses/files/15efdaa78e0e52c156084ac3953ce3e6e5db5e86ec197b4252ebc415132b5fa5/D30BCB95_70E1_42BB_B1AD_9663459B1541.png")</f>
        <v>https://api.typeform.com/responses/files/15efdaa78e0e52c156084ac3953ce3e6e5db5e86ec197b4252ebc415132b5fa5/D30BCB95_70E1_42BB_B1AD_9663459B1541.png</v>
      </c>
      <c r="AD317" t="s">
        <v>118</v>
      </c>
      <c r="AE317" t="s">
        <v>729</v>
      </c>
      <c r="AF317" t="s">
        <v>2651</v>
      </c>
      <c r="AG317">
        <v>13.0</v>
      </c>
      <c r="AH317" t="s">
        <v>6896</v>
      </c>
      <c r="AI317" t="s">
        <v>386</v>
      </c>
      <c r="AK317" t="s">
        <v>179</v>
      </c>
      <c r="AL317" t="s">
        <v>967</v>
      </c>
      <c r="AO317" t="s">
        <v>335</v>
      </c>
      <c r="AP317">
        <v>4.0</v>
      </c>
      <c r="AQ317" t="s">
        <v>2462</v>
      </c>
      <c r="AR317" t="s">
        <v>5991</v>
      </c>
      <c r="AS317" t="b">
        <v>1</v>
      </c>
      <c r="AT317" t="b">
        <v>0</v>
      </c>
      <c r="AV317">
        <v>7.0</v>
      </c>
      <c r="AW317" t="b">
        <v>1</v>
      </c>
      <c r="AX317" t="s">
        <v>1902</v>
      </c>
      <c r="AY317" s="4" t="s">
        <v>518</v>
      </c>
      <c r="AZ317" t="b">
        <v>1</v>
      </c>
      <c r="BA317" t="b">
        <v>1</v>
      </c>
      <c r="BB317" t="b">
        <v>0</v>
      </c>
      <c r="BC317" t="s">
        <v>6897</v>
      </c>
      <c r="BH317" t="s">
        <v>974</v>
      </c>
      <c r="BL317">
        <v>6.0</v>
      </c>
      <c r="BM317" t="s">
        <v>5991</v>
      </c>
      <c r="BN317">
        <v>6.0</v>
      </c>
      <c r="BO317">
        <v>5.0</v>
      </c>
      <c r="BP317" t="s">
        <v>6898</v>
      </c>
      <c r="BQ317" t="s">
        <v>4887</v>
      </c>
      <c r="BR317" t="s">
        <v>6899</v>
      </c>
      <c r="BS317" t="s">
        <v>6900</v>
      </c>
      <c r="BU317" t="s">
        <v>179</v>
      </c>
      <c r="BV317" s="3" t="str">
        <f>HYPERLINK("https://api.typeform.com/responses/files/e0cbba046fbd1c8aebdb9b92d8649bdd50137f0b22176b804cef97f1389603e0/2205A722_EADB_4563_9AE9_EBABF20F1925.png")</f>
        <v>https://api.typeform.com/responses/files/e0cbba046fbd1c8aebdb9b92d8649bdd50137f0b22176b804cef97f1389603e0/2205A722_EADB_4563_9AE9_EBABF20F1925.png</v>
      </c>
      <c r="BW317" t="b">
        <v>1</v>
      </c>
      <c r="BX317" t="s">
        <v>1394</v>
      </c>
      <c r="BY317" t="s">
        <v>140</v>
      </c>
      <c r="CA317" t="s">
        <v>1395</v>
      </c>
      <c r="CD317">
        <v>0.0</v>
      </c>
      <c r="CF317" t="b">
        <v>1</v>
      </c>
      <c r="CG317" t="b">
        <v>0</v>
      </c>
      <c r="CH317" t="s">
        <v>4787</v>
      </c>
      <c r="CJ317" t="b">
        <v>1</v>
      </c>
      <c r="CK317" t="b">
        <v>1</v>
      </c>
      <c r="CL317" t="s">
        <v>2301</v>
      </c>
      <c r="CO317" t="s">
        <v>1635</v>
      </c>
      <c r="CQ317" t="s">
        <v>2301</v>
      </c>
      <c r="CR317" t="b">
        <v>1</v>
      </c>
      <c r="CT317">
        <v>1.0</v>
      </c>
      <c r="CU317">
        <v>0.0</v>
      </c>
      <c r="CX317" t="s">
        <v>575</v>
      </c>
      <c r="CZ317" s="5">
        <v>44498.73459490741</v>
      </c>
      <c r="DA317" t="s">
        <v>6901</v>
      </c>
    </row>
    <row r="318">
      <c r="A318" t="s">
        <v>98</v>
      </c>
      <c r="D318" t="s">
        <v>6902</v>
      </c>
      <c r="E318" t="s">
        <v>6903</v>
      </c>
      <c r="F318" s="2">
        <v>38253.0</v>
      </c>
      <c r="G318" t="s">
        <v>1360</v>
      </c>
      <c r="I318" s="3" t="str">
        <f>HYPERLINK("298a73fe0dbe-image_6483441.JPG")</f>
        <v>298a73fe0dbe-image_6483441.JPG</v>
      </c>
      <c r="J318" t="s">
        <v>6904</v>
      </c>
      <c r="K318" t="b">
        <v>1</v>
      </c>
      <c r="L318" s="4" t="s">
        <v>6905</v>
      </c>
      <c r="M318" t="s">
        <v>6906</v>
      </c>
      <c r="N318" t="s">
        <v>149</v>
      </c>
      <c r="P318" t="s">
        <v>6907</v>
      </c>
      <c r="Q318" t="s">
        <v>152</v>
      </c>
      <c r="R318" t="s">
        <v>6908</v>
      </c>
      <c r="S318" t="s">
        <v>6909</v>
      </c>
      <c r="T318" s="4" t="s">
        <v>6910</v>
      </c>
      <c r="U318" t="s">
        <v>329</v>
      </c>
      <c r="V318" t="s">
        <v>6911</v>
      </c>
      <c r="W318" t="s">
        <v>261</v>
      </c>
      <c r="Y318" t="s">
        <v>158</v>
      </c>
      <c r="Z318" t="s">
        <v>159</v>
      </c>
      <c r="AC318" s="3" t="str">
        <f>HYPERLINK("7f22f6d44c83-image_67176193.JPG")</f>
        <v>7f22f6d44c83-image_67176193.JPG</v>
      </c>
      <c r="AD318" t="s">
        <v>118</v>
      </c>
      <c r="AE318" t="s">
        <v>729</v>
      </c>
      <c r="AF318" t="s">
        <v>6912</v>
      </c>
      <c r="AG318">
        <v>15.0</v>
      </c>
      <c r="AH318" t="s">
        <v>4927</v>
      </c>
      <c r="AI318" t="s">
        <v>162</v>
      </c>
      <c r="AK318" t="s">
        <v>6913</v>
      </c>
      <c r="AL318" t="s">
        <v>6914</v>
      </c>
      <c r="AO318" t="s">
        <v>486</v>
      </c>
      <c r="AP318">
        <v>4.0</v>
      </c>
      <c r="AQ318" t="s">
        <v>1520</v>
      </c>
      <c r="AR318" t="s">
        <v>6915</v>
      </c>
      <c r="AS318" t="b">
        <v>1</v>
      </c>
      <c r="AT318" t="b">
        <v>1</v>
      </c>
      <c r="AV318">
        <v>2.0</v>
      </c>
      <c r="AW318" t="b">
        <v>0</v>
      </c>
      <c r="AZ318" t="b">
        <v>0</v>
      </c>
      <c r="BA318" t="b">
        <v>0</v>
      </c>
      <c r="BD318" t="s">
        <v>6916</v>
      </c>
      <c r="BH318" t="s">
        <v>132</v>
      </c>
      <c r="BI318">
        <v>2.0</v>
      </c>
      <c r="BJ318" t="s">
        <v>6917</v>
      </c>
      <c r="BK318">
        <v>3.0</v>
      </c>
      <c r="BL318">
        <v>3.0</v>
      </c>
      <c r="BM318" t="s">
        <v>6918</v>
      </c>
      <c r="BN318">
        <v>5.0</v>
      </c>
      <c r="BO318">
        <v>2.0</v>
      </c>
      <c r="BP318" t="s">
        <v>6919</v>
      </c>
      <c r="BQ318" t="s">
        <v>1258</v>
      </c>
      <c r="BR318" t="s">
        <v>6920</v>
      </c>
      <c r="BS318" t="s">
        <v>6921</v>
      </c>
      <c r="BU318" t="s">
        <v>6922</v>
      </c>
      <c r="BV318" s="3" t="str">
        <f>HYPERLINK("https://api.typeform.com/responses/files/b10ef79e6a1bf315336867133cf47b81939c9b265ce8583951bc5e57f4cb4959/Kami_Export___PHUE_MYAT_NAING___SPEAKHIRE_Parent.Guardian_Consent_Form.pdf")</f>
        <v>https://api.typeform.com/responses/files/b10ef79e6a1bf315336867133cf47b81939c9b265ce8583951bc5e57f4cb4959/Kami_Export___PHUE_MYAT_NAING___SPEAKHIRE_Parent.Guardian_Consent_Form.pdf</v>
      </c>
      <c r="BW318" t="b">
        <v>1</v>
      </c>
      <c r="BX318" t="s">
        <v>1394</v>
      </c>
      <c r="BY318" t="s">
        <v>140</v>
      </c>
      <c r="CA318" t="s">
        <v>1395</v>
      </c>
      <c r="CD318">
        <v>0.0</v>
      </c>
      <c r="CF318" t="b">
        <v>1</v>
      </c>
      <c r="CG318" t="b">
        <v>1</v>
      </c>
      <c r="CH318" t="s">
        <v>6923</v>
      </c>
      <c r="CJ318" t="b">
        <v>1</v>
      </c>
      <c r="CK318" t="b">
        <v>1</v>
      </c>
      <c r="CL318" t="s">
        <v>636</v>
      </c>
      <c r="CM318" t="s">
        <v>163</v>
      </c>
      <c r="CO318" t="s">
        <v>2325</v>
      </c>
      <c r="CQ318" t="s">
        <v>541</v>
      </c>
      <c r="CR318" t="b">
        <v>1</v>
      </c>
      <c r="CT318">
        <v>2.0</v>
      </c>
      <c r="CU318">
        <v>2.0</v>
      </c>
      <c r="CX318" s="4" t="s">
        <v>3882</v>
      </c>
      <c r="CZ318" s="5">
        <v>44498.79350694444</v>
      </c>
      <c r="DA318" t="s">
        <v>6924</v>
      </c>
    </row>
    <row r="319">
      <c r="A319" t="s">
        <v>98</v>
      </c>
      <c r="D319" t="s">
        <v>6925</v>
      </c>
      <c r="E319" t="s">
        <v>6926</v>
      </c>
      <c r="F319" s="2">
        <v>37765.0</v>
      </c>
      <c r="G319" t="s">
        <v>1360</v>
      </c>
      <c r="I319" s="3" t="str">
        <f>HYPERLINK("https://api.typeform.com/responses/files/a5e3ae5d5038cca8821239a5a6f0929f92168d3f40e41e192fc3c85d020c7b6a/20211101_125622.jpg")</f>
        <v>https://api.typeform.com/responses/files/a5e3ae5d5038cca8821239a5a6f0929f92168d3f40e41e192fc3c85d020c7b6a/20211101_125622.jpg</v>
      </c>
      <c r="J319" t="s">
        <v>6927</v>
      </c>
      <c r="K319" t="b">
        <v>1</v>
      </c>
      <c r="L319" s="4" t="s">
        <v>6928</v>
      </c>
      <c r="M319" t="s">
        <v>6929</v>
      </c>
      <c r="N319" t="s">
        <v>354</v>
      </c>
      <c r="P319" t="s">
        <v>6930</v>
      </c>
      <c r="Q319" t="s">
        <v>189</v>
      </c>
      <c r="R319" t="s">
        <v>6931</v>
      </c>
      <c r="S319" t="s">
        <v>6932</v>
      </c>
      <c r="T319" s="4" t="s">
        <v>6933</v>
      </c>
      <c r="U319" t="s">
        <v>2722</v>
      </c>
      <c r="V319" t="s">
        <v>4664</v>
      </c>
      <c r="W319" t="s">
        <v>2290</v>
      </c>
      <c r="Y319" t="s">
        <v>158</v>
      </c>
      <c r="Z319" t="s">
        <v>262</v>
      </c>
      <c r="AC319" s="3" t="str">
        <f>HYPERLINK("https://api.typeform.com/responses/files/b8a11a130d612a00b64f0383be233ecbb51618a061a6934f49a479120d78c1f3/20211102_154501.jpg")</f>
        <v>https://api.typeform.com/responses/files/b8a11a130d612a00b64f0383be233ecbb51618a061a6934f49a479120d78c1f3/20211102_154501.jpg</v>
      </c>
      <c r="AD319" t="s">
        <v>118</v>
      </c>
      <c r="AE319" t="s">
        <v>729</v>
      </c>
      <c r="AF319" t="s">
        <v>6934</v>
      </c>
      <c r="AG319">
        <v>16.0</v>
      </c>
      <c r="AH319" s="4" t="s">
        <v>273</v>
      </c>
      <c r="AI319" t="s">
        <v>386</v>
      </c>
      <c r="AL319" t="s">
        <v>1043</v>
      </c>
      <c r="AO319" t="s">
        <v>335</v>
      </c>
      <c r="AP319">
        <v>7.0</v>
      </c>
      <c r="AQ319" t="s">
        <v>1070</v>
      </c>
      <c r="AR319" t="s">
        <v>6935</v>
      </c>
      <c r="AS319" t="b">
        <v>0</v>
      </c>
      <c r="AV319">
        <v>7.0</v>
      </c>
      <c r="AW319" t="b">
        <v>0</v>
      </c>
      <c r="AZ319" t="b">
        <v>0</v>
      </c>
      <c r="BA319" t="b">
        <v>1</v>
      </c>
      <c r="BB319" t="b">
        <v>0</v>
      </c>
      <c r="BC319" t="s">
        <v>6936</v>
      </c>
      <c r="BH319" t="s">
        <v>132</v>
      </c>
      <c r="BI319">
        <v>1.0</v>
      </c>
      <c r="BJ319" s="4" t="s">
        <v>639</v>
      </c>
      <c r="BK319">
        <v>4.0</v>
      </c>
      <c r="BL319">
        <v>7.0</v>
      </c>
      <c r="BM319" s="4" t="s">
        <v>273</v>
      </c>
      <c r="BN319">
        <v>7.0</v>
      </c>
      <c r="BO319">
        <v>7.0</v>
      </c>
      <c r="BP319" t="s">
        <v>6937</v>
      </c>
      <c r="BQ319" t="s">
        <v>6938</v>
      </c>
      <c r="BR319" t="s">
        <v>6939</v>
      </c>
      <c r="BS319" t="s">
        <v>6939</v>
      </c>
      <c r="BU319" t="s">
        <v>6940</v>
      </c>
      <c r="BV319" s="3" t="str">
        <f>HYPERLINK("https://api.typeform.com/responses/files/a5670e45164df053e5351aa417537585fa8883001925c623a4c74e17358802f5/20211102_154501.jpg")</f>
        <v>https://api.typeform.com/responses/files/a5670e45164df053e5351aa417537585fa8883001925c623a4c74e17358802f5/20211102_154501.jpg</v>
      </c>
      <c r="BW319" t="b">
        <v>1</v>
      </c>
      <c r="BX319" t="s">
        <v>1394</v>
      </c>
      <c r="BY319" t="s">
        <v>140</v>
      </c>
      <c r="CA319" t="s">
        <v>1395</v>
      </c>
      <c r="CD319">
        <v>0.0</v>
      </c>
      <c r="CF319" t="b">
        <v>1</v>
      </c>
      <c r="CG319" t="b">
        <v>1</v>
      </c>
      <c r="CH319" t="s">
        <v>6941</v>
      </c>
      <c r="CJ319" t="b">
        <v>1</v>
      </c>
      <c r="CK319" t="b">
        <v>1</v>
      </c>
      <c r="CL319" t="s">
        <v>2301</v>
      </c>
      <c r="CO319" t="s">
        <v>2888</v>
      </c>
      <c r="CR319" t="b">
        <v>1</v>
      </c>
      <c r="CT319">
        <v>10.0</v>
      </c>
      <c r="CU319">
        <v>0.0</v>
      </c>
      <c r="CX319" s="4" t="s">
        <v>6942</v>
      </c>
      <c r="CZ319" s="5">
        <v>44502.859293981484</v>
      </c>
      <c r="DA319" t="s">
        <v>6943</v>
      </c>
    </row>
    <row r="320">
      <c r="A320" t="s">
        <v>98</v>
      </c>
      <c r="D320" t="s">
        <v>6944</v>
      </c>
      <c r="E320" t="s">
        <v>6269</v>
      </c>
      <c r="F320" s="2">
        <v>38055.0</v>
      </c>
      <c r="G320" t="s">
        <v>1360</v>
      </c>
      <c r="I320" s="3" t="str">
        <f>HYPERLINK("https://api.typeform.com/responses/files/a609ef413a308b332ceb4fc0cd6fa5ecee775449b3c14cbf822d2d0736a2d644/69215.jpg")</f>
        <v>https://api.typeform.com/responses/files/a609ef413a308b332ceb4fc0cd6fa5ecee775449b3c14cbf822d2d0736a2d644/69215.jpg</v>
      </c>
      <c r="J320" t="s">
        <v>6945</v>
      </c>
      <c r="K320" t="b">
        <v>1</v>
      </c>
      <c r="L320" s="4" t="s">
        <v>6946</v>
      </c>
      <c r="M320" t="s">
        <v>6947</v>
      </c>
      <c r="N320" t="s">
        <v>105</v>
      </c>
      <c r="O320" t="s">
        <v>6948</v>
      </c>
      <c r="P320" t="s">
        <v>6949</v>
      </c>
      <c r="Q320" t="s">
        <v>189</v>
      </c>
      <c r="R320" t="s">
        <v>6950</v>
      </c>
      <c r="S320" t="s">
        <v>6951</v>
      </c>
      <c r="T320" s="4" t="s">
        <v>6952</v>
      </c>
      <c r="U320" t="s">
        <v>6953</v>
      </c>
      <c r="V320" t="s">
        <v>6954</v>
      </c>
      <c r="W320" t="s">
        <v>261</v>
      </c>
      <c r="Y320" t="s">
        <v>158</v>
      </c>
      <c r="Z320" t="s">
        <v>262</v>
      </c>
      <c r="AC320" s="3" t="str">
        <f>HYPERLINK("https://api.typeform.com/responses/files/8c2f32f8f473d4277a87ca3728d3fa62fec114daa63c8d01dbb9030bc70908f8/IMG_1591.jpg")</f>
        <v>https://api.typeform.com/responses/files/8c2f32f8f473d4277a87ca3728d3fa62fec114daa63c8d01dbb9030bc70908f8/IMG_1591.jpg</v>
      </c>
      <c r="AD320" t="s">
        <v>118</v>
      </c>
      <c r="AE320" t="s">
        <v>729</v>
      </c>
      <c r="AF320" t="s">
        <v>4179</v>
      </c>
      <c r="AG320">
        <v>9.0</v>
      </c>
      <c r="AH320" s="4" t="s">
        <v>639</v>
      </c>
      <c r="AI320" t="s">
        <v>121</v>
      </c>
      <c r="AK320" t="s">
        <v>5204</v>
      </c>
      <c r="AL320" t="s">
        <v>1043</v>
      </c>
      <c r="AO320" t="s">
        <v>486</v>
      </c>
      <c r="AP320">
        <v>6.0</v>
      </c>
      <c r="AQ320" t="s">
        <v>2240</v>
      </c>
      <c r="AR320" t="s">
        <v>3460</v>
      </c>
      <c r="AS320" t="b">
        <v>1</v>
      </c>
      <c r="AT320" t="b">
        <v>1</v>
      </c>
      <c r="AV320">
        <v>5.0</v>
      </c>
      <c r="AW320" t="b">
        <v>0</v>
      </c>
      <c r="AZ320" t="b">
        <v>0</v>
      </c>
      <c r="BA320" t="b">
        <v>0</v>
      </c>
      <c r="BD320" t="s">
        <v>6955</v>
      </c>
      <c r="BH320" t="s">
        <v>132</v>
      </c>
      <c r="BI320">
        <v>5.0</v>
      </c>
      <c r="BJ320" s="4" t="s">
        <v>882</v>
      </c>
      <c r="BK320">
        <v>6.0</v>
      </c>
      <c r="BL320">
        <v>5.0</v>
      </c>
      <c r="BM320" s="4" t="s">
        <v>2300</v>
      </c>
      <c r="BN320">
        <v>6.0</v>
      </c>
      <c r="BO320">
        <v>3.0</v>
      </c>
      <c r="BP320" t="s">
        <v>6956</v>
      </c>
      <c r="BQ320" t="s">
        <v>626</v>
      </c>
      <c r="BR320" t="s">
        <v>6957</v>
      </c>
      <c r="BS320" t="s">
        <v>6958</v>
      </c>
      <c r="BU320" t="s">
        <v>6959</v>
      </c>
      <c r="BV320" s="3" t="str">
        <f>HYPERLINK("https://api.typeform.com/responses/files/82dce02624caac6a4770c85910102d5c57abd1d258de968d1ea0e329e3e91c72/IMG_1592.jpg")</f>
        <v>https://api.typeform.com/responses/files/82dce02624caac6a4770c85910102d5c57abd1d258de968d1ea0e329e3e91c72/IMG_1592.jpg</v>
      </c>
      <c r="BW320" t="b">
        <v>1</v>
      </c>
      <c r="BX320" t="s">
        <v>1394</v>
      </c>
      <c r="BY320" t="s">
        <v>140</v>
      </c>
      <c r="CA320" t="s">
        <v>1395</v>
      </c>
      <c r="CD320">
        <v>0.0</v>
      </c>
      <c r="CF320" t="b">
        <v>1</v>
      </c>
      <c r="CG320" t="b">
        <v>1</v>
      </c>
      <c r="CH320" t="s">
        <v>4188</v>
      </c>
      <c r="CJ320" t="b">
        <v>1</v>
      </c>
      <c r="CK320" t="b">
        <v>1</v>
      </c>
      <c r="CL320" t="s">
        <v>541</v>
      </c>
      <c r="CM320" t="s">
        <v>541</v>
      </c>
      <c r="CO320" t="s">
        <v>2500</v>
      </c>
      <c r="CQ320" t="s">
        <v>541</v>
      </c>
      <c r="CR320" t="b">
        <v>1</v>
      </c>
      <c r="CT320">
        <v>0.0</v>
      </c>
      <c r="CU320">
        <v>1.0</v>
      </c>
      <c r="CX320" s="4" t="s">
        <v>6960</v>
      </c>
      <c r="CZ320" s="5">
        <v>44505.711539351854</v>
      </c>
      <c r="DA320" t="s">
        <v>6961</v>
      </c>
    </row>
    <row r="321">
      <c r="A321" t="s">
        <v>98</v>
      </c>
      <c r="D321" t="s">
        <v>6962</v>
      </c>
      <c r="E321" t="s">
        <v>6963</v>
      </c>
      <c r="F321" s="2">
        <v>38338.0</v>
      </c>
      <c r="G321" t="s">
        <v>1360</v>
      </c>
      <c r="I321" s="3" t="str">
        <f>HYPERLINK("https://api.typeform.com/responses/files/3f131f87b26ed775d74a3df8c305c091c5483b7509fbe841ef0ec7dc23366401/0D4ED49D_EC9C_4410_B05B_F6071FFF367E.jpeg")</f>
        <v>https://api.typeform.com/responses/files/3f131f87b26ed775d74a3df8c305c091c5483b7509fbe841ef0ec7dc23366401/0D4ED49D_EC9C_4410_B05B_F6071FFF367E.jpeg</v>
      </c>
      <c r="J321" t="s">
        <v>6964</v>
      </c>
      <c r="K321" t="b">
        <v>1</v>
      </c>
      <c r="L321" s="4" t="s">
        <v>6965</v>
      </c>
      <c r="M321" t="s">
        <v>6966</v>
      </c>
      <c r="N321" t="s">
        <v>149</v>
      </c>
      <c r="P321" t="s">
        <v>6967</v>
      </c>
      <c r="Q321" t="s">
        <v>189</v>
      </c>
      <c r="R321" t="s">
        <v>6964</v>
      </c>
      <c r="S321" t="s">
        <v>6966</v>
      </c>
      <c r="T321" s="4" t="s">
        <v>6968</v>
      </c>
      <c r="U321" t="s">
        <v>3028</v>
      </c>
      <c r="V321" t="s">
        <v>6969</v>
      </c>
      <c r="W321" t="s">
        <v>261</v>
      </c>
      <c r="Y321" t="s">
        <v>158</v>
      </c>
      <c r="Z321" t="s">
        <v>262</v>
      </c>
      <c r="AC321" s="3" t="str">
        <f>HYPERLINK("https://api.typeform.com/responses/files/b88f36f4f3be14ce4ec6253f2408d26b56c5fa3f9e556f7bb1460c9e689b5750/19B05FB2_85C8_4168_8055_881F8CEE90AB.jpeg")</f>
        <v>https://api.typeform.com/responses/files/b88f36f4f3be14ce4ec6253f2408d26b56c5fa3f9e556f7bb1460c9e689b5750/19B05FB2_85C8_4168_8055_881F8CEE90AB.jpeg</v>
      </c>
      <c r="AD321" t="s">
        <v>118</v>
      </c>
      <c r="AE321" t="s">
        <v>729</v>
      </c>
      <c r="AF321" t="s">
        <v>4450</v>
      </c>
      <c r="AG321">
        <v>10.0</v>
      </c>
      <c r="AH321" t="s">
        <v>6970</v>
      </c>
      <c r="AI321" t="s">
        <v>205</v>
      </c>
      <c r="AL321" t="s">
        <v>199</v>
      </c>
      <c r="AO321" t="s">
        <v>335</v>
      </c>
      <c r="AP321">
        <v>4.0</v>
      </c>
      <c r="AQ321" t="s">
        <v>2625</v>
      </c>
      <c r="AR321" t="s">
        <v>6971</v>
      </c>
      <c r="AS321" t="b">
        <v>1</v>
      </c>
      <c r="AT321" t="b">
        <v>0</v>
      </c>
      <c r="AV321">
        <v>4.0</v>
      </c>
      <c r="AW321" t="b">
        <v>0</v>
      </c>
      <c r="AZ321" t="b">
        <v>0</v>
      </c>
      <c r="BA321" t="b">
        <v>0</v>
      </c>
      <c r="BD321" t="s">
        <v>6972</v>
      </c>
      <c r="BH321" t="s">
        <v>132</v>
      </c>
      <c r="BI321">
        <v>2.0</v>
      </c>
      <c r="BJ321" t="s">
        <v>6973</v>
      </c>
      <c r="BK321">
        <v>3.0</v>
      </c>
      <c r="BL321">
        <v>3.0</v>
      </c>
      <c r="BM321" t="s">
        <v>6974</v>
      </c>
      <c r="BN321">
        <v>3.0</v>
      </c>
      <c r="BO321">
        <v>2.0</v>
      </c>
      <c r="BP321" t="s">
        <v>6975</v>
      </c>
      <c r="BQ321" t="s">
        <v>6976</v>
      </c>
      <c r="BR321" t="s">
        <v>6977</v>
      </c>
      <c r="BS321" t="s">
        <v>220</v>
      </c>
      <c r="BU321" t="s">
        <v>179</v>
      </c>
      <c r="BV321" s="3" t="str">
        <f>HYPERLINK("https://api.typeform.com/responses/files/71284431f51d11a76d6b5be64da4d7f996e832bd5ff110e0bc715330ff5a6053/image.jpg")</f>
        <v>https://api.typeform.com/responses/files/71284431f51d11a76d6b5be64da4d7f996e832bd5ff110e0bc715330ff5a6053/image.jpg</v>
      </c>
      <c r="BW321" t="b">
        <v>1</v>
      </c>
      <c r="BX321" t="s">
        <v>1394</v>
      </c>
      <c r="BY321" t="s">
        <v>140</v>
      </c>
      <c r="CA321" t="s">
        <v>1395</v>
      </c>
      <c r="CD321">
        <v>0.0</v>
      </c>
      <c r="CF321" t="b">
        <v>1</v>
      </c>
      <c r="CG321" t="b">
        <v>1</v>
      </c>
      <c r="CH321" t="s">
        <v>6978</v>
      </c>
      <c r="CJ321" t="b">
        <v>0</v>
      </c>
      <c r="CK321" t="b">
        <v>1</v>
      </c>
      <c r="CL321" t="s">
        <v>387</v>
      </c>
      <c r="CO321" t="s">
        <v>6979</v>
      </c>
      <c r="CR321" t="b">
        <v>1</v>
      </c>
      <c r="CT321">
        <v>0.0</v>
      </c>
      <c r="CU321">
        <v>0.0</v>
      </c>
      <c r="CX321" s="4" t="s">
        <v>6980</v>
      </c>
      <c r="CZ321" s="5">
        <v>44505.71289351852</v>
      </c>
      <c r="DA321" t="s">
        <v>6981</v>
      </c>
    </row>
    <row r="322">
      <c r="A322" t="s">
        <v>98</v>
      </c>
      <c r="D322" t="s">
        <v>6982</v>
      </c>
      <c r="E322" t="s">
        <v>6983</v>
      </c>
      <c r="F322" s="2">
        <v>38405.0</v>
      </c>
      <c r="G322" t="s">
        <v>1360</v>
      </c>
      <c r="I322" s="3" t="str">
        <f>HYPERLINK("https://api.typeform.com/responses/files/61b0aadbdda318169f1dbbf02010895ad1b5c2be9e5df2bcae67e717a7bd96b4/IMG_20211105_130646.jpg")</f>
        <v>https://api.typeform.com/responses/files/61b0aadbdda318169f1dbbf02010895ad1b5c2be9e5df2bcae67e717a7bd96b4/IMG_20211105_130646.jpg</v>
      </c>
      <c r="J322" t="s">
        <v>6984</v>
      </c>
      <c r="K322" t="b">
        <v>1</v>
      </c>
      <c r="L322" s="4" t="s">
        <v>6985</v>
      </c>
      <c r="M322" t="s">
        <v>6986</v>
      </c>
      <c r="N322" t="s">
        <v>354</v>
      </c>
      <c r="P322" t="s">
        <v>6987</v>
      </c>
      <c r="Q322" t="s">
        <v>189</v>
      </c>
      <c r="R322" t="s">
        <v>6984</v>
      </c>
      <c r="S322" t="s">
        <v>6988</v>
      </c>
      <c r="T322" s="4" t="s">
        <v>6989</v>
      </c>
      <c r="U322" t="s">
        <v>2313</v>
      </c>
      <c r="V322" t="s">
        <v>2407</v>
      </c>
      <c r="W322" t="s">
        <v>2290</v>
      </c>
      <c r="Y322" t="s">
        <v>158</v>
      </c>
      <c r="Z322" t="s">
        <v>262</v>
      </c>
      <c r="AC322" s="3" t="str">
        <f>HYPERLINK("https://api.typeform.com/responses/files/2c10952f55012f11ed53074c01587f658463ff6cf1f37ad0a265e940fc99a586/IMG_20211105_133113.jpg")</f>
        <v>https://api.typeform.com/responses/files/2c10952f55012f11ed53074c01587f658463ff6cf1f37ad0a265e940fc99a586/IMG_20211105_133113.jpg</v>
      </c>
      <c r="AD322" t="s">
        <v>118</v>
      </c>
      <c r="AE322" t="s">
        <v>729</v>
      </c>
      <c r="AF322" t="s">
        <v>4450</v>
      </c>
      <c r="AG322">
        <v>11.0</v>
      </c>
      <c r="AH322" s="4" t="s">
        <v>5053</v>
      </c>
      <c r="AI322" t="s">
        <v>386</v>
      </c>
      <c r="AL322" t="s">
        <v>199</v>
      </c>
      <c r="AO322" t="s">
        <v>125</v>
      </c>
      <c r="AP322">
        <v>7.0</v>
      </c>
      <c r="AQ322" t="s">
        <v>1520</v>
      </c>
      <c r="AR322" t="s">
        <v>6990</v>
      </c>
      <c r="AS322" t="b">
        <v>1</v>
      </c>
      <c r="AT322" t="b">
        <v>0</v>
      </c>
      <c r="AV322">
        <v>7.0</v>
      </c>
      <c r="AW322" t="b">
        <v>0</v>
      </c>
      <c r="AZ322" t="b">
        <v>0</v>
      </c>
      <c r="BA322" t="b">
        <v>0</v>
      </c>
      <c r="BD322" t="s">
        <v>6991</v>
      </c>
      <c r="BH322" t="s">
        <v>132</v>
      </c>
      <c r="BI322">
        <v>1.0</v>
      </c>
      <c r="BJ322" t="s">
        <v>6992</v>
      </c>
      <c r="BK322">
        <v>1.0</v>
      </c>
      <c r="BL322">
        <v>1.0</v>
      </c>
      <c r="BM322" t="s">
        <v>6993</v>
      </c>
      <c r="BN322">
        <v>4.0</v>
      </c>
      <c r="BO322">
        <v>5.0</v>
      </c>
      <c r="BP322" t="s">
        <v>6994</v>
      </c>
      <c r="BQ322" t="s">
        <v>2390</v>
      </c>
      <c r="BR322" t="s">
        <v>6995</v>
      </c>
      <c r="BS322" t="s">
        <v>6996</v>
      </c>
      <c r="BU322" t="s">
        <v>309</v>
      </c>
      <c r="BV322" s="3" t="str">
        <f>HYPERLINK("https://api.typeform.com/responses/files/f46ab6c803baf91446525410bf72f9923d7c43706b6728f1d06e5366fdaf46b0/IMG_20211105_143617.jpg")</f>
        <v>https://api.typeform.com/responses/files/f46ab6c803baf91446525410bf72f9923d7c43706b6728f1d06e5366fdaf46b0/IMG_20211105_143617.jpg</v>
      </c>
      <c r="BW322" t="b">
        <v>1</v>
      </c>
      <c r="BX322" t="s">
        <v>1394</v>
      </c>
      <c r="BY322" t="s">
        <v>140</v>
      </c>
      <c r="CA322" t="s">
        <v>1395</v>
      </c>
      <c r="CD322">
        <v>0.0</v>
      </c>
      <c r="CF322" t="b">
        <v>1</v>
      </c>
      <c r="CG322" t="b">
        <v>1</v>
      </c>
      <c r="CH322" t="s">
        <v>1420</v>
      </c>
      <c r="CJ322" t="b">
        <v>1</v>
      </c>
      <c r="CK322" t="b">
        <v>1</v>
      </c>
      <c r="CL322" t="s">
        <v>541</v>
      </c>
      <c r="CO322" t="s">
        <v>200</v>
      </c>
      <c r="CR322" t="b">
        <v>1</v>
      </c>
      <c r="CT322">
        <v>0.0</v>
      </c>
      <c r="CU322">
        <v>0.0</v>
      </c>
      <c r="CX322" t="s">
        <v>6997</v>
      </c>
      <c r="CZ322" s="5">
        <v>44505.7765625</v>
      </c>
      <c r="DA322" t="s">
        <v>6998</v>
      </c>
    </row>
    <row r="323">
      <c r="A323" t="s">
        <v>98</v>
      </c>
      <c r="D323" t="s">
        <v>6999</v>
      </c>
      <c r="E323" t="s">
        <v>7000</v>
      </c>
      <c r="F323" s="2">
        <v>37859.0</v>
      </c>
      <c r="G323" t="s">
        <v>1466</v>
      </c>
      <c r="I323" s="3" t="str">
        <f>HYPERLINK("https://api.typeform.com/responses/files/8010cad6b28ec6dd37a5067e37927277972fd349bebfedfba740a74f5b9ca060/244422904_571802277481874_863347977378790897_n.jpg")</f>
        <v>https://api.typeform.com/responses/files/8010cad6b28ec6dd37a5067e37927277972fd349bebfedfba740a74f5b9ca060/244422904_571802277481874_863347977378790897_n.jpg</v>
      </c>
      <c r="J323" t="s">
        <v>7001</v>
      </c>
      <c r="K323" t="b">
        <v>1</v>
      </c>
      <c r="L323" s="4" t="s">
        <v>7002</v>
      </c>
      <c r="M323" t="s">
        <v>7003</v>
      </c>
      <c r="N323" t="s">
        <v>149</v>
      </c>
      <c r="O323" t="s">
        <v>4299</v>
      </c>
      <c r="P323" t="s">
        <v>5239</v>
      </c>
      <c r="Q323" t="s">
        <v>152</v>
      </c>
      <c r="R323" t="s">
        <v>7004</v>
      </c>
      <c r="S323" t="s">
        <v>7003</v>
      </c>
      <c r="T323" s="4" t="s">
        <v>7005</v>
      </c>
      <c r="U323" t="s">
        <v>7006</v>
      </c>
      <c r="V323" t="s">
        <v>2314</v>
      </c>
      <c r="W323" t="s">
        <v>261</v>
      </c>
      <c r="Y323" t="s">
        <v>158</v>
      </c>
      <c r="Z323" t="s">
        <v>262</v>
      </c>
      <c r="AC323" s="3" t="str">
        <f>HYPERLINK("https://api.typeform.com/responses/files/64ab86b02d2dd44a7a46194d59acacb138f59f618af1c4d24aa3f7be2a545109/251847601_267083928684644_6173234796944219160_n.jpg")</f>
        <v>https://api.typeform.com/responses/files/64ab86b02d2dd44a7a46194d59acacb138f59f618af1c4d24aa3f7be2a545109/251847601_267083928684644_6173234796944219160_n.jpg</v>
      </c>
      <c r="AD323" t="s">
        <v>118</v>
      </c>
      <c r="AE323" t="s">
        <v>729</v>
      </c>
      <c r="AF323" t="s">
        <v>2651</v>
      </c>
      <c r="AG323">
        <v>17.0</v>
      </c>
      <c r="AH323" t="s">
        <v>7007</v>
      </c>
      <c r="AI323" t="s">
        <v>162</v>
      </c>
      <c r="AK323" t="s">
        <v>7008</v>
      </c>
      <c r="AL323" t="s">
        <v>1043</v>
      </c>
      <c r="AO323" t="s">
        <v>335</v>
      </c>
      <c r="AP323">
        <v>2.0</v>
      </c>
      <c r="AQ323" t="s">
        <v>1520</v>
      </c>
      <c r="AR323" t="s">
        <v>7009</v>
      </c>
      <c r="AS323" t="b">
        <v>1</v>
      </c>
      <c r="AT323" t="b">
        <v>1</v>
      </c>
      <c r="AV323">
        <v>5.0</v>
      </c>
      <c r="AW323" t="b">
        <v>1</v>
      </c>
      <c r="AX323" s="4" t="s">
        <v>130</v>
      </c>
      <c r="AY323" s="4" t="s">
        <v>518</v>
      </c>
      <c r="AZ323" t="b">
        <v>1</v>
      </c>
      <c r="BA323" t="b">
        <v>1</v>
      </c>
      <c r="BB323" t="b">
        <v>0</v>
      </c>
      <c r="BC323" t="s">
        <v>7010</v>
      </c>
      <c r="BH323" t="s">
        <v>132</v>
      </c>
      <c r="BI323">
        <v>4.0</v>
      </c>
      <c r="BJ323" t="s">
        <v>7011</v>
      </c>
      <c r="BK323">
        <v>3.0</v>
      </c>
      <c r="BL323">
        <v>3.0</v>
      </c>
      <c r="BM323" t="s">
        <v>7012</v>
      </c>
      <c r="BN323">
        <v>2.0</v>
      </c>
      <c r="BO323">
        <v>7.0</v>
      </c>
      <c r="BP323" t="s">
        <v>7013</v>
      </c>
      <c r="BQ323" t="s">
        <v>977</v>
      </c>
      <c r="BR323" t="s">
        <v>7014</v>
      </c>
      <c r="BS323" t="s">
        <v>7015</v>
      </c>
      <c r="BU323" t="s">
        <v>7016</v>
      </c>
      <c r="BV323" s="3" t="str">
        <f>HYPERLINK("https://api.typeform.com/responses/files/c68c19655a4f1e72b5a66ad45329488ab8932d70468aa7aa26700a926b8239f8/250679350_211285461121791_7704149776937145737_n.jpg")</f>
        <v>https://api.typeform.com/responses/files/c68c19655a4f1e72b5a66ad45329488ab8932d70468aa7aa26700a926b8239f8/250679350_211285461121791_7704149776937145737_n.jpg</v>
      </c>
      <c r="BW323" t="b">
        <v>1</v>
      </c>
      <c r="BX323" t="s">
        <v>1394</v>
      </c>
      <c r="BY323" t="s">
        <v>140</v>
      </c>
      <c r="CA323" t="s">
        <v>1395</v>
      </c>
      <c r="CD323">
        <v>0.0</v>
      </c>
      <c r="CF323" t="b">
        <v>1</v>
      </c>
      <c r="CG323" t="b">
        <v>1</v>
      </c>
      <c r="CH323" t="s">
        <v>1935</v>
      </c>
      <c r="CJ323" t="b">
        <v>1</v>
      </c>
      <c r="CK323" t="b">
        <v>0</v>
      </c>
      <c r="CL323" t="s">
        <v>2301</v>
      </c>
      <c r="CM323" t="s">
        <v>2301</v>
      </c>
      <c r="CO323" t="s">
        <v>2888</v>
      </c>
      <c r="CQ323" t="s">
        <v>387</v>
      </c>
      <c r="CR323" t="b">
        <v>1</v>
      </c>
      <c r="CT323">
        <v>1.0</v>
      </c>
      <c r="CU323">
        <v>0.0</v>
      </c>
      <c r="CX323" t="s">
        <v>4188</v>
      </c>
      <c r="CZ323" s="5">
        <v>44508.63599537037</v>
      </c>
      <c r="DA323" t="s">
        <v>7017</v>
      </c>
    </row>
    <row r="324">
      <c r="A324" t="s">
        <v>98</v>
      </c>
      <c r="D324" t="s">
        <v>7018</v>
      </c>
      <c r="E324" t="s">
        <v>7019</v>
      </c>
      <c r="F324" s="2">
        <v>38677.0</v>
      </c>
      <c r="G324" t="s">
        <v>1466</v>
      </c>
      <c r="I324" s="3" t="str">
        <f>HYPERLINK("https://api.typeform.com/responses/files/0778b98210ce5b4ca6c35bd3bf6b7fe11a9994282ce3a6db765f1d2085bd343f/image_123986672__1_.JPG")</f>
        <v>https://api.typeform.com/responses/files/0778b98210ce5b4ca6c35bd3bf6b7fe11a9994282ce3a6db765f1d2085bd343f/image_123986672__1_.JPG</v>
      </c>
      <c r="J324" t="s">
        <v>7020</v>
      </c>
      <c r="K324" t="b">
        <v>1</v>
      </c>
      <c r="L324" s="4" t="s">
        <v>7021</v>
      </c>
      <c r="M324" t="s">
        <v>7022</v>
      </c>
      <c r="N324" t="s">
        <v>255</v>
      </c>
      <c r="O324" t="s">
        <v>990</v>
      </c>
      <c r="P324" t="s">
        <v>7023</v>
      </c>
      <c r="Q324" t="s">
        <v>189</v>
      </c>
      <c r="R324" t="s">
        <v>7024</v>
      </c>
      <c r="S324" t="s">
        <v>7022</v>
      </c>
      <c r="T324" s="4" t="s">
        <v>7021</v>
      </c>
      <c r="U324" t="s">
        <v>7025</v>
      </c>
      <c r="V324" t="s">
        <v>7026</v>
      </c>
      <c r="W324" t="s">
        <v>261</v>
      </c>
      <c r="Y324" t="s">
        <v>158</v>
      </c>
      <c r="Z324" t="s">
        <v>262</v>
      </c>
      <c r="AC324" s="3" t="str">
        <f>HYPERLINK("https://api.typeform.com/responses/files/736e4612de4a3213657fb32c1182d12812522e0b68e63f8db847b6a7e9083c03/image_67163649.JPG")</f>
        <v>https://api.typeform.com/responses/files/736e4612de4a3213657fb32c1182d12812522e0b68e63f8db847b6a7e9083c03/image_67163649.JPG</v>
      </c>
      <c r="AD324" t="s">
        <v>118</v>
      </c>
      <c r="AE324" t="s">
        <v>729</v>
      </c>
      <c r="AF324" t="s">
        <v>2651</v>
      </c>
      <c r="AG324">
        <v>4.0</v>
      </c>
      <c r="AH324" s="4" t="s">
        <v>520</v>
      </c>
      <c r="AI324" t="s">
        <v>386</v>
      </c>
      <c r="AK324" t="s">
        <v>7027</v>
      </c>
      <c r="AL324" t="s">
        <v>1043</v>
      </c>
      <c r="AO324" t="s">
        <v>125</v>
      </c>
      <c r="AP324">
        <v>7.0</v>
      </c>
      <c r="AQ324" t="s">
        <v>4222</v>
      </c>
      <c r="AR324" t="s">
        <v>7028</v>
      </c>
      <c r="AS324" t="b">
        <v>1</v>
      </c>
      <c r="AT324" t="b">
        <v>1</v>
      </c>
      <c r="AV324">
        <v>7.0</v>
      </c>
      <c r="AW324" t="b">
        <v>0</v>
      </c>
      <c r="AZ324" t="b">
        <v>0</v>
      </c>
      <c r="BA324" t="b">
        <v>0</v>
      </c>
      <c r="BD324" t="s">
        <v>7029</v>
      </c>
      <c r="BH324" t="s">
        <v>132</v>
      </c>
      <c r="BI324">
        <v>7.0</v>
      </c>
      <c r="BJ324" t="s">
        <v>5301</v>
      </c>
      <c r="BK324">
        <v>5.0</v>
      </c>
      <c r="BL324">
        <v>7.0</v>
      </c>
      <c r="BM324" t="s">
        <v>7029</v>
      </c>
      <c r="BN324">
        <v>5.0</v>
      </c>
      <c r="BO324">
        <v>5.0</v>
      </c>
      <c r="BP324" t="s">
        <v>7030</v>
      </c>
      <c r="BQ324" t="s">
        <v>4541</v>
      </c>
      <c r="BR324" t="s">
        <v>7031</v>
      </c>
      <c r="BS324" t="s">
        <v>7032</v>
      </c>
      <c r="BU324" t="s">
        <v>309</v>
      </c>
      <c r="BV324" s="3" t="str">
        <f>HYPERLINK("https://api.typeform.com/responses/files/c31f734d214762cc59a1f0053e808c4fe1b14a1cfb7e4f18be3a14f92e27fb74/image_67184897.JPG")</f>
        <v>https://api.typeform.com/responses/files/c31f734d214762cc59a1f0053e808c4fe1b14a1cfb7e4f18be3a14f92e27fb74/image_67184897.JPG</v>
      </c>
      <c r="BW324" t="b">
        <v>1</v>
      </c>
      <c r="BX324" t="s">
        <v>1394</v>
      </c>
      <c r="BY324" t="s">
        <v>140</v>
      </c>
      <c r="CA324" t="s">
        <v>1395</v>
      </c>
      <c r="CD324">
        <v>0.0</v>
      </c>
      <c r="CF324" t="b">
        <v>1</v>
      </c>
      <c r="CG324" t="b">
        <v>1</v>
      </c>
      <c r="CH324" t="s">
        <v>1935</v>
      </c>
      <c r="CJ324" t="b">
        <v>1</v>
      </c>
      <c r="CK324" t="b">
        <v>1</v>
      </c>
      <c r="CL324" t="s">
        <v>2301</v>
      </c>
      <c r="CO324" t="s">
        <v>2888</v>
      </c>
      <c r="CR324" t="b">
        <v>1</v>
      </c>
      <c r="CT324">
        <v>2.0</v>
      </c>
      <c r="CU324">
        <v>1.0</v>
      </c>
      <c r="CX324" s="4" t="s">
        <v>7033</v>
      </c>
      <c r="CZ324" s="5">
        <v>44508.64394675926</v>
      </c>
      <c r="DA324" t="s">
        <v>7034</v>
      </c>
    </row>
    <row r="325">
      <c r="A325" t="s">
        <v>98</v>
      </c>
      <c r="D325" t="s">
        <v>7018</v>
      </c>
      <c r="E325" t="s">
        <v>7019</v>
      </c>
      <c r="F325" s="2">
        <v>38677.0</v>
      </c>
      <c r="G325" t="s">
        <v>1466</v>
      </c>
      <c r="I325" s="3" t="str">
        <f>HYPERLINK("https://api.typeform.com/responses/files/a57abbe968b45bc84af2002b88dbf418129f112d5b5f17eb97466583fd31bbed/image_67204353.JPG")</f>
        <v>https://api.typeform.com/responses/files/a57abbe968b45bc84af2002b88dbf418129f112d5b5f17eb97466583fd31bbed/image_67204353.JPG</v>
      </c>
      <c r="J325" t="s">
        <v>7035</v>
      </c>
      <c r="K325" t="b">
        <v>1</v>
      </c>
      <c r="L325" s="4" t="s">
        <v>7036</v>
      </c>
      <c r="M325" t="s">
        <v>7037</v>
      </c>
      <c r="N325" t="s">
        <v>255</v>
      </c>
      <c r="O325" t="s">
        <v>990</v>
      </c>
      <c r="P325" t="s">
        <v>7038</v>
      </c>
      <c r="Q325" t="s">
        <v>189</v>
      </c>
      <c r="R325" t="s">
        <v>7024</v>
      </c>
      <c r="S325" t="s">
        <v>7039</v>
      </c>
      <c r="T325" s="4" t="s">
        <v>7040</v>
      </c>
      <c r="U325" t="s">
        <v>7041</v>
      </c>
      <c r="V325" t="s">
        <v>7026</v>
      </c>
      <c r="W325" t="s">
        <v>261</v>
      </c>
      <c r="Y325" t="s">
        <v>158</v>
      </c>
      <c r="Z325" t="s">
        <v>262</v>
      </c>
      <c r="AC325" s="3" t="str">
        <f>HYPERLINK("https://api.typeform.com/responses/files/6bd7a533c4fbfe1aefdb8bd2aad39072326f155d4cd141bb9c367db37811e974/image_67163649.JPG")</f>
        <v>https://api.typeform.com/responses/files/6bd7a533c4fbfe1aefdb8bd2aad39072326f155d4cd141bb9c367db37811e974/image_67163649.JPG</v>
      </c>
      <c r="AD325" t="s">
        <v>118</v>
      </c>
      <c r="AE325" t="s">
        <v>1220</v>
      </c>
      <c r="AF325" t="s">
        <v>2651</v>
      </c>
      <c r="AG325">
        <v>12.0</v>
      </c>
      <c r="AH325" s="4" t="s">
        <v>520</v>
      </c>
      <c r="AI325" t="s">
        <v>386</v>
      </c>
      <c r="AK325" t="s">
        <v>7042</v>
      </c>
      <c r="AL325" t="s">
        <v>1043</v>
      </c>
      <c r="AO325" t="s">
        <v>125</v>
      </c>
      <c r="AP325">
        <v>7.0</v>
      </c>
      <c r="AQ325" t="s">
        <v>4222</v>
      </c>
      <c r="AR325" t="s">
        <v>7028</v>
      </c>
      <c r="AS325" t="b">
        <v>1</v>
      </c>
      <c r="AT325" t="b">
        <v>1</v>
      </c>
      <c r="AV325">
        <v>7.0</v>
      </c>
      <c r="AW325" t="b">
        <v>0</v>
      </c>
      <c r="AZ325" t="b">
        <v>0</v>
      </c>
      <c r="BA325" t="b">
        <v>0</v>
      </c>
      <c r="BD325" t="s">
        <v>7029</v>
      </c>
      <c r="BH325" t="s">
        <v>974</v>
      </c>
      <c r="BL325">
        <v>7.0</v>
      </c>
      <c r="BM325" t="s">
        <v>7029</v>
      </c>
      <c r="BN325">
        <v>7.0</v>
      </c>
      <c r="BO325">
        <v>6.0</v>
      </c>
      <c r="BP325" t="s">
        <v>7043</v>
      </c>
      <c r="BQ325" t="s">
        <v>7044</v>
      </c>
      <c r="BR325" t="s">
        <v>7045</v>
      </c>
      <c r="BS325" t="s">
        <v>7046</v>
      </c>
      <c r="BU325" t="s">
        <v>309</v>
      </c>
      <c r="BV325" s="3" t="str">
        <f>HYPERLINK("https://api.typeform.com/responses/files/b483f02507887bb1df6b8857f28ca096d382965646c06839797012694c244862/image_67184897.JPG")</f>
        <v>https://api.typeform.com/responses/files/b483f02507887bb1df6b8857f28ca096d382965646c06839797012694c244862/image_67184897.JPG</v>
      </c>
      <c r="BW325" t="b">
        <v>1</v>
      </c>
      <c r="BX325" t="s">
        <v>1394</v>
      </c>
      <c r="BY325" t="s">
        <v>140</v>
      </c>
      <c r="CA325" t="s">
        <v>1395</v>
      </c>
      <c r="CD325">
        <v>0.0</v>
      </c>
      <c r="CF325" t="b">
        <v>1</v>
      </c>
      <c r="CG325" t="b">
        <v>1</v>
      </c>
      <c r="CH325" t="s">
        <v>1935</v>
      </c>
      <c r="CJ325" t="b">
        <v>1</v>
      </c>
      <c r="CK325" t="b">
        <v>1</v>
      </c>
      <c r="CL325" t="s">
        <v>2301</v>
      </c>
      <c r="CO325" t="s">
        <v>2888</v>
      </c>
      <c r="CR325" t="b">
        <v>1</v>
      </c>
      <c r="CT325">
        <v>2.0</v>
      </c>
      <c r="CU325">
        <v>1.0</v>
      </c>
      <c r="CX325" s="4" t="s">
        <v>7033</v>
      </c>
      <c r="CZ325" s="5">
        <v>44508.65641203704</v>
      </c>
      <c r="DA325" t="s">
        <v>7047</v>
      </c>
    </row>
    <row r="326">
      <c r="A326" t="s">
        <v>98</v>
      </c>
      <c r="D326" t="s">
        <v>7048</v>
      </c>
      <c r="E326" t="s">
        <v>7049</v>
      </c>
      <c r="F326" s="2">
        <v>37764.0</v>
      </c>
      <c r="G326" t="s">
        <v>1360</v>
      </c>
      <c r="I326" s="3" t="str">
        <f>HYPERLINK("https://api.typeform.com/responses/files/65eda2d145fa33d178c59cd9fb3e63d0333940ed557c2c197e902f8db89567db/286BF12A_CAF3_4D39_A180_00678BAAF6B2.heic")</f>
        <v>https://api.typeform.com/responses/files/65eda2d145fa33d178c59cd9fb3e63d0333940ed557c2c197e902f8db89567db/286BF12A_CAF3_4D39_A180_00678BAAF6B2.heic</v>
      </c>
      <c r="J326" t="s">
        <v>7050</v>
      </c>
      <c r="K326" t="b">
        <v>1</v>
      </c>
      <c r="L326" s="4" t="s">
        <v>7051</v>
      </c>
      <c r="M326" t="s">
        <v>7052</v>
      </c>
      <c r="N326" t="s">
        <v>255</v>
      </c>
      <c r="O326" t="s">
        <v>990</v>
      </c>
      <c r="P326" t="s">
        <v>7053</v>
      </c>
      <c r="Q326" t="s">
        <v>292</v>
      </c>
      <c r="R326" t="s">
        <v>7054</v>
      </c>
      <c r="S326" t="s">
        <v>7055</v>
      </c>
      <c r="T326" s="4" t="s">
        <v>7056</v>
      </c>
      <c r="U326" t="s">
        <v>7057</v>
      </c>
      <c r="V326" t="s">
        <v>7058</v>
      </c>
      <c r="W326" t="s">
        <v>261</v>
      </c>
      <c r="Y326" t="s">
        <v>158</v>
      </c>
      <c r="Z326" t="s">
        <v>262</v>
      </c>
      <c r="AC326" s="3" t="str">
        <f>HYPERLINK("https://api.typeform.com/responses/files/b5d1732a8535b3f1c84caca1fdc02526ecf844994092cf544bb2ecc2c60470dd/2F0C002B_BB9D_47A4_BF08_B680A8D3C694.heic")</f>
        <v>https://api.typeform.com/responses/files/b5d1732a8535b3f1c84caca1fdc02526ecf844994092cf544bb2ecc2c60470dd/2F0C002B_BB9D_47A4_BF08_B680A8D3C694.heic</v>
      </c>
      <c r="AD326" t="s">
        <v>479</v>
      </c>
      <c r="AE326" t="s">
        <v>729</v>
      </c>
      <c r="AF326" t="s">
        <v>7059</v>
      </c>
      <c r="AG326">
        <v>16.0</v>
      </c>
      <c r="AH326" s="4" t="s">
        <v>1414</v>
      </c>
      <c r="AI326" t="s">
        <v>121</v>
      </c>
      <c r="AK326" t="s">
        <v>7060</v>
      </c>
      <c r="AL326" t="s">
        <v>7061</v>
      </c>
      <c r="AO326" t="s">
        <v>335</v>
      </c>
      <c r="AP326">
        <v>6.0</v>
      </c>
      <c r="AQ326" t="s">
        <v>303</v>
      </c>
      <c r="AR326" t="s">
        <v>7062</v>
      </c>
      <c r="AS326" t="b">
        <v>1</v>
      </c>
      <c r="AT326" t="b">
        <v>1</v>
      </c>
      <c r="AV326">
        <v>6.0</v>
      </c>
      <c r="AW326" t="b">
        <v>1</v>
      </c>
      <c r="AX326" t="s">
        <v>1902</v>
      </c>
      <c r="AY326" s="4" t="s">
        <v>518</v>
      </c>
      <c r="AZ326" t="b">
        <v>0</v>
      </c>
      <c r="BA326" t="b">
        <v>0</v>
      </c>
      <c r="BD326" t="s">
        <v>7063</v>
      </c>
      <c r="BH326" t="s">
        <v>132</v>
      </c>
      <c r="BI326">
        <v>5.0</v>
      </c>
      <c r="BJ326" t="s">
        <v>7064</v>
      </c>
      <c r="BK326">
        <v>6.0</v>
      </c>
      <c r="BL326">
        <v>6.0</v>
      </c>
      <c r="BM326" t="s">
        <v>7065</v>
      </c>
      <c r="BN326">
        <v>7.0</v>
      </c>
      <c r="BO326">
        <v>6.0</v>
      </c>
      <c r="BP326" t="s">
        <v>7066</v>
      </c>
      <c r="BQ326" t="s">
        <v>916</v>
      </c>
      <c r="BR326" t="s">
        <v>7067</v>
      </c>
      <c r="BS326" t="s">
        <v>7068</v>
      </c>
      <c r="BU326" t="s">
        <v>1182</v>
      </c>
      <c r="BV326" s="3" t="str">
        <f>HYPERLINK("https://api.typeform.com/responses/files/c106fc77fbbf3b7dc7a2a6b21d2e9333f218649866ad007b82a4b64de8946b71/6BDA7998_E1CE_4956_B5FA_F45A9B13172A.heic")</f>
        <v>https://api.typeform.com/responses/files/c106fc77fbbf3b7dc7a2a6b21d2e9333f218649866ad007b82a4b64de8946b71/6BDA7998_E1CE_4956_B5FA_F45A9B13172A.heic</v>
      </c>
      <c r="BW326" t="b">
        <v>1</v>
      </c>
      <c r="BX326" t="s">
        <v>1394</v>
      </c>
      <c r="BY326" t="s">
        <v>140</v>
      </c>
      <c r="CA326" t="s">
        <v>1395</v>
      </c>
      <c r="CD326">
        <v>0.0</v>
      </c>
      <c r="CF326" t="b">
        <v>1</v>
      </c>
      <c r="CG326" t="b">
        <v>1</v>
      </c>
      <c r="CH326" t="s">
        <v>4188</v>
      </c>
      <c r="CJ326" t="b">
        <v>1</v>
      </c>
      <c r="CK326" t="b">
        <v>1</v>
      </c>
      <c r="CL326" t="s">
        <v>3213</v>
      </c>
      <c r="CM326" t="s">
        <v>265</v>
      </c>
      <c r="CO326" t="s">
        <v>7069</v>
      </c>
      <c r="CQ326" t="s">
        <v>1583</v>
      </c>
      <c r="CR326" t="b">
        <v>1</v>
      </c>
      <c r="CT326">
        <v>2.0</v>
      </c>
      <c r="CU326">
        <v>5.0</v>
      </c>
      <c r="CX326" s="4" t="s">
        <v>520</v>
      </c>
      <c r="CZ326" s="5">
        <v>44508.896886574075</v>
      </c>
      <c r="DA326" t="s">
        <v>7070</v>
      </c>
    </row>
    <row r="327">
      <c r="A327" t="s">
        <v>98</v>
      </c>
      <c r="D327" t="s">
        <v>7071</v>
      </c>
      <c r="E327" t="s">
        <v>7072</v>
      </c>
      <c r="F327" s="2">
        <v>37028.0</v>
      </c>
      <c r="G327" t="s">
        <v>1466</v>
      </c>
      <c r="I327" s="3" t="str">
        <f>HYPERLINK("https://api.typeform.com/responses/files/3be232800354a978b0e8b1327e16dd56065b5a6a379a1cced3b13912ba96b062/FaceApp_1636390287236.jpg")</f>
        <v>https://api.typeform.com/responses/files/3be232800354a978b0e8b1327e16dd56065b5a6a379a1cced3b13912ba96b062/FaceApp_1636390287236.jpg</v>
      </c>
      <c r="J327" t="s">
        <v>7073</v>
      </c>
      <c r="K327" t="b">
        <v>1</v>
      </c>
      <c r="L327" s="4" t="s">
        <v>7074</v>
      </c>
      <c r="M327" t="s">
        <v>7075</v>
      </c>
      <c r="N327" t="s">
        <v>255</v>
      </c>
      <c r="P327" t="s">
        <v>7076</v>
      </c>
      <c r="Q327" t="s">
        <v>189</v>
      </c>
      <c r="R327" t="s">
        <v>7077</v>
      </c>
      <c r="S327" t="s">
        <v>7075</v>
      </c>
      <c r="T327" s="4" t="s">
        <v>7078</v>
      </c>
      <c r="U327" t="s">
        <v>3596</v>
      </c>
      <c r="V327" t="s">
        <v>7079</v>
      </c>
      <c r="W327" t="s">
        <v>113</v>
      </c>
      <c r="Y327" t="s">
        <v>158</v>
      </c>
      <c r="Z327" t="s">
        <v>159</v>
      </c>
      <c r="AC327" s="3" t="str">
        <f>HYPERLINK("https://api.typeform.com/responses/files/b330920a7efc8c88023189727c6ce645d24829ee54f20aab5fb6df70cfc76d61/Marwin_Silverio___Transcripts.pdf")</f>
        <v>https://api.typeform.com/responses/files/b330920a7efc8c88023189727c6ce645d24829ee54f20aab5fb6df70cfc76d61/Marwin_Silverio___Transcripts.pdf</v>
      </c>
      <c r="AD327" t="s">
        <v>118</v>
      </c>
      <c r="AE327" t="s">
        <v>729</v>
      </c>
      <c r="AF327" t="s">
        <v>197</v>
      </c>
      <c r="AG327">
        <v>17.0</v>
      </c>
      <c r="AH327" t="s">
        <v>7080</v>
      </c>
      <c r="AI327" t="s">
        <v>162</v>
      </c>
      <c r="AK327" t="s">
        <v>7081</v>
      </c>
      <c r="AL327" t="s">
        <v>199</v>
      </c>
      <c r="AO327" t="s">
        <v>335</v>
      </c>
      <c r="AP327">
        <v>4.0</v>
      </c>
      <c r="AQ327" t="s">
        <v>2240</v>
      </c>
      <c r="AR327" t="s">
        <v>7082</v>
      </c>
      <c r="AS327" t="b">
        <v>1</v>
      </c>
      <c r="AT327" t="b">
        <v>1</v>
      </c>
      <c r="AV327">
        <v>6.0</v>
      </c>
      <c r="AW327" t="b">
        <v>1</v>
      </c>
      <c r="AX327" t="s">
        <v>1902</v>
      </c>
      <c r="AY327" s="4" t="s">
        <v>170</v>
      </c>
      <c r="AZ327" t="b">
        <v>1</v>
      </c>
      <c r="BA327" t="b">
        <v>0</v>
      </c>
      <c r="BD327" t="s">
        <v>7083</v>
      </c>
      <c r="BH327" t="s">
        <v>132</v>
      </c>
      <c r="BI327">
        <v>7.0</v>
      </c>
      <c r="BJ327" t="s">
        <v>7084</v>
      </c>
      <c r="BK327">
        <v>4.0</v>
      </c>
      <c r="BL327">
        <v>6.0</v>
      </c>
      <c r="BM327" t="s">
        <v>7085</v>
      </c>
      <c r="BN327">
        <v>5.0</v>
      </c>
      <c r="BO327">
        <v>5.0</v>
      </c>
      <c r="BP327" t="s">
        <v>7086</v>
      </c>
      <c r="BQ327" t="s">
        <v>7087</v>
      </c>
      <c r="BR327" t="s">
        <v>7088</v>
      </c>
      <c r="BS327" t="s">
        <v>7089</v>
      </c>
      <c r="BU327" t="s">
        <v>139</v>
      </c>
      <c r="BV327" s="3" t="str">
        <f>HYPERLINK("https://api.typeform.com/responses/files/47f0db89dc2f97be41bd0064168fae275cbbce14de597f23bfb6e454f69ffb37/20211109122103067.pdf")</f>
        <v>https://api.typeform.com/responses/files/47f0db89dc2f97be41bd0064168fae275cbbce14de597f23bfb6e454f69ffb37/20211109122103067.pdf</v>
      </c>
      <c r="BW327" t="b">
        <v>1</v>
      </c>
      <c r="BX327" t="s">
        <v>1394</v>
      </c>
      <c r="BY327" t="s">
        <v>140</v>
      </c>
      <c r="CA327" t="s">
        <v>1395</v>
      </c>
      <c r="CD327">
        <v>0.0</v>
      </c>
      <c r="CF327" t="b">
        <v>0</v>
      </c>
      <c r="CG327" t="b">
        <v>0</v>
      </c>
      <c r="CH327" t="s">
        <v>1886</v>
      </c>
      <c r="CJ327" t="b">
        <v>0</v>
      </c>
      <c r="CK327" t="b">
        <v>0</v>
      </c>
      <c r="CL327" t="s">
        <v>198</v>
      </c>
      <c r="CM327" t="s">
        <v>198</v>
      </c>
      <c r="CO327" t="s">
        <v>1635</v>
      </c>
      <c r="CQ327" t="s">
        <v>198</v>
      </c>
      <c r="CR327" t="b">
        <v>1</v>
      </c>
      <c r="CT327">
        <v>0.0</v>
      </c>
      <c r="CU327">
        <v>1.0</v>
      </c>
      <c r="CX327" s="4" t="s">
        <v>7090</v>
      </c>
      <c r="CZ327" s="5">
        <v>44509.72623842592</v>
      </c>
      <c r="DA327" t="s">
        <v>7091</v>
      </c>
    </row>
    <row r="328">
      <c r="A328" t="s">
        <v>98</v>
      </c>
      <c r="D328" t="s">
        <v>7092</v>
      </c>
      <c r="E328" t="s">
        <v>7093</v>
      </c>
      <c r="F328" s="2">
        <v>36918.0</v>
      </c>
      <c r="G328" t="s">
        <v>1360</v>
      </c>
      <c r="I328" s="3" t="str">
        <f>HYPERLINK("https://api.typeform.com/responses/files/bcc133343920e551e55a66fa3e15da1f0f531bb5e3140c146a78abcc563c2af5/image.jpg")</f>
        <v>https://api.typeform.com/responses/files/bcc133343920e551e55a66fa3e15da1f0f531bb5e3140c146a78abcc563c2af5/image.jpg</v>
      </c>
      <c r="J328" t="s">
        <v>7094</v>
      </c>
      <c r="K328" t="b">
        <v>1</v>
      </c>
      <c r="L328" s="4" t="s">
        <v>7095</v>
      </c>
      <c r="M328" t="s">
        <v>7096</v>
      </c>
      <c r="N328" t="s">
        <v>149</v>
      </c>
      <c r="O328" t="s">
        <v>5705</v>
      </c>
      <c r="P328" t="s">
        <v>7097</v>
      </c>
      <c r="Q328" t="s">
        <v>189</v>
      </c>
      <c r="R328" t="s">
        <v>7094</v>
      </c>
      <c r="S328" t="s">
        <v>7098</v>
      </c>
      <c r="T328" s="4" t="s">
        <v>7099</v>
      </c>
      <c r="U328" t="s">
        <v>592</v>
      </c>
      <c r="V328" t="s">
        <v>7100</v>
      </c>
      <c r="W328" t="s">
        <v>113</v>
      </c>
      <c r="Y328" t="s">
        <v>158</v>
      </c>
      <c r="Z328" t="s">
        <v>262</v>
      </c>
      <c r="AC328" s="3" t="str">
        <f>HYPERLINK("https://api.typeform.com/responses/files/962814cfbec70bee3c4bde341f981ce4a5d0d807a68e8786e9962357e1b81b64/66CCA912_B1E2_475C_98B1_7AD7DA72F5BD.jpeg")</f>
        <v>https://api.typeform.com/responses/files/962814cfbec70bee3c4bde341f981ce4a5d0d807a68e8786e9962357e1b81b64/66CCA912_B1E2_475C_98B1_7AD7DA72F5BD.jpeg</v>
      </c>
      <c r="AD328" t="s">
        <v>118</v>
      </c>
      <c r="AE328" t="s">
        <v>1220</v>
      </c>
      <c r="AF328" t="s">
        <v>1650</v>
      </c>
      <c r="AG328">
        <v>18.0</v>
      </c>
      <c r="AH328" s="4" t="s">
        <v>7101</v>
      </c>
      <c r="AI328" t="s">
        <v>121</v>
      </c>
      <c r="AK328" t="s">
        <v>7102</v>
      </c>
      <c r="AL328" t="s">
        <v>2085</v>
      </c>
      <c r="AO328" t="s">
        <v>335</v>
      </c>
      <c r="AP328">
        <v>2.0</v>
      </c>
      <c r="AQ328" t="s">
        <v>461</v>
      </c>
      <c r="AR328" t="s">
        <v>1348</v>
      </c>
      <c r="AS328" t="b">
        <v>1</v>
      </c>
      <c r="AT328" t="b">
        <v>0</v>
      </c>
      <c r="AV328">
        <v>6.0</v>
      </c>
      <c r="AW328" t="b">
        <v>0</v>
      </c>
      <c r="AZ328" t="b">
        <v>0</v>
      </c>
      <c r="BA328" t="b">
        <v>0</v>
      </c>
      <c r="BD328" t="s">
        <v>7103</v>
      </c>
      <c r="BH328" t="s">
        <v>132</v>
      </c>
      <c r="BI328">
        <v>1.0</v>
      </c>
      <c r="BJ328" s="4" t="s">
        <v>734</v>
      </c>
      <c r="BK328">
        <v>4.0</v>
      </c>
      <c r="BL328">
        <v>1.0</v>
      </c>
      <c r="BM328" t="s">
        <v>5913</v>
      </c>
      <c r="BN328">
        <v>2.0</v>
      </c>
      <c r="BO328">
        <v>3.0</v>
      </c>
      <c r="BP328" t="s">
        <v>7104</v>
      </c>
      <c r="BQ328" t="s">
        <v>916</v>
      </c>
      <c r="BR328" t="s">
        <v>7105</v>
      </c>
      <c r="BS328" t="s">
        <v>7106</v>
      </c>
      <c r="BU328" t="s">
        <v>7107</v>
      </c>
      <c r="BV328" s="3" t="str">
        <f>HYPERLINK("https://api.typeform.com/responses/files/0142c15851135c55832a89eaa7a8dbb7edab8ea1fd04a377f13dee9d76b5eaeb/image.jpg")</f>
        <v>https://api.typeform.com/responses/files/0142c15851135c55832a89eaa7a8dbb7edab8ea1fd04a377f13dee9d76b5eaeb/image.jpg</v>
      </c>
      <c r="BW328" t="b">
        <v>1</v>
      </c>
      <c r="BX328" t="s">
        <v>1394</v>
      </c>
      <c r="BY328" t="s">
        <v>140</v>
      </c>
      <c r="CA328" t="s">
        <v>1395</v>
      </c>
      <c r="CD328">
        <v>0.0</v>
      </c>
      <c r="CF328" t="b">
        <v>1</v>
      </c>
      <c r="CG328" t="b">
        <v>0</v>
      </c>
      <c r="CH328" t="s">
        <v>7108</v>
      </c>
      <c r="CJ328" t="b">
        <v>1</v>
      </c>
      <c r="CK328" t="b">
        <v>1</v>
      </c>
      <c r="CL328" t="s">
        <v>541</v>
      </c>
      <c r="CM328" t="s">
        <v>619</v>
      </c>
      <c r="CO328" t="s">
        <v>124</v>
      </c>
      <c r="CQ328" t="s">
        <v>387</v>
      </c>
      <c r="CR328" t="b">
        <v>1</v>
      </c>
      <c r="CT328">
        <v>3.0</v>
      </c>
      <c r="CU328">
        <v>4.0</v>
      </c>
      <c r="CX328" t="s">
        <v>7109</v>
      </c>
      <c r="CZ328" s="5">
        <v>44512.12194444444</v>
      </c>
      <c r="DA328" t="s">
        <v>7110</v>
      </c>
    </row>
    <row r="329">
      <c r="A329" t="s">
        <v>98</v>
      </c>
      <c r="D329" t="s">
        <v>7111</v>
      </c>
      <c r="E329" t="s">
        <v>7112</v>
      </c>
      <c r="F329" s="2">
        <v>37912.0</v>
      </c>
      <c r="G329" t="s">
        <v>1360</v>
      </c>
      <c r="I329" s="3" t="str">
        <f>HYPERLINK("https://api.typeform.com/responses/files/61196e63c37ca3715d7fc788b8f9082899e8189303413af9c92b5b7828b78086/60E74F85_4897_4BA5_BB41_47B7B1F5B6B3.jpeg")</f>
        <v>https://api.typeform.com/responses/files/61196e63c37ca3715d7fc788b8f9082899e8189303413af9c92b5b7828b78086/60E74F85_4897_4BA5_BB41_47B7B1F5B6B3.jpeg</v>
      </c>
      <c r="J329" t="s">
        <v>7113</v>
      </c>
      <c r="K329" t="b">
        <v>0</v>
      </c>
      <c r="M329" t="s">
        <v>7114</v>
      </c>
      <c r="N329" t="s">
        <v>354</v>
      </c>
      <c r="O329" t="s">
        <v>7115</v>
      </c>
      <c r="P329" t="s">
        <v>7116</v>
      </c>
      <c r="Q329" t="s">
        <v>189</v>
      </c>
      <c r="R329" t="s">
        <v>7117</v>
      </c>
      <c r="S329" t="s">
        <v>7118</v>
      </c>
      <c r="T329" s="4" t="s">
        <v>7119</v>
      </c>
      <c r="U329" t="s">
        <v>7120</v>
      </c>
      <c r="V329" t="s">
        <v>7121</v>
      </c>
      <c r="W329" t="s">
        <v>2290</v>
      </c>
      <c r="Y329" t="s">
        <v>158</v>
      </c>
      <c r="Z329" t="s">
        <v>262</v>
      </c>
      <c r="AC329" s="3" t="str">
        <f>HYPERLINK("https://api.typeform.com/responses/files/a06bda2b9689a8f9caa6074f8b3b5e2058217c2a813dbd2888391cb5d2146d23/image.jpg")</f>
        <v>https://api.typeform.com/responses/files/a06bda2b9689a8f9caa6074f8b3b5e2058217c2a813dbd2888391cb5d2146d23/image.jpg</v>
      </c>
      <c r="AD329" t="s">
        <v>118</v>
      </c>
      <c r="AE329" t="s">
        <v>729</v>
      </c>
      <c r="AF329" t="s">
        <v>1019</v>
      </c>
      <c r="AG329">
        <v>16.0</v>
      </c>
      <c r="AH329" t="s">
        <v>3387</v>
      </c>
      <c r="AI329" t="s">
        <v>205</v>
      </c>
      <c r="AK329" t="s">
        <v>5913</v>
      </c>
      <c r="AL329" t="s">
        <v>199</v>
      </c>
      <c r="AO329" t="s">
        <v>125</v>
      </c>
      <c r="AP329">
        <v>4.0</v>
      </c>
      <c r="AQ329" t="s">
        <v>1480</v>
      </c>
      <c r="AR329" t="s">
        <v>7122</v>
      </c>
      <c r="AS329" t="b">
        <v>1</v>
      </c>
      <c r="AT329" t="b">
        <v>0</v>
      </c>
      <c r="AV329">
        <v>4.0</v>
      </c>
      <c r="AW329" t="b">
        <v>0</v>
      </c>
      <c r="AZ329" t="b">
        <v>0</v>
      </c>
      <c r="BA329" t="b">
        <v>0</v>
      </c>
      <c r="BD329" t="s">
        <v>7123</v>
      </c>
      <c r="BH329" t="s">
        <v>132</v>
      </c>
      <c r="BI329">
        <v>1.0</v>
      </c>
      <c r="BJ329" t="s">
        <v>7124</v>
      </c>
      <c r="BK329">
        <v>2.0</v>
      </c>
      <c r="BL329">
        <v>2.0</v>
      </c>
      <c r="BM329" t="s">
        <v>7125</v>
      </c>
      <c r="BN329">
        <v>3.0</v>
      </c>
      <c r="BO329">
        <v>6.0</v>
      </c>
      <c r="BP329" t="s">
        <v>7126</v>
      </c>
      <c r="BQ329" t="s">
        <v>1050</v>
      </c>
      <c r="BR329" t="s">
        <v>7127</v>
      </c>
      <c r="BS329" t="s">
        <v>7128</v>
      </c>
      <c r="BU329" t="s">
        <v>179</v>
      </c>
      <c r="BV329" s="3" t="str">
        <f>HYPERLINK("https://api.typeform.com/responses/files/c41fa95ce499d1cc5821d8b13fee5d168995b3d5db1c86421da0765b0be5b4a3/image.jpg")</f>
        <v>https://api.typeform.com/responses/files/c41fa95ce499d1cc5821d8b13fee5d168995b3d5db1c86421da0765b0be5b4a3/image.jpg</v>
      </c>
      <c r="BW329" t="b">
        <v>1</v>
      </c>
      <c r="BX329" t="s">
        <v>1394</v>
      </c>
      <c r="BY329" t="s">
        <v>140</v>
      </c>
      <c r="CA329" t="s">
        <v>1395</v>
      </c>
      <c r="CD329">
        <v>0.0</v>
      </c>
      <c r="CF329" t="b">
        <v>0</v>
      </c>
      <c r="CG329" t="b">
        <v>0</v>
      </c>
      <c r="CH329" t="s">
        <v>7129</v>
      </c>
      <c r="CJ329" t="b">
        <v>1</v>
      </c>
      <c r="CK329" t="b">
        <v>0</v>
      </c>
      <c r="CL329" t="s">
        <v>387</v>
      </c>
      <c r="CM329" t="s">
        <v>387</v>
      </c>
      <c r="CO329" t="s">
        <v>4986</v>
      </c>
      <c r="CQ329" t="s">
        <v>387</v>
      </c>
      <c r="CR329" t="b">
        <v>1</v>
      </c>
      <c r="CT329">
        <v>2.0</v>
      </c>
      <c r="CU329">
        <v>0.0</v>
      </c>
      <c r="CX329" s="4" t="s">
        <v>7130</v>
      </c>
      <c r="CZ329" s="5">
        <v>44518.85136574074</v>
      </c>
      <c r="DA329" t="s">
        <v>7131</v>
      </c>
    </row>
    <row r="330">
      <c r="A330" t="s">
        <v>98</v>
      </c>
      <c r="D330" t="s">
        <v>7132</v>
      </c>
      <c r="E330" t="s">
        <v>7133</v>
      </c>
      <c r="F330" s="2">
        <v>37096.0</v>
      </c>
      <c r="G330" t="s">
        <v>1466</v>
      </c>
      <c r="I330" s="3" t="str">
        <f>HYPERLINK("https://api.typeform.com/responses/files/0a281614fad4ac53f9957260b805398d3673b537b7edd541289231597f79e4a3/Mahamed_20Danso_20__20Lesson_206__20Periodic_20Table_20Practice.pdf.pdf")</f>
        <v>https://api.typeform.com/responses/files/0a281614fad4ac53f9957260b805398d3673b537b7edd541289231597f79e4a3/Mahamed_20Danso_20__20Lesson_206__20Periodic_20Table_20Practice.pdf.pdf</v>
      </c>
      <c r="J330" t="s">
        <v>7134</v>
      </c>
      <c r="K330" t="b">
        <v>1</v>
      </c>
      <c r="L330" s="4" t="s">
        <v>7135</v>
      </c>
      <c r="M330" t="s">
        <v>7136</v>
      </c>
      <c r="N330" t="s">
        <v>149</v>
      </c>
      <c r="P330" t="s">
        <v>7137</v>
      </c>
      <c r="Q330" t="s">
        <v>189</v>
      </c>
      <c r="R330" t="s">
        <v>7138</v>
      </c>
      <c r="S330" t="s">
        <v>7136</v>
      </c>
      <c r="T330" s="4" t="s">
        <v>7139</v>
      </c>
      <c r="U330" t="s">
        <v>698</v>
      </c>
      <c r="V330" t="s">
        <v>7140</v>
      </c>
      <c r="W330" t="s">
        <v>113</v>
      </c>
      <c r="Y330" t="s">
        <v>158</v>
      </c>
      <c r="Z330" t="s">
        <v>262</v>
      </c>
      <c r="AC330" s="3" t="str">
        <f>HYPERLINK("https://api.typeform.com/responses/files/8a745fc269cfeca4228decbe9c0fd17c94fb37fa11584ed02ab8ac6717cb3099/Mahamed_20Danso_20__20Lesson_206__20Periodic_20Table_20Practice.pdf.pdf")</f>
        <v>https://api.typeform.com/responses/files/8a745fc269cfeca4228decbe9c0fd17c94fb37fa11584ed02ab8ac6717cb3099/Mahamed_20Danso_20__20Lesson_206__20Periodic_20Table_20Practice.pdf.pdf</v>
      </c>
      <c r="AD330" t="s">
        <v>118</v>
      </c>
      <c r="AE330" t="s">
        <v>729</v>
      </c>
      <c r="AF330" t="s">
        <v>2185</v>
      </c>
      <c r="AG330">
        <v>18.0</v>
      </c>
      <c r="AH330" s="4" t="s">
        <v>4230</v>
      </c>
      <c r="AI330" t="s">
        <v>121</v>
      </c>
      <c r="AK330" t="s">
        <v>7141</v>
      </c>
      <c r="AL330" t="s">
        <v>7142</v>
      </c>
      <c r="AO330" t="s">
        <v>486</v>
      </c>
      <c r="AP330">
        <v>4.0</v>
      </c>
      <c r="AQ330" t="s">
        <v>2240</v>
      </c>
      <c r="AR330" t="s">
        <v>7143</v>
      </c>
      <c r="AS330" t="b">
        <v>1</v>
      </c>
      <c r="AT330" t="b">
        <v>0</v>
      </c>
      <c r="AV330">
        <v>5.0</v>
      </c>
      <c r="AW330" t="b">
        <v>1</v>
      </c>
      <c r="AX330" t="s">
        <v>1902</v>
      </c>
      <c r="AY330" t="s">
        <v>1430</v>
      </c>
      <c r="AZ330" t="b">
        <v>1</v>
      </c>
      <c r="BA330" t="b">
        <v>1</v>
      </c>
      <c r="BB330" t="b">
        <v>0</v>
      </c>
      <c r="BC330" t="s">
        <v>7144</v>
      </c>
      <c r="BH330" t="s">
        <v>132</v>
      </c>
      <c r="BI330">
        <v>2.0</v>
      </c>
      <c r="BJ330" t="s">
        <v>7145</v>
      </c>
      <c r="BK330">
        <v>5.0</v>
      </c>
      <c r="BL330">
        <v>5.0</v>
      </c>
      <c r="BM330" t="s">
        <v>7146</v>
      </c>
      <c r="BN330">
        <v>7.0</v>
      </c>
      <c r="BO330">
        <v>7.0</v>
      </c>
      <c r="BP330" t="s">
        <v>7147</v>
      </c>
      <c r="BQ330" t="s">
        <v>7148</v>
      </c>
      <c r="BR330" t="s">
        <v>7149</v>
      </c>
      <c r="BS330" t="s">
        <v>7150</v>
      </c>
      <c r="BU330" t="s">
        <v>7151</v>
      </c>
      <c r="BV330" s="3" t="str">
        <f>HYPERLINK("https://api.typeform.com/responses/files/67063ce4cc0bf553da8ece152b78b26f8cc3f5774ce7b3d608f244defe05cd22/Mahamed_20Danso_20__20Lesson_206__20Periodic_20Table_20Practice.pdf.pdf")</f>
        <v>https://api.typeform.com/responses/files/67063ce4cc0bf553da8ece152b78b26f8cc3f5774ce7b3d608f244defe05cd22/Mahamed_20Danso_20__20Lesson_206__20Periodic_20Table_20Practice.pdf.pdf</v>
      </c>
      <c r="BW330" t="b">
        <v>1</v>
      </c>
      <c r="BX330" t="s">
        <v>1394</v>
      </c>
      <c r="BY330" t="s">
        <v>140</v>
      </c>
      <c r="CA330" t="s">
        <v>1395</v>
      </c>
      <c r="CD330">
        <v>0.0</v>
      </c>
      <c r="CF330" t="b">
        <v>1</v>
      </c>
      <c r="CG330" t="b">
        <v>1</v>
      </c>
      <c r="CH330" t="s">
        <v>168</v>
      </c>
      <c r="CJ330" t="b">
        <v>1</v>
      </c>
      <c r="CK330" t="b">
        <v>1</v>
      </c>
      <c r="CL330" t="s">
        <v>300</v>
      </c>
      <c r="CM330" t="s">
        <v>300</v>
      </c>
      <c r="CO330" t="s">
        <v>124</v>
      </c>
      <c r="CQ330" t="s">
        <v>300</v>
      </c>
      <c r="CR330" t="b">
        <v>1</v>
      </c>
      <c r="CT330">
        <v>6.0</v>
      </c>
      <c r="CU330">
        <v>1.0</v>
      </c>
      <c r="CX330" s="4" t="s">
        <v>5699</v>
      </c>
      <c r="CZ330" s="5">
        <v>44522.744675925926</v>
      </c>
      <c r="DA330" t="s">
        <v>7152</v>
      </c>
    </row>
    <row r="331">
      <c r="A331" t="s">
        <v>98</v>
      </c>
      <c r="D331" t="s">
        <v>7153</v>
      </c>
      <c r="E331" t="s">
        <v>7154</v>
      </c>
      <c r="F331" s="2">
        <v>37753.0</v>
      </c>
      <c r="G331" t="s">
        <v>1360</v>
      </c>
      <c r="I331" s="3" t="str">
        <f>HYPERLINK("https://api.typeform.com/responses/files/dfd9abd0cc5a6f37309a7734c19978b63c4bf62e9dc4420a270ca8c3754b94be/20211201_002809.jpg")</f>
        <v>https://api.typeform.com/responses/files/dfd9abd0cc5a6f37309a7734c19978b63c4bf62e9dc4420a270ca8c3754b94be/20211201_002809.jpg</v>
      </c>
      <c r="J331" t="s">
        <v>7155</v>
      </c>
      <c r="K331" t="b">
        <v>1</v>
      </c>
      <c r="L331" s="4" t="s">
        <v>7156</v>
      </c>
      <c r="M331" t="s">
        <v>7157</v>
      </c>
      <c r="N331" t="s">
        <v>354</v>
      </c>
      <c r="P331" t="s">
        <v>7158</v>
      </c>
      <c r="Q331" t="s">
        <v>189</v>
      </c>
      <c r="R331" t="s">
        <v>7159</v>
      </c>
      <c r="S331" t="s">
        <v>7157</v>
      </c>
      <c r="T331" s="4" t="s">
        <v>7160</v>
      </c>
      <c r="U331" t="s">
        <v>329</v>
      </c>
      <c r="V331" t="s">
        <v>330</v>
      </c>
      <c r="W331" t="s">
        <v>261</v>
      </c>
      <c r="Y331" t="s">
        <v>158</v>
      </c>
      <c r="Z331" t="s">
        <v>159</v>
      </c>
      <c r="AC331" s="3" t="str">
        <f>HYPERLINK("https://api.typeform.com/responses/files/5a54377051883382d36ca4a0a426902b084a97334ae94ed9c9429b17b274cccf/Screenshot_20211201_003746_Chrome.png")</f>
        <v>https://api.typeform.com/responses/files/5a54377051883382d36ca4a0a426902b084a97334ae94ed9c9429b17b274cccf/Screenshot_20211201_003746_Chrome.png</v>
      </c>
      <c r="AD331" t="s">
        <v>118</v>
      </c>
      <c r="AE331" t="s">
        <v>729</v>
      </c>
      <c r="AF331" t="s">
        <v>412</v>
      </c>
      <c r="AG331">
        <v>16.0</v>
      </c>
      <c r="AH331" s="4" t="s">
        <v>3057</v>
      </c>
      <c r="AI331" t="s">
        <v>121</v>
      </c>
      <c r="AL331" t="s">
        <v>7161</v>
      </c>
      <c r="AO331" t="s">
        <v>335</v>
      </c>
      <c r="AP331">
        <v>4.0</v>
      </c>
      <c r="AQ331" t="s">
        <v>126</v>
      </c>
      <c r="AR331" t="s">
        <v>7162</v>
      </c>
      <c r="AS331" t="b">
        <v>1</v>
      </c>
      <c r="AT331" t="b">
        <v>1</v>
      </c>
      <c r="AV331">
        <v>6.0</v>
      </c>
      <c r="AW331" t="b">
        <v>0</v>
      </c>
      <c r="AZ331" t="b">
        <v>1</v>
      </c>
      <c r="BA331" t="b">
        <v>0</v>
      </c>
      <c r="BD331" t="s">
        <v>7162</v>
      </c>
      <c r="BH331" t="s">
        <v>132</v>
      </c>
      <c r="BI331">
        <v>5.0</v>
      </c>
      <c r="BJ331" t="s">
        <v>7163</v>
      </c>
      <c r="BK331">
        <v>4.0</v>
      </c>
      <c r="BL331">
        <v>3.0</v>
      </c>
      <c r="BM331" t="s">
        <v>441</v>
      </c>
      <c r="BN331">
        <v>2.0</v>
      </c>
      <c r="BO331">
        <v>2.0</v>
      </c>
      <c r="BP331" t="s">
        <v>3691</v>
      </c>
      <c r="BQ331" t="s">
        <v>3013</v>
      </c>
      <c r="BR331" t="s">
        <v>7164</v>
      </c>
      <c r="BS331" t="s">
        <v>7165</v>
      </c>
      <c r="BU331" t="s">
        <v>546</v>
      </c>
      <c r="BV331" s="3" t="str">
        <f>HYPERLINK("https://api.typeform.com/responses/files/9c0c0580371155c4e3a344dc158dbcc6024f9323f4232f635b7bdb3bef020704/16383379294656609237190825504746.jpg")</f>
        <v>https://api.typeform.com/responses/files/9c0c0580371155c4e3a344dc158dbcc6024f9323f4232f635b7bdb3bef020704/16383379294656609237190825504746.jpg</v>
      </c>
      <c r="BW331" t="b">
        <v>1</v>
      </c>
      <c r="BX331" t="s">
        <v>1394</v>
      </c>
      <c r="BY331" t="s">
        <v>140</v>
      </c>
      <c r="CA331" t="s">
        <v>1395</v>
      </c>
      <c r="CD331">
        <v>0.0</v>
      </c>
      <c r="CF331" t="b">
        <v>0</v>
      </c>
      <c r="CG331" t="b">
        <v>0</v>
      </c>
      <c r="CH331" t="s">
        <v>128</v>
      </c>
      <c r="CJ331" t="b">
        <v>1</v>
      </c>
      <c r="CK331" t="b">
        <v>1</v>
      </c>
      <c r="CL331" t="s">
        <v>413</v>
      </c>
      <c r="CO331" t="s">
        <v>124</v>
      </c>
      <c r="CR331" t="b">
        <v>1</v>
      </c>
      <c r="CT331">
        <v>0.0</v>
      </c>
      <c r="CU331">
        <v>0.0</v>
      </c>
      <c r="CX331" t="s">
        <v>679</v>
      </c>
      <c r="CZ331" s="5">
        <v>44531.244722222225</v>
      </c>
      <c r="DA331" t="s">
        <v>7166</v>
      </c>
    </row>
    <row r="332">
      <c r="A332" t="s">
        <v>98</v>
      </c>
      <c r="D332" t="s">
        <v>7167</v>
      </c>
      <c r="E332" t="s">
        <v>7168</v>
      </c>
      <c r="F332" s="2">
        <v>37783.0</v>
      </c>
      <c r="G332" t="s">
        <v>1360</v>
      </c>
      <c r="I332" s="3" t="str">
        <f>HYPERLINK("https://api.typeform.com/responses/files/467b18429bd43f4636a387ab2b030370258b4fb96c7856cf116dec454adc3a11/IMG_2176.jpg")</f>
        <v>https://api.typeform.com/responses/files/467b18429bd43f4636a387ab2b030370258b4fb96c7856cf116dec454adc3a11/IMG_2176.jpg</v>
      </c>
      <c r="J332" t="s">
        <v>7169</v>
      </c>
      <c r="K332" t="b">
        <v>1</v>
      </c>
      <c r="L332" s="4" t="s">
        <v>7170</v>
      </c>
      <c r="M332" t="s">
        <v>7171</v>
      </c>
      <c r="N332" t="s">
        <v>255</v>
      </c>
      <c r="P332" t="s">
        <v>7172</v>
      </c>
      <c r="Q332" t="s">
        <v>189</v>
      </c>
      <c r="R332" t="s">
        <v>7173</v>
      </c>
      <c r="S332" t="s">
        <v>7174</v>
      </c>
      <c r="T332" s="4" t="s">
        <v>7175</v>
      </c>
      <c r="U332" t="s">
        <v>7176</v>
      </c>
      <c r="V332" t="s">
        <v>7177</v>
      </c>
      <c r="W332" t="s">
        <v>261</v>
      </c>
      <c r="Y332" t="s">
        <v>158</v>
      </c>
      <c r="Z332" t="s">
        <v>159</v>
      </c>
      <c r="AC332" s="3" t="str">
        <f>HYPERLINK("https://api.typeform.com/responses/files/3d1fecfa62cb462f4c36b323ea465fe87fdc07827f73b78f2ec5ccab96b3cafd/MONALISA__JANNATUL_213857691.pdf")</f>
        <v>https://api.typeform.com/responses/files/3d1fecfa62cb462f4c36b323ea465fe87fdc07827f73b78f2ec5ccab96b3cafd/MONALISA__JANNATUL_213857691.pdf</v>
      </c>
      <c r="AD332" t="s">
        <v>118</v>
      </c>
      <c r="AE332" t="s">
        <v>729</v>
      </c>
      <c r="AF332" t="s">
        <v>1731</v>
      </c>
      <c r="AG332">
        <v>11.0</v>
      </c>
      <c r="AH332" s="4" t="s">
        <v>4262</v>
      </c>
      <c r="AI332" t="s">
        <v>121</v>
      </c>
      <c r="AL332" t="s">
        <v>7178</v>
      </c>
      <c r="AO332" t="s">
        <v>125</v>
      </c>
      <c r="AP332">
        <v>4.0</v>
      </c>
      <c r="AQ332" t="s">
        <v>303</v>
      </c>
      <c r="AR332" t="s">
        <v>7179</v>
      </c>
      <c r="AS332" t="b">
        <v>1</v>
      </c>
      <c r="AT332" t="b">
        <v>1</v>
      </c>
      <c r="AV332">
        <v>6.0</v>
      </c>
      <c r="AW332" t="b">
        <v>1</v>
      </c>
      <c r="AX332" s="4" t="s">
        <v>1521</v>
      </c>
      <c r="AY332" t="s">
        <v>307</v>
      </c>
      <c r="AZ332" t="b">
        <v>1</v>
      </c>
      <c r="BA332" t="b">
        <v>1</v>
      </c>
      <c r="BB332" t="b">
        <v>0</v>
      </c>
      <c r="BC332" t="s">
        <v>7180</v>
      </c>
      <c r="BH332" t="s">
        <v>132</v>
      </c>
      <c r="BI332">
        <v>3.0</v>
      </c>
      <c r="BJ332" t="s">
        <v>7181</v>
      </c>
      <c r="BK332">
        <v>2.0</v>
      </c>
      <c r="BL332">
        <v>3.0</v>
      </c>
      <c r="BM332" t="s">
        <v>7182</v>
      </c>
      <c r="BN332">
        <v>1.0</v>
      </c>
      <c r="BO332">
        <v>3.0</v>
      </c>
      <c r="BP332" t="s">
        <v>7183</v>
      </c>
      <c r="BQ332" t="s">
        <v>7184</v>
      </c>
      <c r="BR332" t="s">
        <v>7185</v>
      </c>
      <c r="BS332" t="s">
        <v>7186</v>
      </c>
      <c r="BU332" t="s">
        <v>7187</v>
      </c>
      <c r="BV332" s="3" t="str">
        <f>HYPERLINK("https://api.typeform.com/responses/files/d6d8826f9ad2945fe5817a3e998bcf8117a9f445de26297d7a020e9b6efe0eb3/SPEAKHIRE_2021.pdf")</f>
        <v>https://api.typeform.com/responses/files/d6d8826f9ad2945fe5817a3e998bcf8117a9f445de26297d7a020e9b6efe0eb3/SPEAKHIRE_2021.pdf</v>
      </c>
      <c r="BW332" t="b">
        <v>1</v>
      </c>
      <c r="BX332" t="s">
        <v>1394</v>
      </c>
      <c r="BY332" t="s">
        <v>140</v>
      </c>
      <c r="CA332" t="s">
        <v>1395</v>
      </c>
      <c r="CD332">
        <v>0.0</v>
      </c>
      <c r="CF332" t="b">
        <v>0</v>
      </c>
      <c r="CG332" t="b">
        <v>1</v>
      </c>
      <c r="CH332" t="s">
        <v>7188</v>
      </c>
      <c r="CJ332" t="b">
        <v>1</v>
      </c>
      <c r="CK332" t="b">
        <v>1</v>
      </c>
      <c r="CL332" t="s">
        <v>541</v>
      </c>
      <c r="CM332" t="s">
        <v>2736</v>
      </c>
      <c r="CO332" t="s">
        <v>2068</v>
      </c>
      <c r="CQ332" t="s">
        <v>636</v>
      </c>
      <c r="CR332" t="b">
        <v>1</v>
      </c>
      <c r="CT332">
        <v>2.0</v>
      </c>
      <c r="CU332">
        <v>0.0</v>
      </c>
      <c r="CX332" s="4" t="s">
        <v>7189</v>
      </c>
      <c r="CZ332" s="5">
        <v>44538.858252314814</v>
      </c>
      <c r="DA332" t="s">
        <v>7190</v>
      </c>
    </row>
    <row r="333">
      <c r="A333" t="s">
        <v>98</v>
      </c>
      <c r="D333" t="s">
        <v>7191</v>
      </c>
      <c r="E333" t="s">
        <v>7192</v>
      </c>
      <c r="F333" s="2">
        <v>38240.0</v>
      </c>
      <c r="G333" t="s">
        <v>1360</v>
      </c>
      <c r="I333" s="3" t="str">
        <f>HYPERLINK("https://api.typeform.com/responses/files/4fed9bf6ab8739e27d3823c21ca83bd35fbaa6c91649d09559ddfda0dcaeaae2/195943.jpg")</f>
        <v>https://api.typeform.com/responses/files/4fed9bf6ab8739e27d3823c21ca83bd35fbaa6c91649d09559ddfda0dcaeaae2/195943.jpg</v>
      </c>
      <c r="J333" t="s">
        <v>7193</v>
      </c>
      <c r="K333" t="b">
        <v>1</v>
      </c>
      <c r="L333" s="4" t="s">
        <v>7194</v>
      </c>
      <c r="M333" t="s">
        <v>7195</v>
      </c>
      <c r="N333" t="s">
        <v>255</v>
      </c>
      <c r="P333" t="s">
        <v>7196</v>
      </c>
      <c r="Q333" t="s">
        <v>189</v>
      </c>
      <c r="R333" t="s">
        <v>7197</v>
      </c>
      <c r="S333" t="s">
        <v>7195</v>
      </c>
      <c r="T333" s="4" t="s">
        <v>7198</v>
      </c>
      <c r="U333" t="s">
        <v>835</v>
      </c>
      <c r="V333" t="s">
        <v>7199</v>
      </c>
      <c r="W333" t="s">
        <v>194</v>
      </c>
      <c r="Y333" t="s">
        <v>158</v>
      </c>
      <c r="Z333" t="s">
        <v>159</v>
      </c>
      <c r="AC333" s="3" t="str">
        <f>HYPERLINK("https://api.typeform.com/responses/files/a809b41d5d53e749670a30c69b1926fc833b28a484c8af05d598f783fb92370c/195943.jpg")</f>
        <v>https://api.typeform.com/responses/files/a809b41d5d53e749670a30c69b1926fc833b28a484c8af05d598f783fb92370c/195943.jpg</v>
      </c>
      <c r="AD333" t="s">
        <v>118</v>
      </c>
      <c r="AE333" t="s">
        <v>729</v>
      </c>
      <c r="AF333" t="s">
        <v>540</v>
      </c>
      <c r="AG333">
        <v>5.0</v>
      </c>
      <c r="AH333" s="4" t="s">
        <v>340</v>
      </c>
      <c r="AI333" t="s">
        <v>121</v>
      </c>
      <c r="AL333" t="s">
        <v>7200</v>
      </c>
      <c r="AO333" t="s">
        <v>125</v>
      </c>
      <c r="AP333">
        <v>6.0</v>
      </c>
      <c r="AQ333" t="s">
        <v>303</v>
      </c>
      <c r="AR333" t="s">
        <v>7201</v>
      </c>
      <c r="AS333" t="b">
        <v>1</v>
      </c>
      <c r="AT333" t="b">
        <v>0</v>
      </c>
      <c r="AV333">
        <v>4.0</v>
      </c>
      <c r="AW333" t="b">
        <v>1</v>
      </c>
      <c r="AX333" t="s">
        <v>2797</v>
      </c>
      <c r="AY333" t="s">
        <v>1451</v>
      </c>
      <c r="AZ333" t="b">
        <v>0</v>
      </c>
      <c r="BA333" t="b">
        <v>1</v>
      </c>
      <c r="BB333" t="b">
        <v>0</v>
      </c>
      <c r="BC333" t="s">
        <v>7202</v>
      </c>
      <c r="BH333" t="s">
        <v>132</v>
      </c>
      <c r="BI333">
        <v>5.0</v>
      </c>
      <c r="BJ333" t="s">
        <v>7203</v>
      </c>
      <c r="BK333">
        <v>6.0</v>
      </c>
      <c r="BL333">
        <v>4.0</v>
      </c>
      <c r="BM333" t="s">
        <v>7204</v>
      </c>
      <c r="BN333">
        <v>4.0</v>
      </c>
      <c r="BO333">
        <v>4.0</v>
      </c>
      <c r="BP333" t="s">
        <v>7205</v>
      </c>
      <c r="BQ333" t="s">
        <v>977</v>
      </c>
      <c r="BR333" t="s">
        <v>7206</v>
      </c>
      <c r="BS333" t="s">
        <v>7207</v>
      </c>
      <c r="BU333" t="s">
        <v>5808</v>
      </c>
      <c r="BV333" s="3" t="str">
        <f>HYPERLINK("https://api.typeform.com/responses/files/152cfeed32d84ffc81ab55c1ff4fffdcf8831b4cf61dc60c58e67af15d79f941/666666666.jpg")</f>
        <v>https://api.typeform.com/responses/files/152cfeed32d84ffc81ab55c1ff4fffdcf8831b4cf61dc60c58e67af15d79f941/666666666.jpg</v>
      </c>
      <c r="BW333" t="b">
        <v>1</v>
      </c>
      <c r="BX333" t="s">
        <v>1394</v>
      </c>
      <c r="BY333" t="s">
        <v>140</v>
      </c>
      <c r="CA333" t="s">
        <v>1395</v>
      </c>
      <c r="CD333">
        <v>0.0</v>
      </c>
      <c r="CF333" t="b">
        <v>1</v>
      </c>
      <c r="CG333" t="b">
        <v>1</v>
      </c>
      <c r="CH333" t="s">
        <v>1935</v>
      </c>
      <c r="CJ333" t="b">
        <v>1</v>
      </c>
      <c r="CK333" t="b">
        <v>0</v>
      </c>
      <c r="CL333" t="s">
        <v>198</v>
      </c>
      <c r="CO333" t="s">
        <v>2888</v>
      </c>
      <c r="CR333" t="b">
        <v>1</v>
      </c>
      <c r="CT333">
        <v>0.0</v>
      </c>
      <c r="CU333">
        <v>0.0</v>
      </c>
      <c r="CX333" s="4" t="s">
        <v>172</v>
      </c>
      <c r="CZ333" s="5">
        <v>44540.68701388889</v>
      </c>
      <c r="DA333" t="s">
        <v>7208</v>
      </c>
    </row>
    <row r="334">
      <c r="A334" t="s">
        <v>98</v>
      </c>
      <c r="D334" t="s">
        <v>7209</v>
      </c>
      <c r="E334" t="s">
        <v>667</v>
      </c>
      <c r="F334" s="2">
        <v>38088.0</v>
      </c>
      <c r="G334" t="s">
        <v>1562</v>
      </c>
      <c r="I334" s="3" t="str">
        <f>HYPERLINK("https://api.typeform.com/responses/files/51027e3394e5ce80ddce71f395882eb13edd9e22b8213e1bad98d4855a6610e8/1.docx")</f>
        <v>https://api.typeform.com/responses/files/51027e3394e5ce80ddce71f395882eb13edd9e22b8213e1bad98d4855a6610e8/1.docx</v>
      </c>
      <c r="J334" t="s">
        <v>7210</v>
      </c>
      <c r="K334" t="b">
        <v>1</v>
      </c>
      <c r="L334" s="4" t="s">
        <v>7211</v>
      </c>
      <c r="M334" t="s">
        <v>7212</v>
      </c>
      <c r="N334" t="s">
        <v>255</v>
      </c>
      <c r="O334" t="s">
        <v>7213</v>
      </c>
      <c r="P334" t="s">
        <v>7214</v>
      </c>
      <c r="Q334" t="s">
        <v>108</v>
      </c>
      <c r="R334" t="s">
        <v>7215</v>
      </c>
      <c r="S334" t="s">
        <v>7212</v>
      </c>
      <c r="T334" s="4" t="s">
        <v>7216</v>
      </c>
      <c r="U334" t="s">
        <v>7217</v>
      </c>
      <c r="V334" t="s">
        <v>7212</v>
      </c>
      <c r="W334" t="s">
        <v>194</v>
      </c>
      <c r="Y334" t="s">
        <v>158</v>
      </c>
      <c r="Z334" t="s">
        <v>262</v>
      </c>
      <c r="AC334" s="3" t="str">
        <f>HYPERLINK("https://api.typeform.com/responses/files/dca7cd15b2cb6d814232a7cc53aa4b8949ea18311055bb5310633d2182ecce20/1.docx")</f>
        <v>https://api.typeform.com/responses/files/dca7cd15b2cb6d814232a7cc53aa4b8949ea18311055bb5310633d2182ecce20/1.docx</v>
      </c>
      <c r="AD334" t="s">
        <v>543</v>
      </c>
      <c r="AE334" t="s">
        <v>729</v>
      </c>
      <c r="AF334" t="s">
        <v>7218</v>
      </c>
      <c r="AG334">
        <v>2.0</v>
      </c>
      <c r="AH334" s="4" t="s">
        <v>4230</v>
      </c>
      <c r="AI334" t="s">
        <v>121</v>
      </c>
      <c r="AK334" t="s">
        <v>7219</v>
      </c>
      <c r="AL334" t="s">
        <v>1546</v>
      </c>
      <c r="AO334" t="s">
        <v>125</v>
      </c>
      <c r="AP334">
        <v>4.0</v>
      </c>
      <c r="AQ334" t="s">
        <v>1520</v>
      </c>
      <c r="AR334" t="s">
        <v>7220</v>
      </c>
      <c r="AS334" t="b">
        <v>1</v>
      </c>
      <c r="AT334" t="b">
        <v>0</v>
      </c>
      <c r="AV334">
        <v>4.0</v>
      </c>
      <c r="AW334" t="b">
        <v>0</v>
      </c>
      <c r="AZ334" t="b">
        <v>0</v>
      </c>
      <c r="BA334" t="b">
        <v>0</v>
      </c>
      <c r="BD334" t="s">
        <v>7221</v>
      </c>
      <c r="BH334" t="s">
        <v>132</v>
      </c>
      <c r="BI334">
        <v>2.0</v>
      </c>
      <c r="BJ334" t="s">
        <v>7222</v>
      </c>
      <c r="BK334">
        <v>1.0</v>
      </c>
      <c r="BL334">
        <v>4.0</v>
      </c>
      <c r="BM334" t="s">
        <v>7223</v>
      </c>
      <c r="BN334">
        <v>2.0</v>
      </c>
      <c r="BO334">
        <v>4.0</v>
      </c>
      <c r="BP334" t="s">
        <v>7224</v>
      </c>
      <c r="BQ334" t="s">
        <v>7225</v>
      </c>
      <c r="BR334" t="s">
        <v>7226</v>
      </c>
      <c r="BS334" t="s">
        <v>7227</v>
      </c>
      <c r="BU334" t="s">
        <v>7228</v>
      </c>
      <c r="BV334" s="3" t="str">
        <f>HYPERLINK("https://api.typeform.com/responses/files/06700ea1d536481ea49e6e86ce21263f07aa9da600a2459b5bc934da51beee63/1.docx")</f>
        <v>https://api.typeform.com/responses/files/06700ea1d536481ea49e6e86ce21263f07aa9da600a2459b5bc934da51beee63/1.docx</v>
      </c>
      <c r="BW334" t="b">
        <v>1</v>
      </c>
      <c r="BX334" t="s">
        <v>1394</v>
      </c>
      <c r="BY334" t="s">
        <v>140</v>
      </c>
      <c r="CA334" t="s">
        <v>1395</v>
      </c>
      <c r="CD334">
        <v>0.0</v>
      </c>
      <c r="CF334" t="b">
        <v>1</v>
      </c>
      <c r="CG334" t="b">
        <v>1</v>
      </c>
      <c r="CH334" t="s">
        <v>7229</v>
      </c>
      <c r="CJ334" t="b">
        <v>1</v>
      </c>
      <c r="CK334" t="b">
        <v>1</v>
      </c>
      <c r="CL334" t="s">
        <v>2301</v>
      </c>
      <c r="CO334" t="s">
        <v>7230</v>
      </c>
      <c r="CR334" t="b">
        <v>1</v>
      </c>
      <c r="CT334">
        <v>0.0</v>
      </c>
      <c r="CU334">
        <v>2.0</v>
      </c>
      <c r="CV334" t="s">
        <v>7231</v>
      </c>
      <c r="CX334" s="4" t="s">
        <v>7232</v>
      </c>
      <c r="CZ334" s="5">
        <v>44540.69181712963</v>
      </c>
      <c r="DA334" t="s">
        <v>7233</v>
      </c>
    </row>
    <row r="335">
      <c r="A335" t="s">
        <v>98</v>
      </c>
      <c r="D335" t="s">
        <v>7234</v>
      </c>
      <c r="E335" t="s">
        <v>7235</v>
      </c>
      <c r="F335" s="2">
        <v>38243.0</v>
      </c>
      <c r="G335" t="s">
        <v>1360</v>
      </c>
      <c r="I335" s="3" t="str">
        <f>HYPERLINK("https://api.typeform.com/responses/files/8921d42b89970bd6c9799f35e7814dc37dbd4ca318a5b7544979f35326c4ae2c/Untitled.png")</f>
        <v>https://api.typeform.com/responses/files/8921d42b89970bd6c9799f35e7814dc37dbd4ca318a5b7544979f35326c4ae2c/Untitled.png</v>
      </c>
      <c r="J335" t="s">
        <v>7236</v>
      </c>
      <c r="K335" t="b">
        <v>0</v>
      </c>
      <c r="M335" t="s">
        <v>7237</v>
      </c>
      <c r="N335" t="s">
        <v>255</v>
      </c>
      <c r="P335" t="s">
        <v>7238</v>
      </c>
      <c r="Q335" t="s">
        <v>189</v>
      </c>
      <c r="R335" t="s">
        <v>7239</v>
      </c>
      <c r="S335" t="s">
        <v>7237</v>
      </c>
      <c r="T335" s="4" t="s">
        <v>7240</v>
      </c>
      <c r="U335" t="s">
        <v>7241</v>
      </c>
      <c r="V335" t="s">
        <v>7242</v>
      </c>
      <c r="W335" t="s">
        <v>194</v>
      </c>
      <c r="Y335" t="s">
        <v>158</v>
      </c>
      <c r="Z335" t="s">
        <v>262</v>
      </c>
      <c r="AC335" s="3" t="str">
        <f>HYPERLINK("https://api.typeform.com/responses/files/0ac9fb08db3f516b801eade04d12c7a11a6a10016b974beed1d55bb5f68ab732/Untitled.png")</f>
        <v>https://api.typeform.com/responses/files/0ac9fb08db3f516b801eade04d12c7a11a6a10016b974beed1d55bb5f68ab732/Untitled.png</v>
      </c>
      <c r="AD335" t="s">
        <v>3642</v>
      </c>
      <c r="AE335" t="s">
        <v>729</v>
      </c>
      <c r="AF335" t="s">
        <v>7243</v>
      </c>
      <c r="AG335">
        <v>4.0</v>
      </c>
      <c r="AH335" s="4" t="s">
        <v>7244</v>
      </c>
      <c r="AI335" t="s">
        <v>162</v>
      </c>
      <c r="AK335" t="s">
        <v>139</v>
      </c>
      <c r="AL335" t="s">
        <v>7245</v>
      </c>
      <c r="AO335" t="s">
        <v>335</v>
      </c>
      <c r="AP335">
        <v>4.0</v>
      </c>
      <c r="AQ335" t="s">
        <v>303</v>
      </c>
      <c r="AR335" t="s">
        <v>6087</v>
      </c>
      <c r="AS335" t="b">
        <v>1</v>
      </c>
      <c r="AT335" t="b">
        <v>0</v>
      </c>
      <c r="AV335">
        <v>4.0</v>
      </c>
      <c r="AW335" t="b">
        <v>0</v>
      </c>
      <c r="AZ335" t="b">
        <v>0</v>
      </c>
      <c r="BA335" t="b">
        <v>0</v>
      </c>
      <c r="BD335" t="s">
        <v>7246</v>
      </c>
      <c r="BH335" t="s">
        <v>132</v>
      </c>
      <c r="BI335">
        <v>1.0</v>
      </c>
      <c r="BJ335" t="s">
        <v>4637</v>
      </c>
      <c r="BK335">
        <v>2.0</v>
      </c>
      <c r="BL335">
        <v>4.0</v>
      </c>
      <c r="BM335" t="s">
        <v>7247</v>
      </c>
      <c r="BN335">
        <v>1.0</v>
      </c>
      <c r="BO335">
        <v>1.0</v>
      </c>
      <c r="BP335" t="s">
        <v>7248</v>
      </c>
      <c r="BQ335" t="s">
        <v>7249</v>
      </c>
      <c r="BR335" t="s">
        <v>7250</v>
      </c>
      <c r="BS335" t="s">
        <v>7251</v>
      </c>
      <c r="BU335" t="s">
        <v>139</v>
      </c>
      <c r="BV335" s="3" t="str">
        <f>HYPERLINK("https://api.typeform.com/responses/files/e26ba85efb13fe6435683e03cf4293b236f55ad59af07bca8e538f85fc9102cb/Untitled.png")</f>
        <v>https://api.typeform.com/responses/files/e26ba85efb13fe6435683e03cf4293b236f55ad59af07bca8e538f85fc9102cb/Untitled.png</v>
      </c>
      <c r="BW335" t="b">
        <v>1</v>
      </c>
      <c r="BX335" t="s">
        <v>1394</v>
      </c>
      <c r="BY335" t="s">
        <v>140</v>
      </c>
      <c r="CA335" t="s">
        <v>1395</v>
      </c>
      <c r="CD335">
        <v>0.0</v>
      </c>
      <c r="CF335" t="b">
        <v>1</v>
      </c>
      <c r="CG335" t="b">
        <v>1</v>
      </c>
      <c r="CH335" t="s">
        <v>4188</v>
      </c>
      <c r="CJ335" t="b">
        <v>1</v>
      </c>
      <c r="CK335" t="b">
        <v>1</v>
      </c>
      <c r="CL335" t="s">
        <v>413</v>
      </c>
      <c r="CO335" t="s">
        <v>124</v>
      </c>
      <c r="CQ335" t="s">
        <v>413</v>
      </c>
      <c r="CR335" t="b">
        <v>1</v>
      </c>
      <c r="CT335">
        <v>2.0</v>
      </c>
      <c r="CU335">
        <v>3.0</v>
      </c>
      <c r="CX335" s="4" t="s">
        <v>7252</v>
      </c>
      <c r="CZ335" s="5">
        <v>44540.69295138889</v>
      </c>
      <c r="DA335" t="s">
        <v>7253</v>
      </c>
    </row>
    <row r="336">
      <c r="A336" t="s">
        <v>98</v>
      </c>
      <c r="D336" t="s">
        <v>7254</v>
      </c>
      <c r="E336" t="s">
        <v>7255</v>
      </c>
      <c r="F336" s="2">
        <v>38379.0</v>
      </c>
      <c r="G336" t="s">
        <v>1360</v>
      </c>
      <c r="I336" s="3" t="str">
        <f>HYPERLINK("https://api.typeform.com/responses/files/8a102d1950ea737828bbd97c73ca162b9b5b5767ec5136bcb680e426beb2d5c2/190723145130_old_growth_trees_cut_oregon_state_trnd_restricted_large_169.jpg")</f>
        <v>https://api.typeform.com/responses/files/8a102d1950ea737828bbd97c73ca162b9b5b5767ec5136bcb680e426beb2d5c2/190723145130_old_growth_trees_cut_oregon_state_trnd_restricted_large_169.jpg</v>
      </c>
      <c r="J336" t="s">
        <v>7256</v>
      </c>
      <c r="K336" t="b">
        <v>1</v>
      </c>
      <c r="L336" s="4" t="s">
        <v>7257</v>
      </c>
      <c r="M336" t="s">
        <v>7258</v>
      </c>
      <c r="N336" t="s">
        <v>255</v>
      </c>
      <c r="P336" t="s">
        <v>7259</v>
      </c>
      <c r="Q336" t="s">
        <v>189</v>
      </c>
      <c r="R336" t="s">
        <v>7260</v>
      </c>
      <c r="S336" t="s">
        <v>7261</v>
      </c>
      <c r="T336" s="4" t="s">
        <v>7262</v>
      </c>
      <c r="U336" t="s">
        <v>835</v>
      </c>
      <c r="V336" t="s">
        <v>836</v>
      </c>
      <c r="W336" t="s">
        <v>194</v>
      </c>
      <c r="Y336" t="s">
        <v>158</v>
      </c>
      <c r="Z336" t="s">
        <v>262</v>
      </c>
      <c r="AC336" s="3" t="str">
        <f>HYPERLINK("https://api.typeform.com/responses/files/edf39930233a10df04e0e8f7fd5662f3b0bb14681ad78264f7722bcc1b011dfb/190723145130_old_growth_trees_cut_oregon_state_trnd_restricted_large_169.jpg")</f>
        <v>https://api.typeform.com/responses/files/edf39930233a10df04e0e8f7fd5662f3b0bb14681ad78264f7722bcc1b011dfb/190723145130_old_growth_trees_cut_oregon_state_trnd_restricted_large_169.jpg</v>
      </c>
      <c r="AD336" t="s">
        <v>1516</v>
      </c>
      <c r="AE336" t="s">
        <v>729</v>
      </c>
      <c r="AF336" t="s">
        <v>412</v>
      </c>
      <c r="AG336">
        <v>9.0</v>
      </c>
      <c r="AH336" s="4" t="s">
        <v>7263</v>
      </c>
      <c r="AI336" t="s">
        <v>205</v>
      </c>
      <c r="AL336" t="s">
        <v>7245</v>
      </c>
      <c r="AO336" t="s">
        <v>125</v>
      </c>
      <c r="AP336">
        <v>5.0</v>
      </c>
      <c r="AQ336" t="s">
        <v>4222</v>
      </c>
      <c r="AR336" t="s">
        <v>7264</v>
      </c>
      <c r="AS336" t="b">
        <v>1</v>
      </c>
      <c r="AT336" t="b">
        <v>0</v>
      </c>
      <c r="AV336">
        <v>4.0</v>
      </c>
      <c r="AW336" t="b">
        <v>1</v>
      </c>
      <c r="AX336" s="4" t="s">
        <v>130</v>
      </c>
      <c r="AY336" s="4" t="s">
        <v>518</v>
      </c>
      <c r="AZ336" t="b">
        <v>0</v>
      </c>
      <c r="BA336" t="b">
        <v>0</v>
      </c>
      <c r="BD336" t="s">
        <v>7265</v>
      </c>
      <c r="BH336" t="s">
        <v>132</v>
      </c>
      <c r="BI336">
        <v>2.0</v>
      </c>
      <c r="BJ336" t="s">
        <v>7266</v>
      </c>
      <c r="BK336">
        <v>4.0</v>
      </c>
      <c r="BL336">
        <v>4.0</v>
      </c>
      <c r="BM336" t="s">
        <v>7267</v>
      </c>
      <c r="BN336">
        <v>1.0</v>
      </c>
      <c r="BO336">
        <v>6.0</v>
      </c>
      <c r="BP336" t="s">
        <v>5378</v>
      </c>
      <c r="BQ336" t="s">
        <v>5900</v>
      </c>
      <c r="BR336" t="s">
        <v>7268</v>
      </c>
      <c r="BS336" t="s">
        <v>7269</v>
      </c>
      <c r="BU336" t="s">
        <v>4823</v>
      </c>
      <c r="BV336" s="3" t="str">
        <f>HYPERLINK("https://api.typeform.com/responses/files/4ab8c12b7c8351e6796297c77a0fd8a492d0928e85c7231107614252c894a1f0/190723145130_old_growth_trees_cut_oregon_state_trnd_restricted_large_169.jpg")</f>
        <v>https://api.typeform.com/responses/files/4ab8c12b7c8351e6796297c77a0fd8a492d0928e85c7231107614252c894a1f0/190723145130_old_growth_trees_cut_oregon_state_trnd_restricted_large_169.jpg</v>
      </c>
      <c r="BW336" t="b">
        <v>1</v>
      </c>
      <c r="BX336" t="s">
        <v>1394</v>
      </c>
      <c r="BY336" t="s">
        <v>140</v>
      </c>
      <c r="CA336" t="s">
        <v>1395</v>
      </c>
      <c r="CD336">
        <v>0.0</v>
      </c>
      <c r="CF336" t="b">
        <v>1</v>
      </c>
      <c r="CG336" t="b">
        <v>1</v>
      </c>
      <c r="CH336" t="s">
        <v>1557</v>
      </c>
      <c r="CJ336" t="b">
        <v>1</v>
      </c>
      <c r="CK336" t="b">
        <v>1</v>
      </c>
      <c r="CL336" t="s">
        <v>413</v>
      </c>
      <c r="CO336" t="s">
        <v>2068</v>
      </c>
      <c r="CR336" t="b">
        <v>1</v>
      </c>
      <c r="CT336">
        <v>0.0</v>
      </c>
      <c r="CU336">
        <v>0.0</v>
      </c>
      <c r="CX336" s="4" t="s">
        <v>7270</v>
      </c>
      <c r="CZ336" s="5">
        <v>44540.69326388889</v>
      </c>
      <c r="DA336" t="s">
        <v>7271</v>
      </c>
    </row>
    <row r="337">
      <c r="A337" t="s">
        <v>98</v>
      </c>
      <c r="D337" t="s">
        <v>7272</v>
      </c>
      <c r="E337" t="s">
        <v>7273</v>
      </c>
      <c r="F337" s="2">
        <v>37966.0</v>
      </c>
      <c r="G337" t="s">
        <v>1466</v>
      </c>
      <c r="I337" s="3" t="str">
        <f>HYPERLINK("https://api.typeform.com/responses/files/2ddceff608f1bb0f415b51e1e2e1f377788f625050caec340e1a36baea3350e3/download.jpg")</f>
        <v>https://api.typeform.com/responses/files/2ddceff608f1bb0f415b51e1e2e1f377788f625050caec340e1a36baea3350e3/download.jpg</v>
      </c>
      <c r="J337" t="s">
        <v>7274</v>
      </c>
      <c r="K337" t="b">
        <v>1</v>
      </c>
      <c r="L337" s="4" t="s">
        <v>7275</v>
      </c>
      <c r="M337" t="s">
        <v>7276</v>
      </c>
      <c r="N337" t="s">
        <v>105</v>
      </c>
      <c r="P337" t="s">
        <v>7277</v>
      </c>
      <c r="Q337" t="s">
        <v>152</v>
      </c>
      <c r="R337" t="s">
        <v>7278</v>
      </c>
      <c r="S337" t="s">
        <v>7276</v>
      </c>
      <c r="T337" s="4" t="s">
        <v>7279</v>
      </c>
      <c r="U337" t="s">
        <v>835</v>
      </c>
      <c r="V337" t="s">
        <v>7280</v>
      </c>
      <c r="W337" t="s">
        <v>194</v>
      </c>
      <c r="Y337" t="s">
        <v>158</v>
      </c>
      <c r="Z337" t="s">
        <v>262</v>
      </c>
      <c r="AC337" s="3" t="str">
        <f>HYPERLINK("https://api.typeform.com/responses/files/1e0c4cf9c172928be927df161e99185e616062f7346bb114e76fe748f67731e8/download.jpg")</f>
        <v>https://api.typeform.com/responses/files/1e0c4cf9c172928be927df161e99185e616062f7346bb114e76fe748f67731e8/download.jpg</v>
      </c>
      <c r="AD337" t="s">
        <v>3642</v>
      </c>
      <c r="AE337" t="s">
        <v>1220</v>
      </c>
      <c r="AF337" t="s">
        <v>7281</v>
      </c>
      <c r="AG337">
        <v>2.0</v>
      </c>
      <c r="AH337" t="s">
        <v>514</v>
      </c>
      <c r="AI337" t="s">
        <v>121</v>
      </c>
      <c r="AL337" t="s">
        <v>621</v>
      </c>
      <c r="AO337" t="s">
        <v>125</v>
      </c>
      <c r="AP337">
        <v>5.0</v>
      </c>
      <c r="AQ337" t="s">
        <v>1480</v>
      </c>
      <c r="AR337" t="s">
        <v>2677</v>
      </c>
      <c r="AS337" t="b">
        <v>0</v>
      </c>
      <c r="AV337">
        <v>5.0</v>
      </c>
      <c r="AW337" t="b">
        <v>0</v>
      </c>
      <c r="AZ337" t="b">
        <v>0</v>
      </c>
      <c r="BA337" t="b">
        <v>1</v>
      </c>
      <c r="BB337" t="b">
        <v>0</v>
      </c>
      <c r="BC337" t="s">
        <v>7282</v>
      </c>
      <c r="BH337" t="s">
        <v>132</v>
      </c>
      <c r="BI337">
        <v>5.0</v>
      </c>
      <c r="BJ337" t="s">
        <v>7283</v>
      </c>
      <c r="BK337">
        <v>6.0</v>
      </c>
      <c r="BL337">
        <v>6.0</v>
      </c>
      <c r="BM337" t="s">
        <v>7284</v>
      </c>
      <c r="BN337">
        <v>6.0</v>
      </c>
      <c r="BO337">
        <v>5.0</v>
      </c>
      <c r="BP337" t="s">
        <v>7285</v>
      </c>
      <c r="BQ337" t="s">
        <v>7286</v>
      </c>
      <c r="BR337" t="s">
        <v>7287</v>
      </c>
      <c r="BS337" t="s">
        <v>7288</v>
      </c>
      <c r="BU337" t="s">
        <v>7289</v>
      </c>
      <c r="BV337" s="3" t="str">
        <f>HYPERLINK("https://api.typeform.com/responses/files/8af7858aa20cbf76847508874272037abef4c5d677399e7750e2ee8304d336a9/download.jpg")</f>
        <v>https://api.typeform.com/responses/files/8af7858aa20cbf76847508874272037abef4c5d677399e7750e2ee8304d336a9/download.jpg</v>
      </c>
      <c r="BW337" t="b">
        <v>1</v>
      </c>
      <c r="BX337" t="s">
        <v>1394</v>
      </c>
      <c r="BY337" t="s">
        <v>140</v>
      </c>
      <c r="CA337" t="s">
        <v>1395</v>
      </c>
      <c r="CD337">
        <v>0.0</v>
      </c>
      <c r="CF337" t="b">
        <v>0</v>
      </c>
      <c r="CG337" t="b">
        <v>0</v>
      </c>
      <c r="CH337" t="s">
        <v>2553</v>
      </c>
      <c r="CJ337" t="b">
        <v>0</v>
      </c>
      <c r="CK337" t="b">
        <v>0</v>
      </c>
      <c r="CL337" t="s">
        <v>362</v>
      </c>
      <c r="CO337" t="s">
        <v>1397</v>
      </c>
      <c r="CR337" t="b">
        <v>1</v>
      </c>
      <c r="CT337">
        <v>2.0</v>
      </c>
      <c r="CU337">
        <v>0.0</v>
      </c>
      <c r="CX337" s="4" t="s">
        <v>520</v>
      </c>
      <c r="CZ337" s="5">
        <v>44540.69545138889</v>
      </c>
      <c r="DA337" t="s">
        <v>7290</v>
      </c>
    </row>
    <row r="338">
      <c r="A338" t="s">
        <v>98</v>
      </c>
      <c r="D338" t="s">
        <v>7291</v>
      </c>
      <c r="E338" t="s">
        <v>7292</v>
      </c>
      <c r="F338" s="2">
        <v>38236.0</v>
      </c>
      <c r="G338" t="s">
        <v>1360</v>
      </c>
      <c r="I338" s="3" t="str">
        <f>HYPERLINK("https://api.typeform.com/responses/files/9cfb12e61762d075b7569c0210aaaa53774841f0632c6cca903e4ebfb8fe3147/Desert.jpg")</f>
        <v>https://api.typeform.com/responses/files/9cfb12e61762d075b7569c0210aaaa53774841f0632c6cca903e4ebfb8fe3147/Desert.jpg</v>
      </c>
      <c r="J338" t="s">
        <v>7293</v>
      </c>
      <c r="K338" t="b">
        <v>1</v>
      </c>
      <c r="L338" s="4" t="s">
        <v>7294</v>
      </c>
      <c r="M338" t="s">
        <v>7295</v>
      </c>
      <c r="N338" t="s">
        <v>255</v>
      </c>
      <c r="O338" t="s">
        <v>7296</v>
      </c>
      <c r="P338" t="s">
        <v>7297</v>
      </c>
      <c r="Q338" t="s">
        <v>189</v>
      </c>
      <c r="R338" t="s">
        <v>7298</v>
      </c>
      <c r="S338" t="s">
        <v>7299</v>
      </c>
      <c r="T338" s="4" t="s">
        <v>7300</v>
      </c>
      <c r="U338" t="s">
        <v>835</v>
      </c>
      <c r="V338" t="s">
        <v>567</v>
      </c>
      <c r="W338" t="s">
        <v>194</v>
      </c>
      <c r="Y338" t="s">
        <v>158</v>
      </c>
      <c r="Z338" t="s">
        <v>262</v>
      </c>
      <c r="AC338" s="3" t="str">
        <f>HYPERLINK("https://api.typeform.com/responses/files/acff53a4da5ac5de47555cdbc01ee5b42f0f4f991a2459aa315c2981d9a2c960/Penguins.jpg")</f>
        <v>https://api.typeform.com/responses/files/acff53a4da5ac5de47555cdbc01ee5b42f0f4f991a2459aa315c2981d9a2c960/Penguins.jpg</v>
      </c>
      <c r="AD338" t="s">
        <v>3642</v>
      </c>
      <c r="AE338" t="s">
        <v>729</v>
      </c>
      <c r="AF338" t="s">
        <v>412</v>
      </c>
      <c r="AG338">
        <v>4.0</v>
      </c>
      <c r="AH338" s="4" t="s">
        <v>7244</v>
      </c>
      <c r="AI338" t="s">
        <v>162</v>
      </c>
      <c r="AK338" t="s">
        <v>139</v>
      </c>
      <c r="AL338" t="s">
        <v>7301</v>
      </c>
      <c r="AO338" t="s">
        <v>335</v>
      </c>
      <c r="AP338">
        <v>4.0</v>
      </c>
      <c r="AQ338" t="s">
        <v>126</v>
      </c>
      <c r="AR338" t="s">
        <v>7302</v>
      </c>
      <c r="AS338" t="b">
        <v>1</v>
      </c>
      <c r="AT338" t="b">
        <v>0</v>
      </c>
      <c r="AV338">
        <v>3.0</v>
      </c>
      <c r="AW338" t="b">
        <v>0</v>
      </c>
      <c r="AZ338" t="b">
        <v>0</v>
      </c>
      <c r="BA338" t="b">
        <v>0</v>
      </c>
      <c r="BD338" t="s">
        <v>4637</v>
      </c>
      <c r="BH338" t="s">
        <v>132</v>
      </c>
      <c r="BI338">
        <v>2.0</v>
      </c>
      <c r="BJ338" t="s">
        <v>3585</v>
      </c>
      <c r="BK338">
        <v>2.0</v>
      </c>
      <c r="BL338">
        <v>2.0</v>
      </c>
      <c r="BM338" t="s">
        <v>7303</v>
      </c>
      <c r="BN338">
        <v>1.0</v>
      </c>
      <c r="BO338">
        <v>1.0</v>
      </c>
      <c r="BP338" t="s">
        <v>7304</v>
      </c>
      <c r="BQ338" t="s">
        <v>2602</v>
      </c>
      <c r="BR338" t="s">
        <v>7305</v>
      </c>
      <c r="BS338" t="s">
        <v>7306</v>
      </c>
      <c r="BU338" t="s">
        <v>139</v>
      </c>
      <c r="BV338" s="3" t="str">
        <f>HYPERLINK("https://api.typeform.com/responses/files/ee81ae6646646c4f35d93f661089144fe7bec3173be2e995922ce104bc62bdb9/Penguins.jpg")</f>
        <v>https://api.typeform.com/responses/files/ee81ae6646646c4f35d93f661089144fe7bec3173be2e995922ce104bc62bdb9/Penguins.jpg</v>
      </c>
      <c r="BW338" t="b">
        <v>1</v>
      </c>
      <c r="BX338" t="s">
        <v>1394</v>
      </c>
      <c r="BY338" t="s">
        <v>140</v>
      </c>
      <c r="CA338" t="s">
        <v>1395</v>
      </c>
      <c r="CD338">
        <v>0.0</v>
      </c>
      <c r="CF338" t="b">
        <v>1</v>
      </c>
      <c r="CG338" t="b">
        <v>1</v>
      </c>
      <c r="CH338" t="s">
        <v>7307</v>
      </c>
      <c r="CJ338" t="b">
        <v>1</v>
      </c>
      <c r="CK338" t="b">
        <v>1</v>
      </c>
      <c r="CL338" t="s">
        <v>413</v>
      </c>
      <c r="CM338" t="s">
        <v>413</v>
      </c>
      <c r="CO338" t="s">
        <v>124</v>
      </c>
      <c r="CQ338" t="s">
        <v>413</v>
      </c>
      <c r="CR338" t="b">
        <v>1</v>
      </c>
      <c r="CT338">
        <v>1.0</v>
      </c>
      <c r="CU338">
        <v>0.0</v>
      </c>
      <c r="CX338" s="4" t="s">
        <v>7308</v>
      </c>
      <c r="CZ338" s="5">
        <v>44540.69684027778</v>
      </c>
      <c r="DA338" t="s">
        <v>7309</v>
      </c>
    </row>
    <row r="339">
      <c r="A339" t="s">
        <v>98</v>
      </c>
      <c r="D339" t="s">
        <v>7310</v>
      </c>
      <c r="E339" t="s">
        <v>7311</v>
      </c>
      <c r="F339" s="2">
        <v>38455.0</v>
      </c>
      <c r="G339" t="s">
        <v>1360</v>
      </c>
      <c r="I339" s="3" t="str">
        <f>HYPERLINK("https://api.typeform.com/responses/files/59ed078684ce40ad45ae48de5d50dace654805c4d8d6892da26ead2592a1b4be/Desert.jpg")</f>
        <v>https://api.typeform.com/responses/files/59ed078684ce40ad45ae48de5d50dace654805c4d8d6892da26ead2592a1b4be/Desert.jpg</v>
      </c>
      <c r="J339" t="s">
        <v>7312</v>
      </c>
      <c r="K339" t="b">
        <v>1</v>
      </c>
      <c r="L339" s="4" t="s">
        <v>7313</v>
      </c>
      <c r="M339" t="s">
        <v>7314</v>
      </c>
      <c r="N339" t="s">
        <v>149</v>
      </c>
      <c r="O339" t="s">
        <v>7315</v>
      </c>
      <c r="P339" t="s">
        <v>7316</v>
      </c>
      <c r="Q339" t="s">
        <v>189</v>
      </c>
      <c r="R339" t="s">
        <v>7317</v>
      </c>
      <c r="S339" t="s">
        <v>7318</v>
      </c>
      <c r="T339" s="4" t="s">
        <v>7319</v>
      </c>
      <c r="U339" t="s">
        <v>835</v>
      </c>
      <c r="V339" t="s">
        <v>7320</v>
      </c>
      <c r="W339" t="s">
        <v>194</v>
      </c>
      <c r="Y339" t="s">
        <v>158</v>
      </c>
      <c r="Z339" t="s">
        <v>262</v>
      </c>
      <c r="AC339" s="3" t="str">
        <f>HYPERLINK("https://api.typeform.com/responses/files/45c33a92a8cf60400d84074893e54df97f112080031220c318609cbad597855e/Koala.jpg")</f>
        <v>https://api.typeform.com/responses/files/45c33a92a8cf60400d84074893e54df97f112080031220c318609cbad597855e/Koala.jpg</v>
      </c>
      <c r="AD339" t="s">
        <v>118</v>
      </c>
      <c r="AE339" t="s">
        <v>729</v>
      </c>
      <c r="AF339" t="s">
        <v>412</v>
      </c>
      <c r="AG339">
        <v>7.0</v>
      </c>
      <c r="AH339" s="4" t="s">
        <v>3057</v>
      </c>
      <c r="AI339" t="s">
        <v>205</v>
      </c>
      <c r="AL339" t="s">
        <v>7321</v>
      </c>
      <c r="AO339" t="s">
        <v>335</v>
      </c>
      <c r="AP339">
        <v>6.0</v>
      </c>
      <c r="AQ339" t="s">
        <v>126</v>
      </c>
      <c r="AR339" t="s">
        <v>7322</v>
      </c>
      <c r="AS339" t="b">
        <v>0</v>
      </c>
      <c r="AV339">
        <v>2.0</v>
      </c>
      <c r="AW339" t="b">
        <v>0</v>
      </c>
      <c r="AZ339" t="b">
        <v>0</v>
      </c>
      <c r="BA339" t="b">
        <v>0</v>
      </c>
      <c r="BD339" t="s">
        <v>7323</v>
      </c>
      <c r="BH339" t="s">
        <v>132</v>
      </c>
      <c r="BI339">
        <v>2.0</v>
      </c>
      <c r="BJ339" t="s">
        <v>7324</v>
      </c>
      <c r="BK339">
        <v>3.0</v>
      </c>
      <c r="BL339">
        <v>2.0</v>
      </c>
      <c r="BM339" t="s">
        <v>7325</v>
      </c>
      <c r="BN339">
        <v>2.0</v>
      </c>
      <c r="BO339">
        <v>5.0</v>
      </c>
      <c r="BP339" t="s">
        <v>7326</v>
      </c>
      <c r="BQ339" t="s">
        <v>4708</v>
      </c>
      <c r="BR339" t="s">
        <v>7327</v>
      </c>
      <c r="BS339" t="s">
        <v>3585</v>
      </c>
      <c r="BU339" t="s">
        <v>139</v>
      </c>
      <c r="BV339" s="3" t="str">
        <f>HYPERLINK("https://api.typeform.com/responses/files/fecad7084e02528a0ce72272f3ac4dd9bb619724e96d8e0dd883d9d1253d9820/Koala.jpg")</f>
        <v>https://api.typeform.com/responses/files/fecad7084e02528a0ce72272f3ac4dd9bb619724e96d8e0dd883d9d1253d9820/Koala.jpg</v>
      </c>
      <c r="BW339" t="b">
        <v>1</v>
      </c>
      <c r="BX339" t="s">
        <v>1394</v>
      </c>
      <c r="BY339" t="s">
        <v>140</v>
      </c>
      <c r="CA339" t="s">
        <v>1395</v>
      </c>
      <c r="CD339">
        <v>0.0</v>
      </c>
      <c r="CF339" t="b">
        <v>1</v>
      </c>
      <c r="CG339" t="b">
        <v>1</v>
      </c>
      <c r="CH339" t="s">
        <v>2553</v>
      </c>
      <c r="CJ339" t="b">
        <v>1</v>
      </c>
      <c r="CK339" t="b">
        <v>1</v>
      </c>
      <c r="CL339" t="s">
        <v>413</v>
      </c>
      <c r="CO339" t="s">
        <v>124</v>
      </c>
      <c r="CR339" t="b">
        <v>1</v>
      </c>
      <c r="CT339">
        <v>0.0</v>
      </c>
      <c r="CU339">
        <v>4.0</v>
      </c>
      <c r="CX339" s="4" t="s">
        <v>7328</v>
      </c>
      <c r="CZ339" s="5">
        <v>44540.696921296294</v>
      </c>
      <c r="DA339" t="s">
        <v>7329</v>
      </c>
    </row>
    <row r="340">
      <c r="A340" t="s">
        <v>98</v>
      </c>
      <c r="D340" t="s">
        <v>3396</v>
      </c>
      <c r="E340" t="s">
        <v>7330</v>
      </c>
      <c r="F340" s="2">
        <v>38304.0</v>
      </c>
      <c r="G340" t="s">
        <v>1466</v>
      </c>
      <c r="I340" s="3" t="str">
        <f>HYPERLINK("https://api.typeform.com/responses/files/b5b1030c557c7923643c22f5d354462e4cd2919740665ee8324ebe97b222b23a/Desert.jpg")</f>
        <v>https://api.typeform.com/responses/files/b5b1030c557c7923643c22f5d354462e4cd2919740665ee8324ebe97b222b23a/Desert.jpg</v>
      </c>
      <c r="J340" t="s">
        <v>7331</v>
      </c>
      <c r="K340" t="b">
        <v>1</v>
      </c>
      <c r="L340" s="4" t="s">
        <v>7332</v>
      </c>
      <c r="M340" t="s">
        <v>7333</v>
      </c>
      <c r="N340" t="s">
        <v>105</v>
      </c>
      <c r="O340" t="s">
        <v>7334</v>
      </c>
      <c r="P340" t="s">
        <v>7335</v>
      </c>
      <c r="Q340" t="s">
        <v>189</v>
      </c>
      <c r="R340" t="s">
        <v>7336</v>
      </c>
      <c r="S340" t="s">
        <v>7337</v>
      </c>
      <c r="T340" s="4" t="s">
        <v>7338</v>
      </c>
      <c r="U340" t="s">
        <v>7339</v>
      </c>
      <c r="V340" t="s">
        <v>727</v>
      </c>
      <c r="W340" t="s">
        <v>194</v>
      </c>
      <c r="Y340" t="s">
        <v>158</v>
      </c>
      <c r="Z340" t="s">
        <v>262</v>
      </c>
      <c r="AC340" s="3" t="str">
        <f>HYPERLINK("https://api.typeform.com/responses/files/7ad7b2e7144b461b736b0f0c55de21cc4bc1cc4852d3a21760be25e9e428127c/Desert.jpg")</f>
        <v>https://api.typeform.com/responses/files/7ad7b2e7144b461b736b0f0c55de21cc4bc1cc4852d3a21760be25e9e428127c/Desert.jpg</v>
      </c>
      <c r="AD340" t="s">
        <v>1516</v>
      </c>
      <c r="AE340" t="s">
        <v>1780</v>
      </c>
      <c r="AI340" t="s">
        <v>121</v>
      </c>
      <c r="AK340" t="s">
        <v>7340</v>
      </c>
      <c r="AL340" t="s">
        <v>621</v>
      </c>
      <c r="AO340" t="s">
        <v>486</v>
      </c>
      <c r="AP340">
        <v>4.0</v>
      </c>
      <c r="AQ340" t="s">
        <v>5671</v>
      </c>
      <c r="AR340" t="s">
        <v>7341</v>
      </c>
      <c r="AS340" t="b">
        <v>1</v>
      </c>
      <c r="AT340" t="b">
        <v>0</v>
      </c>
      <c r="AV340">
        <v>3.0</v>
      </c>
      <c r="AW340" t="b">
        <v>0</v>
      </c>
      <c r="AZ340" t="b">
        <v>0</v>
      </c>
      <c r="BA340" t="b">
        <v>1</v>
      </c>
      <c r="BB340" t="b">
        <v>0</v>
      </c>
      <c r="BC340" t="s">
        <v>7342</v>
      </c>
      <c r="BH340" t="s">
        <v>132</v>
      </c>
      <c r="BI340">
        <v>1.0</v>
      </c>
      <c r="BJ340" t="s">
        <v>7343</v>
      </c>
      <c r="BK340">
        <v>2.0</v>
      </c>
      <c r="BL340">
        <v>4.0</v>
      </c>
      <c r="BM340" t="s">
        <v>7344</v>
      </c>
      <c r="BN340">
        <v>3.0</v>
      </c>
      <c r="BO340">
        <v>4.0</v>
      </c>
      <c r="BP340" t="s">
        <v>7345</v>
      </c>
      <c r="BQ340" t="s">
        <v>1739</v>
      </c>
      <c r="BR340" t="s">
        <v>7346</v>
      </c>
      <c r="BS340" t="s">
        <v>7347</v>
      </c>
      <c r="BU340" t="s">
        <v>7348</v>
      </c>
      <c r="BV340" s="3" t="str">
        <f>HYPERLINK("https://api.typeform.com/responses/files/4affd37bc824901388445731a0f9cd469fb95c94889db4ba742faf16190e1866/Desert.jpg")</f>
        <v>https://api.typeform.com/responses/files/4affd37bc824901388445731a0f9cd469fb95c94889db4ba742faf16190e1866/Desert.jpg</v>
      </c>
      <c r="BW340" t="b">
        <v>1</v>
      </c>
      <c r="BX340" t="s">
        <v>1394</v>
      </c>
      <c r="BY340" t="s">
        <v>140</v>
      </c>
      <c r="CA340" t="s">
        <v>1395</v>
      </c>
      <c r="CD340">
        <v>0.0</v>
      </c>
      <c r="CF340" t="b">
        <v>1</v>
      </c>
      <c r="CG340" t="b">
        <v>1</v>
      </c>
      <c r="CH340" t="s">
        <v>7349</v>
      </c>
      <c r="CJ340" t="b">
        <v>1</v>
      </c>
      <c r="CK340" t="b">
        <v>1</v>
      </c>
      <c r="CL340" t="s">
        <v>541</v>
      </c>
      <c r="CM340" t="s">
        <v>3213</v>
      </c>
      <c r="CO340" t="s">
        <v>388</v>
      </c>
      <c r="CQ340" t="s">
        <v>619</v>
      </c>
      <c r="CR340" t="b">
        <v>1</v>
      </c>
      <c r="CT340">
        <v>2.0</v>
      </c>
      <c r="CU340">
        <v>1.0</v>
      </c>
      <c r="CX340" s="4" t="s">
        <v>7350</v>
      </c>
      <c r="CZ340" s="5">
        <v>44540.70280092592</v>
      </c>
      <c r="DA340" t="s">
        <v>7351</v>
      </c>
    </row>
    <row r="341">
      <c r="A341" t="s">
        <v>98</v>
      </c>
      <c r="D341" t="s">
        <v>7352</v>
      </c>
      <c r="E341" t="s">
        <v>7353</v>
      </c>
      <c r="F341" s="2">
        <v>37575.0</v>
      </c>
      <c r="G341" t="s">
        <v>1466</v>
      </c>
      <c r="I341" s="3" t="str">
        <f>HYPERLINK("https://api.typeform.com/responses/files/3d3918615340afc99b9d6ebd7d17153edf7d18a7cd816491c8e01d81aabf57a3/96C372FA_5F4D_447A_AB7A_59B0D3E1BA25.jpeg")</f>
        <v>https://api.typeform.com/responses/files/3d3918615340afc99b9d6ebd7d17153edf7d18a7cd816491c8e01d81aabf57a3/96C372FA_5F4D_447A_AB7A_59B0D3E1BA25.jpeg</v>
      </c>
      <c r="J341" t="s">
        <v>7354</v>
      </c>
      <c r="K341" t="b">
        <v>1</v>
      </c>
      <c r="L341" s="4" t="s">
        <v>7355</v>
      </c>
      <c r="M341" t="s">
        <v>7356</v>
      </c>
      <c r="N341" t="s">
        <v>255</v>
      </c>
      <c r="P341" t="s">
        <v>7357</v>
      </c>
      <c r="Q341" t="s">
        <v>152</v>
      </c>
      <c r="R341" t="s">
        <v>7358</v>
      </c>
      <c r="S341" t="s">
        <v>7359</v>
      </c>
      <c r="T341" s="4" t="s">
        <v>7355</v>
      </c>
      <c r="U341" t="s">
        <v>566</v>
      </c>
      <c r="V341" t="s">
        <v>836</v>
      </c>
      <c r="W341" t="s">
        <v>194</v>
      </c>
      <c r="Y341" t="s">
        <v>158</v>
      </c>
      <c r="Z341" t="s">
        <v>159</v>
      </c>
      <c r="AC341" s="3" t="str">
        <f>HYPERLINK("https://api.typeform.com/responses/files/9bea009b3278bbb71d2693d7f54d494457eb030cf7f3c77fcb528538e970a05d/8234C01E_CA9B_4A53_97F1_339950492E68.png")</f>
        <v>https://api.typeform.com/responses/files/9bea009b3278bbb71d2693d7f54d494457eb030cf7f3c77fcb528538e970a05d/8234C01E_CA9B_4A53_97F1_339950492E68.png</v>
      </c>
      <c r="AD341" t="s">
        <v>3642</v>
      </c>
      <c r="AE341" t="s">
        <v>729</v>
      </c>
      <c r="AF341" t="s">
        <v>412</v>
      </c>
      <c r="AG341">
        <v>8.0</v>
      </c>
      <c r="AH341" s="4" t="s">
        <v>340</v>
      </c>
      <c r="AI341" t="s">
        <v>162</v>
      </c>
      <c r="AK341" t="s">
        <v>2912</v>
      </c>
      <c r="AL341" t="s">
        <v>760</v>
      </c>
      <c r="AO341" t="s">
        <v>125</v>
      </c>
      <c r="AP341">
        <v>2.0</v>
      </c>
      <c r="AQ341" t="s">
        <v>303</v>
      </c>
      <c r="AR341" t="s">
        <v>7360</v>
      </c>
      <c r="AS341" t="b">
        <v>1</v>
      </c>
      <c r="AT341" t="b">
        <v>0</v>
      </c>
      <c r="AV341">
        <v>4.0</v>
      </c>
      <c r="AW341" t="b">
        <v>0</v>
      </c>
      <c r="AZ341" t="b">
        <v>1</v>
      </c>
      <c r="BA341" t="b">
        <v>1</v>
      </c>
      <c r="BB341" t="b">
        <v>0</v>
      </c>
      <c r="BC341" t="s">
        <v>7361</v>
      </c>
      <c r="BH341" t="s">
        <v>132</v>
      </c>
      <c r="BI341">
        <v>3.0</v>
      </c>
      <c r="BJ341" t="s">
        <v>7362</v>
      </c>
      <c r="BK341">
        <v>3.0</v>
      </c>
      <c r="BL341">
        <v>4.0</v>
      </c>
      <c r="BM341" t="s">
        <v>7363</v>
      </c>
      <c r="BN341">
        <v>2.0</v>
      </c>
      <c r="BO341">
        <v>3.0</v>
      </c>
      <c r="BP341" t="s">
        <v>7364</v>
      </c>
      <c r="BQ341" t="s">
        <v>916</v>
      </c>
      <c r="BR341" t="s">
        <v>7365</v>
      </c>
      <c r="BS341" t="s">
        <v>7366</v>
      </c>
      <c r="BU341" t="s">
        <v>7367</v>
      </c>
      <c r="BV341" s="3" t="str">
        <f>HYPERLINK("https://api.typeform.com/responses/files/3f91f4cf576541d7b42604138b6036c36133272116691317fd387df03e5cc39b/335B45F4_7A82_4302_A150_EE2E902E2ADA.png")</f>
        <v>https://api.typeform.com/responses/files/3f91f4cf576541d7b42604138b6036c36133272116691317fd387df03e5cc39b/335B45F4_7A82_4302_A150_EE2E902E2ADA.png</v>
      </c>
      <c r="BW341" t="b">
        <v>1</v>
      </c>
      <c r="BX341" t="s">
        <v>1394</v>
      </c>
      <c r="BY341" t="s">
        <v>140</v>
      </c>
      <c r="CA341" t="s">
        <v>1395</v>
      </c>
      <c r="CD341">
        <v>0.0</v>
      </c>
      <c r="CF341" t="b">
        <v>1</v>
      </c>
      <c r="CG341" t="b">
        <v>1</v>
      </c>
      <c r="CH341" t="s">
        <v>7368</v>
      </c>
      <c r="CJ341" t="b">
        <v>1</v>
      </c>
      <c r="CK341" t="b">
        <v>1</v>
      </c>
      <c r="CL341" t="s">
        <v>413</v>
      </c>
      <c r="CO341" t="s">
        <v>124</v>
      </c>
      <c r="CR341" t="b">
        <v>1</v>
      </c>
      <c r="CT341">
        <v>0.0</v>
      </c>
      <c r="CU341">
        <v>1.0</v>
      </c>
      <c r="CX341" s="4" t="s">
        <v>2447</v>
      </c>
      <c r="CZ341" s="5">
        <v>44540.70291666667</v>
      </c>
      <c r="DA341" t="s">
        <v>7369</v>
      </c>
    </row>
    <row r="342">
      <c r="A342" t="s">
        <v>98</v>
      </c>
      <c r="D342" t="s">
        <v>7191</v>
      </c>
      <c r="E342" t="s">
        <v>5218</v>
      </c>
      <c r="F342" s="2">
        <v>37986.0</v>
      </c>
      <c r="G342" t="s">
        <v>1360</v>
      </c>
      <c r="I342" s="3" t="str">
        <f>HYPERLINK("https://api.typeform.com/responses/files/1e7849d756ac056aed7c7921312f016427d49b8355cc7af782aa636c1ce5882c/IMG_0145001.jpg")</f>
        <v>https://api.typeform.com/responses/files/1e7849d756ac056aed7c7921312f016427d49b8355cc7af782aa636c1ce5882c/IMG_0145001.jpg</v>
      </c>
      <c r="J342" t="s">
        <v>7370</v>
      </c>
      <c r="K342" t="b">
        <v>1</v>
      </c>
      <c r="L342" s="4" t="s">
        <v>7371</v>
      </c>
      <c r="M342" t="s">
        <v>7372</v>
      </c>
      <c r="N342" t="s">
        <v>149</v>
      </c>
      <c r="P342" t="s">
        <v>7373</v>
      </c>
      <c r="Q342" t="s">
        <v>189</v>
      </c>
      <c r="R342" t="s">
        <v>7374</v>
      </c>
      <c r="S342" t="s">
        <v>7375</v>
      </c>
      <c r="T342" s="4" t="s">
        <v>7376</v>
      </c>
      <c r="U342" t="s">
        <v>7377</v>
      </c>
      <c r="V342" t="s">
        <v>7378</v>
      </c>
      <c r="W342" t="s">
        <v>261</v>
      </c>
      <c r="Y342" t="s">
        <v>158</v>
      </c>
      <c r="Z342" t="s">
        <v>159</v>
      </c>
      <c r="AC342" s="3" t="str">
        <f>HYPERLINK("https://api.typeform.com/responses/files/d28323a957c89ed592bb298919ff699c11789e2685eaa5cf99a0458c8b9239da/IMG_4586.jpeg")</f>
        <v>https://api.typeform.com/responses/files/d28323a957c89ed592bb298919ff699c11789e2685eaa5cf99a0458c8b9239da/IMG_4586.jpeg</v>
      </c>
      <c r="AD342" t="s">
        <v>118</v>
      </c>
      <c r="AE342" t="s">
        <v>1220</v>
      </c>
      <c r="AF342" t="s">
        <v>197</v>
      </c>
      <c r="AG342">
        <v>0.0</v>
      </c>
      <c r="AH342" t="s">
        <v>7379</v>
      </c>
      <c r="AI342" t="s">
        <v>121</v>
      </c>
      <c r="AK342" t="s">
        <v>7380</v>
      </c>
      <c r="AL342" t="s">
        <v>7381</v>
      </c>
      <c r="AO342" t="s">
        <v>125</v>
      </c>
      <c r="AP342">
        <v>4.0</v>
      </c>
      <c r="AQ342" t="s">
        <v>303</v>
      </c>
      <c r="AR342" t="s">
        <v>7382</v>
      </c>
      <c r="AS342" t="b">
        <v>1</v>
      </c>
      <c r="AT342" t="b">
        <v>1</v>
      </c>
      <c r="AV342">
        <v>7.0</v>
      </c>
      <c r="AW342" t="b">
        <v>0</v>
      </c>
      <c r="AZ342" t="b">
        <v>1</v>
      </c>
      <c r="BA342" t="b">
        <v>0</v>
      </c>
      <c r="BD342" t="s">
        <v>7383</v>
      </c>
      <c r="BH342" t="s">
        <v>132</v>
      </c>
      <c r="BI342">
        <v>1.0</v>
      </c>
      <c r="BJ342" t="s">
        <v>7384</v>
      </c>
      <c r="BK342">
        <v>2.0</v>
      </c>
      <c r="BL342">
        <v>7.0</v>
      </c>
      <c r="BM342" t="s">
        <v>7385</v>
      </c>
      <c r="BN342">
        <v>3.0</v>
      </c>
      <c r="BO342">
        <v>7.0</v>
      </c>
      <c r="BP342" t="s">
        <v>7386</v>
      </c>
      <c r="BQ342" t="s">
        <v>7387</v>
      </c>
      <c r="BR342" t="s">
        <v>7388</v>
      </c>
      <c r="BS342" t="s">
        <v>7389</v>
      </c>
      <c r="BU342" t="s">
        <v>7390</v>
      </c>
      <c r="BV342" s="3" t="str">
        <f>HYPERLINK("https://api.typeform.com/responses/files/0ecba7dc8ab82b64134dbf2886c23314777b908e129b37056b9ef1ffb4558470/SpeakHire_Parental_Consent_Alisha_Ramos.pdf")</f>
        <v>https://api.typeform.com/responses/files/0ecba7dc8ab82b64134dbf2886c23314777b908e129b37056b9ef1ffb4558470/SpeakHire_Parental_Consent_Alisha_Ramos.pdf</v>
      </c>
      <c r="BW342" t="b">
        <v>1</v>
      </c>
      <c r="BX342" t="s">
        <v>1394</v>
      </c>
      <c r="BY342" t="s">
        <v>140</v>
      </c>
      <c r="CA342" t="s">
        <v>1395</v>
      </c>
      <c r="CD342">
        <v>0.0</v>
      </c>
      <c r="CF342" t="b">
        <v>0</v>
      </c>
      <c r="CG342" t="b">
        <v>0</v>
      </c>
      <c r="CH342" t="s">
        <v>2553</v>
      </c>
      <c r="CJ342" t="b">
        <v>1</v>
      </c>
      <c r="CK342" t="b">
        <v>0</v>
      </c>
      <c r="CL342" t="s">
        <v>541</v>
      </c>
      <c r="CO342" t="s">
        <v>2500</v>
      </c>
      <c r="CR342" t="b">
        <v>1</v>
      </c>
      <c r="CT342">
        <v>2.0</v>
      </c>
      <c r="CU342">
        <v>1.0</v>
      </c>
      <c r="CX342" s="4" t="s">
        <v>7391</v>
      </c>
      <c r="CZ342" s="5">
        <v>44540.828877314816</v>
      </c>
      <c r="DA342" t="s">
        <v>7392</v>
      </c>
    </row>
    <row r="343">
      <c r="A343" t="s">
        <v>98</v>
      </c>
      <c r="D343" t="s">
        <v>7393</v>
      </c>
      <c r="E343" t="s">
        <v>7394</v>
      </c>
      <c r="F343" s="2">
        <v>37807.0</v>
      </c>
      <c r="G343" t="s">
        <v>1466</v>
      </c>
      <c r="I343" s="3" t="str">
        <f>HYPERLINK("https://api.typeform.com/responses/files/47117f5a29394c1f342cc38db83eaba4d4836a76dfe9e04b88f7d3d557a914c2/Scanned_Documents.pdf")</f>
        <v>https://api.typeform.com/responses/files/47117f5a29394c1f342cc38db83eaba4d4836a76dfe9e04b88f7d3d557a914c2/Scanned_Documents.pdf</v>
      </c>
      <c r="J343" t="s">
        <v>7395</v>
      </c>
      <c r="K343" t="b">
        <v>1</v>
      </c>
      <c r="L343" s="4" t="s">
        <v>7396</v>
      </c>
      <c r="M343" t="s">
        <v>7397</v>
      </c>
      <c r="N343" t="s">
        <v>105</v>
      </c>
      <c r="P343" t="s">
        <v>7398</v>
      </c>
      <c r="Q343" t="s">
        <v>189</v>
      </c>
      <c r="R343" t="s">
        <v>7399</v>
      </c>
      <c r="S343" t="s">
        <v>7397</v>
      </c>
      <c r="T343" s="4" t="s">
        <v>7400</v>
      </c>
      <c r="U343" t="s">
        <v>7377</v>
      </c>
      <c r="V343" t="s">
        <v>7401</v>
      </c>
      <c r="W343" t="s">
        <v>261</v>
      </c>
      <c r="Y343" t="s">
        <v>158</v>
      </c>
      <c r="Z343" t="s">
        <v>159</v>
      </c>
      <c r="AC343" s="3" t="str">
        <f>HYPERLINK("https://api.typeform.com/responses/files/7e50d6fe416ac09770f57c4e3c52d9220f7fc34ab8175c7b4b9fbcd46836d341/MAZARIEGOS__ANTHONY__215638115.pdf")</f>
        <v>https://api.typeform.com/responses/files/7e50d6fe416ac09770f57c4e3c52d9220f7fc34ab8175c7b4b9fbcd46836d341/MAZARIEGOS__ANTHONY__215638115.pdf</v>
      </c>
      <c r="AD343" t="s">
        <v>118</v>
      </c>
      <c r="AE343" t="s">
        <v>1220</v>
      </c>
      <c r="AF343" t="s">
        <v>7402</v>
      </c>
      <c r="AG343">
        <v>0.0</v>
      </c>
      <c r="AH343" s="4" t="s">
        <v>5803</v>
      </c>
      <c r="AI343" t="s">
        <v>121</v>
      </c>
      <c r="AL343" t="s">
        <v>1546</v>
      </c>
      <c r="AO343" t="s">
        <v>486</v>
      </c>
      <c r="AP343">
        <v>5.0</v>
      </c>
      <c r="AQ343" t="s">
        <v>461</v>
      </c>
      <c r="AR343" t="s">
        <v>7403</v>
      </c>
      <c r="AS343" t="b">
        <v>1</v>
      </c>
      <c r="AT343" t="b">
        <v>1</v>
      </c>
      <c r="AV343">
        <v>6.0</v>
      </c>
      <c r="AW343" t="b">
        <v>0</v>
      </c>
      <c r="AZ343" t="b">
        <v>1</v>
      </c>
      <c r="BA343" t="b">
        <v>1</v>
      </c>
      <c r="BB343" t="b">
        <v>0</v>
      </c>
      <c r="BC343" t="s">
        <v>7404</v>
      </c>
      <c r="BH343" t="s">
        <v>132</v>
      </c>
      <c r="BI343">
        <v>3.0</v>
      </c>
      <c r="BJ343" t="s">
        <v>7405</v>
      </c>
      <c r="BK343">
        <v>2.0</v>
      </c>
      <c r="BL343">
        <v>4.0</v>
      </c>
      <c r="BM343" t="s">
        <v>7406</v>
      </c>
      <c r="BN343">
        <v>5.0</v>
      </c>
      <c r="BO343">
        <v>6.0</v>
      </c>
      <c r="BP343" t="s">
        <v>7407</v>
      </c>
      <c r="BQ343" t="s">
        <v>7408</v>
      </c>
      <c r="BR343" t="s">
        <v>7409</v>
      </c>
      <c r="BS343" t="s">
        <v>7410</v>
      </c>
      <c r="BU343" t="s">
        <v>7411</v>
      </c>
      <c r="BV343" s="3" t="str">
        <f>HYPERLINK("https://api.typeform.com/responses/files/0d92227480a45948d19a31a2f15cab24e91db4858f8d55382e71bc46aece1f72/ASPEAKHIRE__3_.pdf")</f>
        <v>https://api.typeform.com/responses/files/0d92227480a45948d19a31a2f15cab24e91db4858f8d55382e71bc46aece1f72/ASPEAKHIRE__3_.pdf</v>
      </c>
      <c r="BW343" t="b">
        <v>1</v>
      </c>
      <c r="BX343" t="s">
        <v>1394</v>
      </c>
      <c r="BY343" t="s">
        <v>140</v>
      </c>
      <c r="CA343" t="s">
        <v>1395</v>
      </c>
      <c r="CD343">
        <v>0.0</v>
      </c>
      <c r="CF343" t="b">
        <v>0</v>
      </c>
      <c r="CG343" t="b">
        <v>0</v>
      </c>
      <c r="CH343" t="s">
        <v>1935</v>
      </c>
      <c r="CJ343" t="b">
        <v>1</v>
      </c>
      <c r="CK343" t="b">
        <v>0</v>
      </c>
      <c r="CL343" t="s">
        <v>541</v>
      </c>
      <c r="CO343" t="s">
        <v>2500</v>
      </c>
      <c r="CR343" t="b">
        <v>1</v>
      </c>
      <c r="CT343">
        <v>2.0</v>
      </c>
      <c r="CU343">
        <v>0.0</v>
      </c>
      <c r="CX343" s="4" t="s">
        <v>7412</v>
      </c>
      <c r="CZ343" s="5">
        <v>44544.8465162037</v>
      </c>
      <c r="DA343" t="s">
        <v>7413</v>
      </c>
    </row>
    <row r="344">
      <c r="A344" t="s">
        <v>98</v>
      </c>
      <c r="D344" t="s">
        <v>7414</v>
      </c>
      <c r="E344" t="s">
        <v>7415</v>
      </c>
      <c r="F344" s="2">
        <v>37663.0</v>
      </c>
      <c r="G344" t="s">
        <v>1491</v>
      </c>
      <c r="I344" s="3" t="str">
        <f>HYPERLINK("https://api.typeform.com/responses/files/fadd566681777fef4cd9ef2c99bb7f55ecbffdf007b01bc78c3188a87ef078e4/IMG_7482.jpg")</f>
        <v>https://api.typeform.com/responses/files/fadd566681777fef4cd9ef2c99bb7f55ecbffdf007b01bc78c3188a87ef078e4/IMG_7482.jpg</v>
      </c>
      <c r="J344" t="s">
        <v>7416</v>
      </c>
      <c r="K344" t="b">
        <v>1</v>
      </c>
      <c r="L344" s="4" t="s">
        <v>7417</v>
      </c>
      <c r="M344" t="s">
        <v>7418</v>
      </c>
      <c r="N344" t="s">
        <v>255</v>
      </c>
      <c r="O344" t="s">
        <v>7419</v>
      </c>
      <c r="P344" t="s">
        <v>7420</v>
      </c>
      <c r="Q344" t="s">
        <v>189</v>
      </c>
      <c r="R344" t="s">
        <v>7421</v>
      </c>
      <c r="S344" t="s">
        <v>7422</v>
      </c>
      <c r="T344" s="4" t="s">
        <v>7423</v>
      </c>
      <c r="U344" t="s">
        <v>7424</v>
      </c>
      <c r="V344" t="s">
        <v>7425</v>
      </c>
      <c r="W344" t="s">
        <v>2290</v>
      </c>
      <c r="Y344" t="s">
        <v>158</v>
      </c>
      <c r="Z344" t="s">
        <v>262</v>
      </c>
      <c r="AC344" s="3" t="str">
        <f>HYPERLINK("https://api.typeform.com/responses/files/3cbad0d28aea2453f24291766826b1c8f839cca1aef792fe959f3ffb55e259f3/IMG_7474.jpg")</f>
        <v>https://api.typeform.com/responses/files/3cbad0d28aea2453f24291766826b1c8f839cca1aef792fe959f3ffb55e259f3/IMG_7474.jpg</v>
      </c>
      <c r="AD344" t="s">
        <v>118</v>
      </c>
      <c r="AE344" t="s">
        <v>729</v>
      </c>
      <c r="AF344" t="s">
        <v>7426</v>
      </c>
      <c r="AG344">
        <v>16.0</v>
      </c>
      <c r="AH344" t="s">
        <v>546</v>
      </c>
      <c r="AI344" t="s">
        <v>205</v>
      </c>
      <c r="AK344" t="s">
        <v>7427</v>
      </c>
      <c r="AL344" t="s">
        <v>7428</v>
      </c>
      <c r="AO344" t="s">
        <v>125</v>
      </c>
      <c r="AP344">
        <v>7.0</v>
      </c>
      <c r="AQ344" t="s">
        <v>126</v>
      </c>
      <c r="AR344" t="s">
        <v>7429</v>
      </c>
      <c r="AS344" t="b">
        <v>1</v>
      </c>
      <c r="AT344" t="b">
        <v>0</v>
      </c>
      <c r="AV344">
        <v>6.0</v>
      </c>
      <c r="AW344" t="b">
        <v>1</v>
      </c>
      <c r="AX344" t="s">
        <v>1902</v>
      </c>
      <c r="AY344" t="s">
        <v>307</v>
      </c>
      <c r="AZ344" t="b">
        <v>1</v>
      </c>
      <c r="BA344" t="b">
        <v>1</v>
      </c>
      <c r="BB344" t="b">
        <v>0</v>
      </c>
      <c r="BC344" t="s">
        <v>7430</v>
      </c>
      <c r="BH344" t="s">
        <v>132</v>
      </c>
      <c r="BI344">
        <v>4.0</v>
      </c>
      <c r="BJ344" t="s">
        <v>7431</v>
      </c>
      <c r="BK344">
        <v>7.0</v>
      </c>
      <c r="BL344">
        <v>7.0</v>
      </c>
      <c r="BM344" t="s">
        <v>7432</v>
      </c>
      <c r="BN344">
        <v>6.0</v>
      </c>
      <c r="BO344">
        <v>7.0</v>
      </c>
      <c r="BP344" t="s">
        <v>7433</v>
      </c>
      <c r="BQ344" t="s">
        <v>945</v>
      </c>
      <c r="BR344" t="s">
        <v>7434</v>
      </c>
      <c r="BS344" t="s">
        <v>7435</v>
      </c>
      <c r="BU344" t="s">
        <v>7436</v>
      </c>
      <c r="BV344" s="3" t="str">
        <f>HYPERLINK("https://api.typeform.com/responses/files/aa7dc70a5151cea808b92ee819fae3698805370fb28ff9ffb65367bb7c20e4ea/PATRICIA_MANRIQUE___SPEAKHIRE_2021___Parent_Consent_Form.pdf")</f>
        <v>https://api.typeform.com/responses/files/aa7dc70a5151cea808b92ee819fae3698805370fb28ff9ffb65367bb7c20e4ea/PATRICIA_MANRIQUE___SPEAKHIRE_2021___Parent_Consent_Form.pdf</v>
      </c>
      <c r="BW344" t="b">
        <v>1</v>
      </c>
      <c r="BX344" t="s">
        <v>1394</v>
      </c>
      <c r="BY344" t="s">
        <v>140</v>
      </c>
      <c r="CA344" t="s">
        <v>1395</v>
      </c>
      <c r="CD344">
        <v>0.0</v>
      </c>
      <c r="CF344" t="b">
        <v>1</v>
      </c>
      <c r="CG344" t="b">
        <v>1</v>
      </c>
      <c r="CH344" t="s">
        <v>7437</v>
      </c>
      <c r="CJ344" t="b">
        <v>1</v>
      </c>
      <c r="CK344" t="b">
        <v>1</v>
      </c>
      <c r="CL344" t="s">
        <v>2301</v>
      </c>
      <c r="CO344" t="s">
        <v>388</v>
      </c>
      <c r="CR344" t="b">
        <v>1</v>
      </c>
      <c r="CT344">
        <v>2.0</v>
      </c>
      <c r="CU344">
        <v>0.0</v>
      </c>
      <c r="CX344" s="4" t="s">
        <v>3882</v>
      </c>
      <c r="CZ344" s="5">
        <v>44545.07925925926</v>
      </c>
      <c r="DA344" t="s">
        <v>7438</v>
      </c>
    </row>
    <row r="345">
      <c r="A345" t="s">
        <v>98</v>
      </c>
      <c r="D345" t="s">
        <v>7439</v>
      </c>
      <c r="E345" t="s">
        <v>7440</v>
      </c>
      <c r="F345" s="2">
        <v>38067.0</v>
      </c>
      <c r="G345" t="s">
        <v>1466</v>
      </c>
      <c r="I345" s="3" t="str">
        <f>HYPERLINK("https://api.typeform.com/responses/files/89611ab70f12c3291a627bd6e348eb9601824cfb623be4b9800e14d9a8cd86bd/Capture.PNG")</f>
        <v>https://api.typeform.com/responses/files/89611ab70f12c3291a627bd6e348eb9601824cfb623be4b9800e14d9a8cd86bd/Capture.PNG</v>
      </c>
      <c r="J345" t="s">
        <v>7441</v>
      </c>
      <c r="K345" t="b">
        <v>1</v>
      </c>
      <c r="L345" s="4" t="s">
        <v>7442</v>
      </c>
      <c r="M345" t="s">
        <v>7443</v>
      </c>
      <c r="N345" t="s">
        <v>255</v>
      </c>
      <c r="P345" t="s">
        <v>7444</v>
      </c>
      <c r="Q345" t="s">
        <v>189</v>
      </c>
      <c r="R345" t="s">
        <v>7445</v>
      </c>
      <c r="S345" t="s">
        <v>7446</v>
      </c>
      <c r="T345" s="4" t="s">
        <v>7447</v>
      </c>
      <c r="U345" t="s">
        <v>566</v>
      </c>
      <c r="V345" t="s">
        <v>7448</v>
      </c>
      <c r="W345" t="s">
        <v>194</v>
      </c>
      <c r="Y345" t="s">
        <v>158</v>
      </c>
      <c r="Z345" t="s">
        <v>159</v>
      </c>
      <c r="AC345" s="3" t="str">
        <f>HYPERLINK("https://api.typeform.com/responses/files/7dfaad95a2836e4325775754a8013bee82aa30606a2dffd791bb21e7a8208e5f/types_of_contracts__3_.doc")</f>
        <v>https://api.typeform.com/responses/files/7dfaad95a2836e4325775754a8013bee82aa30606a2dffd791bb21e7a8208e5f/types_of_contracts__3_.doc</v>
      </c>
      <c r="AD345" t="s">
        <v>7449</v>
      </c>
      <c r="AE345" t="s">
        <v>729</v>
      </c>
      <c r="AF345" t="s">
        <v>7450</v>
      </c>
      <c r="AG345">
        <v>2.0</v>
      </c>
      <c r="AH345" s="4" t="s">
        <v>1521</v>
      </c>
      <c r="AI345" t="s">
        <v>121</v>
      </c>
      <c r="AK345" t="s">
        <v>2056</v>
      </c>
      <c r="AL345" t="s">
        <v>7451</v>
      </c>
      <c r="AO345" t="s">
        <v>335</v>
      </c>
      <c r="AP345">
        <v>6.0</v>
      </c>
      <c r="AQ345" t="s">
        <v>2240</v>
      </c>
      <c r="AR345" t="s">
        <v>7452</v>
      </c>
      <c r="AS345" t="b">
        <v>1</v>
      </c>
      <c r="AT345" t="b">
        <v>0</v>
      </c>
      <c r="AV345">
        <v>5.0</v>
      </c>
      <c r="AW345" t="b">
        <v>1</v>
      </c>
      <c r="AX345" t="s">
        <v>1481</v>
      </c>
      <c r="AY345" t="s">
        <v>706</v>
      </c>
      <c r="AZ345" t="b">
        <v>0</v>
      </c>
      <c r="BA345" t="b">
        <v>0</v>
      </c>
      <c r="BD345" t="s">
        <v>7452</v>
      </c>
      <c r="BH345" t="s">
        <v>132</v>
      </c>
      <c r="BI345">
        <v>6.0</v>
      </c>
      <c r="BJ345" t="s">
        <v>7453</v>
      </c>
      <c r="BK345">
        <v>5.0</v>
      </c>
      <c r="BL345">
        <v>4.0</v>
      </c>
      <c r="BM345" t="s">
        <v>7454</v>
      </c>
      <c r="BN345">
        <v>5.0</v>
      </c>
      <c r="BO345">
        <v>5.0</v>
      </c>
      <c r="BP345" t="s">
        <v>7455</v>
      </c>
      <c r="BQ345" t="s">
        <v>7456</v>
      </c>
      <c r="BR345" t="s">
        <v>7457</v>
      </c>
      <c r="BS345" t="s">
        <v>7458</v>
      </c>
      <c r="BU345" t="s">
        <v>139</v>
      </c>
      <c r="BV345" s="3" t="str">
        <f>HYPERLINK("https://api.typeform.com/responses/files/023f933e8873c1850a96cc90f47be123434db21d9212dbd3d29c670a6600a571/Chapter_12_vocabulary_packet__3_.doc")</f>
        <v>https://api.typeform.com/responses/files/023f933e8873c1850a96cc90f47be123434db21d9212dbd3d29c670a6600a571/Chapter_12_vocabulary_packet__3_.doc</v>
      </c>
      <c r="BW345" t="b">
        <v>1</v>
      </c>
      <c r="BX345" t="s">
        <v>1394</v>
      </c>
      <c r="BY345" t="s">
        <v>140</v>
      </c>
      <c r="CA345" t="s">
        <v>1395</v>
      </c>
      <c r="CD345">
        <v>0.0</v>
      </c>
      <c r="CF345" t="b">
        <v>1</v>
      </c>
      <c r="CG345" t="b">
        <v>0</v>
      </c>
      <c r="CH345" t="s">
        <v>1557</v>
      </c>
      <c r="CJ345" t="b">
        <v>1</v>
      </c>
      <c r="CK345" t="b">
        <v>0</v>
      </c>
      <c r="CL345" t="s">
        <v>810</v>
      </c>
      <c r="CM345" t="s">
        <v>619</v>
      </c>
      <c r="CO345" t="s">
        <v>2068</v>
      </c>
      <c r="CR345" t="b">
        <v>1</v>
      </c>
      <c r="CT345">
        <v>0.0</v>
      </c>
      <c r="CU345">
        <v>0.0</v>
      </c>
      <c r="CX345" s="4" t="s">
        <v>3444</v>
      </c>
      <c r="CZ345" s="5">
        <v>44545.661099537036</v>
      </c>
      <c r="DA345" t="s">
        <v>7459</v>
      </c>
    </row>
    <row r="346">
      <c r="A346" t="s">
        <v>98</v>
      </c>
      <c r="D346" t="s">
        <v>7460</v>
      </c>
      <c r="E346" t="s">
        <v>7461</v>
      </c>
      <c r="F346" s="2">
        <v>38259.0</v>
      </c>
      <c r="G346" t="s">
        <v>1466</v>
      </c>
      <c r="I346" s="3" t="str">
        <f>HYPERLINK("https://api.typeform.com/responses/files/70afd0589a98c74adc30fadccfa55955bdeba0055ed489a3875dcacef294508f/PXL_20211213_025600491.jpg")</f>
        <v>https://api.typeform.com/responses/files/70afd0589a98c74adc30fadccfa55955bdeba0055ed489a3875dcacef294508f/PXL_20211213_025600491.jpg</v>
      </c>
      <c r="J346" t="s">
        <v>7462</v>
      </c>
      <c r="K346" t="b">
        <v>1</v>
      </c>
      <c r="L346" s="4" t="s">
        <v>7463</v>
      </c>
      <c r="M346" t="s">
        <v>7464</v>
      </c>
      <c r="N346" t="s">
        <v>255</v>
      </c>
      <c r="O346" t="s">
        <v>7465</v>
      </c>
      <c r="P346" t="s">
        <v>7466</v>
      </c>
      <c r="Q346" t="s">
        <v>189</v>
      </c>
      <c r="R346" t="s">
        <v>7467</v>
      </c>
      <c r="S346" t="s">
        <v>7464</v>
      </c>
      <c r="T346" s="4" t="s">
        <v>7468</v>
      </c>
      <c r="U346" t="s">
        <v>566</v>
      </c>
      <c r="V346" t="s">
        <v>7242</v>
      </c>
      <c r="W346" t="s">
        <v>194</v>
      </c>
      <c r="Y346" t="s">
        <v>158</v>
      </c>
      <c r="Z346" t="s">
        <v>262</v>
      </c>
      <c r="AC346" s="3" t="str">
        <f>HYPERLINK("https://api.typeform.com/responses/files/de2a2a15a8747b78fe88fe19736fcbb7524743e5553d22bdd9851ac856b56200/document.pdf")</f>
        <v>https://api.typeform.com/responses/files/de2a2a15a8747b78fe88fe19736fcbb7524743e5553d22bdd9851ac856b56200/document.pdf</v>
      </c>
      <c r="AD346" t="s">
        <v>3642</v>
      </c>
      <c r="AE346" t="s">
        <v>729</v>
      </c>
      <c r="AF346" t="s">
        <v>7469</v>
      </c>
      <c r="AG346">
        <v>5.0</v>
      </c>
      <c r="AH346" t="s">
        <v>7470</v>
      </c>
      <c r="AI346" t="s">
        <v>121</v>
      </c>
      <c r="AL346" t="s">
        <v>7471</v>
      </c>
      <c r="AO346" t="s">
        <v>335</v>
      </c>
      <c r="AP346">
        <v>5.0</v>
      </c>
      <c r="AQ346" t="s">
        <v>303</v>
      </c>
      <c r="AR346" t="s">
        <v>7472</v>
      </c>
      <c r="AS346" t="b">
        <v>1</v>
      </c>
      <c r="AT346" t="b">
        <v>0</v>
      </c>
      <c r="AV346">
        <v>5.0</v>
      </c>
      <c r="AW346" t="b">
        <v>0</v>
      </c>
      <c r="AZ346" t="b">
        <v>0</v>
      </c>
      <c r="BA346" t="b">
        <v>1</v>
      </c>
      <c r="BB346" t="b">
        <v>1</v>
      </c>
      <c r="BC346" t="s">
        <v>7473</v>
      </c>
      <c r="BH346" t="s">
        <v>132</v>
      </c>
      <c r="BI346">
        <v>1.0</v>
      </c>
      <c r="BJ346" t="s">
        <v>7474</v>
      </c>
      <c r="BK346">
        <v>1.0</v>
      </c>
      <c r="BL346">
        <v>2.0</v>
      </c>
      <c r="BM346" t="s">
        <v>7475</v>
      </c>
      <c r="BN346">
        <v>1.0</v>
      </c>
      <c r="BO346">
        <v>2.0</v>
      </c>
      <c r="BP346" t="s">
        <v>7476</v>
      </c>
      <c r="BQ346" t="s">
        <v>7477</v>
      </c>
      <c r="BR346" t="s">
        <v>679</v>
      </c>
      <c r="BS346" t="s">
        <v>7478</v>
      </c>
      <c r="BU346" t="s">
        <v>528</v>
      </c>
      <c r="BV346" s="3" t="str">
        <f>HYPERLINK("https://api.typeform.com/responses/files/025913d05a9b1826658cbe98ad3ccfa867e31538790f011e029abee3546cf73f/PXL_20211216_141719071.jpg")</f>
        <v>https://api.typeform.com/responses/files/025913d05a9b1826658cbe98ad3ccfa867e31538790f011e029abee3546cf73f/PXL_20211216_141719071.jpg</v>
      </c>
      <c r="BW346" t="b">
        <v>1</v>
      </c>
      <c r="BX346" t="s">
        <v>1394</v>
      </c>
      <c r="BY346" t="s">
        <v>140</v>
      </c>
      <c r="CA346" t="s">
        <v>1395</v>
      </c>
      <c r="CD346">
        <v>0.0</v>
      </c>
      <c r="CF346" t="b">
        <v>0</v>
      </c>
      <c r="CG346" t="b">
        <v>0</v>
      </c>
      <c r="CH346" t="s">
        <v>1420</v>
      </c>
      <c r="CJ346" t="b">
        <v>0</v>
      </c>
      <c r="CK346" t="b">
        <v>0</v>
      </c>
      <c r="CL346" t="s">
        <v>1489</v>
      </c>
      <c r="CO346" t="s">
        <v>200</v>
      </c>
      <c r="CR346" t="b">
        <v>1</v>
      </c>
      <c r="CT346">
        <v>0.0</v>
      </c>
      <c r="CU346">
        <v>0.0</v>
      </c>
      <c r="CX346" s="4" t="s">
        <v>7479</v>
      </c>
      <c r="CZ346" s="5">
        <v>44546.60443287037</v>
      </c>
      <c r="DA346" t="s">
        <v>7480</v>
      </c>
    </row>
    <row r="347">
      <c r="A347" t="s">
        <v>98</v>
      </c>
      <c r="D347" t="s">
        <v>7481</v>
      </c>
      <c r="E347" t="s">
        <v>7482</v>
      </c>
      <c r="F347" s="2">
        <v>38654.0</v>
      </c>
      <c r="G347" t="s">
        <v>1360</v>
      </c>
      <c r="I347" s="3" t="str">
        <f>HYPERLINK("https://api.typeform.com/responses/files/3f16a86c39d44007c49d5688bf117a48570ff66d1caab37473f5d698c047935d/20211008_155716.jpg")</f>
        <v>https://api.typeform.com/responses/files/3f16a86c39d44007c49d5688bf117a48570ff66d1caab37473f5d698c047935d/20211008_155716.jpg</v>
      </c>
      <c r="J347" t="s">
        <v>7483</v>
      </c>
      <c r="K347" t="b">
        <v>1</v>
      </c>
      <c r="L347" s="4" t="s">
        <v>7484</v>
      </c>
      <c r="M347" t="s">
        <v>7485</v>
      </c>
      <c r="N347" t="s">
        <v>255</v>
      </c>
      <c r="O347" t="s">
        <v>1014</v>
      </c>
      <c r="P347" t="s">
        <v>7486</v>
      </c>
      <c r="Q347" t="s">
        <v>152</v>
      </c>
      <c r="R347" t="s">
        <v>7487</v>
      </c>
      <c r="S347" t="s">
        <v>7485</v>
      </c>
      <c r="T347" s="4" t="s">
        <v>7488</v>
      </c>
      <c r="U347" t="s">
        <v>7489</v>
      </c>
      <c r="V347" t="s">
        <v>7490</v>
      </c>
      <c r="W347" t="s">
        <v>2290</v>
      </c>
      <c r="Y347" t="s">
        <v>158</v>
      </c>
      <c r="Z347" t="s">
        <v>262</v>
      </c>
      <c r="AC347" s="3" t="str">
        <f>HYPERLINK("https://api.typeform.com/responses/files/bb4640a6f48f072011a5321cfc82bbd9bb8191037e3a781d7a083dfd158aa229/20211214_101702.jpg")</f>
        <v>https://api.typeform.com/responses/files/bb4640a6f48f072011a5321cfc82bbd9bb8191037e3a781d7a083dfd158aa229/20211214_101702.jpg</v>
      </c>
      <c r="AD347" t="s">
        <v>1014</v>
      </c>
      <c r="AE347" t="s">
        <v>729</v>
      </c>
      <c r="AF347" t="s">
        <v>1731</v>
      </c>
      <c r="AG347">
        <v>14.0</v>
      </c>
      <c r="AH347" s="4" t="s">
        <v>639</v>
      </c>
      <c r="AI347" t="s">
        <v>543</v>
      </c>
      <c r="AK347" t="s">
        <v>179</v>
      </c>
      <c r="AL347" t="s">
        <v>123</v>
      </c>
      <c r="AO347" t="s">
        <v>486</v>
      </c>
      <c r="AP347">
        <v>6.0</v>
      </c>
      <c r="AQ347" t="s">
        <v>2240</v>
      </c>
      <c r="AR347" t="s">
        <v>7491</v>
      </c>
      <c r="AS347" t="b">
        <v>1</v>
      </c>
      <c r="AT347" t="b">
        <v>1</v>
      </c>
      <c r="AV347">
        <v>4.0</v>
      </c>
      <c r="AW347" t="b">
        <v>0</v>
      </c>
      <c r="AZ347" t="b">
        <v>1</v>
      </c>
      <c r="BA347" t="b">
        <v>1</v>
      </c>
      <c r="BB347" t="b">
        <v>0</v>
      </c>
      <c r="BC347" t="s">
        <v>5751</v>
      </c>
      <c r="BH347" t="s">
        <v>132</v>
      </c>
      <c r="BI347">
        <v>5.0</v>
      </c>
      <c r="BJ347" t="s">
        <v>205</v>
      </c>
      <c r="BK347">
        <v>5.0</v>
      </c>
      <c r="BL347">
        <v>6.0</v>
      </c>
      <c r="BM347" t="s">
        <v>7492</v>
      </c>
      <c r="BN347">
        <v>3.0</v>
      </c>
      <c r="BO347">
        <v>3.0</v>
      </c>
      <c r="BP347" t="s">
        <v>7493</v>
      </c>
      <c r="BQ347" t="s">
        <v>7494</v>
      </c>
      <c r="BR347" t="s">
        <v>7495</v>
      </c>
      <c r="BS347" t="s">
        <v>1252</v>
      </c>
      <c r="BU347" t="s">
        <v>139</v>
      </c>
      <c r="BV347" s="3" t="str">
        <f>HYPERLINK("https://api.typeform.com/responses/files/28e336c8584ca62c19880cbf03225532cf758d80add09a652aa6bfd491fdb6e4/SANJIDA_FNU___SPEAKHIRE_2021___Parent_Consent_Form.pdf")</f>
        <v>https://api.typeform.com/responses/files/28e336c8584ca62c19880cbf03225532cf758d80add09a652aa6bfd491fdb6e4/SANJIDA_FNU___SPEAKHIRE_2021___Parent_Consent_Form.pdf</v>
      </c>
      <c r="BW347" t="b">
        <v>1</v>
      </c>
      <c r="BX347" t="s">
        <v>1394</v>
      </c>
      <c r="BY347" t="s">
        <v>140</v>
      </c>
      <c r="CA347" t="s">
        <v>1395</v>
      </c>
      <c r="CD347">
        <v>0.0</v>
      </c>
      <c r="CF347" t="b">
        <v>0</v>
      </c>
      <c r="CG347" t="b">
        <v>0</v>
      </c>
      <c r="CH347" t="s">
        <v>705</v>
      </c>
      <c r="CJ347" t="b">
        <v>0</v>
      </c>
      <c r="CK347" t="b">
        <v>1</v>
      </c>
      <c r="CL347" t="s">
        <v>636</v>
      </c>
      <c r="CM347" t="s">
        <v>387</v>
      </c>
      <c r="CN347" t="s">
        <v>205</v>
      </c>
      <c r="CO347" t="s">
        <v>124</v>
      </c>
      <c r="CQ347" t="s">
        <v>387</v>
      </c>
      <c r="CR347" t="b">
        <v>1</v>
      </c>
      <c r="CT347">
        <v>5.0</v>
      </c>
      <c r="CU347">
        <v>2.0</v>
      </c>
      <c r="CX347" s="4" t="s">
        <v>3882</v>
      </c>
      <c r="CZ347" s="5">
        <v>44546.669699074075</v>
      </c>
      <c r="DA347" t="s">
        <v>7496</v>
      </c>
    </row>
    <row r="348">
      <c r="A348" t="s">
        <v>98</v>
      </c>
      <c r="D348" t="s">
        <v>7497</v>
      </c>
      <c r="E348" t="s">
        <v>5155</v>
      </c>
      <c r="F348" s="2">
        <v>38612.0</v>
      </c>
      <c r="G348" t="s">
        <v>1360</v>
      </c>
      <c r="I348" s="3" t="str">
        <f>HYPERLINK("https://api.typeform.com/responses/files/d8c50f7e07e685af51e4519db1a47d2b8f53a584f01a3d3b56689923daa44f94/IMG_2601.jpg")</f>
        <v>https://api.typeform.com/responses/files/d8c50f7e07e685af51e4519db1a47d2b8f53a584f01a3d3b56689923daa44f94/IMG_2601.jpg</v>
      </c>
      <c r="J348" t="s">
        <v>7498</v>
      </c>
      <c r="K348" t="b">
        <v>1</v>
      </c>
      <c r="L348" s="4" t="s">
        <v>7499</v>
      </c>
      <c r="M348" t="s">
        <v>7500</v>
      </c>
      <c r="N348" t="s">
        <v>255</v>
      </c>
      <c r="P348" t="s">
        <v>7501</v>
      </c>
      <c r="Q348" t="s">
        <v>189</v>
      </c>
      <c r="R348" t="s">
        <v>7502</v>
      </c>
      <c r="S348" t="s">
        <v>7503</v>
      </c>
      <c r="T348" s="4" t="s">
        <v>7504</v>
      </c>
      <c r="U348" t="s">
        <v>7424</v>
      </c>
      <c r="V348" t="s">
        <v>7425</v>
      </c>
      <c r="W348" t="s">
        <v>2290</v>
      </c>
      <c r="Y348" t="s">
        <v>158</v>
      </c>
      <c r="Z348" t="s">
        <v>262</v>
      </c>
      <c r="AC348" s="3" t="str">
        <f>HYPERLINK("https://api.typeform.com/responses/files/5e1ef325b0585b528f2ab3c8de488fa213bd3fca1cdd378a5a95dce340fabefd/Screen_Shot_2021_12_16_at_10.47.58_AM.png")</f>
        <v>https://api.typeform.com/responses/files/5e1ef325b0585b528f2ab3c8de488fa213bd3fca1cdd378a5a95dce340fabefd/Screen_Shot_2021_12_16_at_10.47.58_AM.png</v>
      </c>
      <c r="AD348" t="s">
        <v>118</v>
      </c>
      <c r="AE348" t="s">
        <v>729</v>
      </c>
      <c r="AF348" t="s">
        <v>2874</v>
      </c>
      <c r="AG348">
        <v>13.0</v>
      </c>
      <c r="AH348" t="s">
        <v>620</v>
      </c>
      <c r="AI348" t="s">
        <v>205</v>
      </c>
      <c r="AL348" t="s">
        <v>199</v>
      </c>
      <c r="AO348" t="s">
        <v>335</v>
      </c>
      <c r="AP348">
        <v>5.0</v>
      </c>
      <c r="AQ348" t="s">
        <v>1520</v>
      </c>
      <c r="AR348" t="s">
        <v>7505</v>
      </c>
      <c r="AS348" t="b">
        <v>1</v>
      </c>
      <c r="AT348" t="b">
        <v>1</v>
      </c>
      <c r="AV348">
        <v>5.0</v>
      </c>
      <c r="AW348" t="b">
        <v>0</v>
      </c>
      <c r="AZ348" t="b">
        <v>0</v>
      </c>
      <c r="BA348" t="b">
        <v>0</v>
      </c>
      <c r="BD348" t="s">
        <v>7506</v>
      </c>
      <c r="BH348" t="s">
        <v>132</v>
      </c>
      <c r="BI348">
        <v>2.0</v>
      </c>
      <c r="BJ348" t="s">
        <v>7507</v>
      </c>
      <c r="BK348">
        <v>4.0</v>
      </c>
      <c r="BL348">
        <v>4.0</v>
      </c>
      <c r="BM348" t="s">
        <v>7508</v>
      </c>
      <c r="BN348">
        <v>4.0</v>
      </c>
      <c r="BO348">
        <v>3.0</v>
      </c>
      <c r="BP348" t="s">
        <v>7509</v>
      </c>
      <c r="BQ348" t="s">
        <v>977</v>
      </c>
      <c r="BR348" t="s">
        <v>7510</v>
      </c>
      <c r="BS348" t="s">
        <v>7511</v>
      </c>
      <c r="BU348" t="s">
        <v>7512</v>
      </c>
      <c r="BV348" s="3" t="str">
        <f>HYPERLINK("https://api.typeform.com/responses/files/2edc9cc58909189dd9466ab71fb5819206775cdd7b5095452491f3c4db8bffca/Steisy_Rodriguez_Fernandez___SPEAKHIRE_2021_Parent_Consent_Form.docx")</f>
        <v>https://api.typeform.com/responses/files/2edc9cc58909189dd9466ab71fb5819206775cdd7b5095452491f3c4db8bffca/Steisy_Rodriguez_Fernandez___SPEAKHIRE_2021_Parent_Consent_Form.docx</v>
      </c>
      <c r="BW348" t="b">
        <v>1</v>
      </c>
      <c r="BX348" t="s">
        <v>1394</v>
      </c>
      <c r="BY348" t="s">
        <v>822</v>
      </c>
      <c r="BZ348" t="s">
        <v>1419</v>
      </c>
      <c r="CD348">
        <v>0.0</v>
      </c>
      <c r="CF348" t="b">
        <v>1</v>
      </c>
      <c r="CG348" t="b">
        <v>1</v>
      </c>
      <c r="CH348" t="s">
        <v>2553</v>
      </c>
      <c r="CJ348" t="b">
        <v>1</v>
      </c>
      <c r="CK348" t="b">
        <v>1</v>
      </c>
      <c r="CL348" t="s">
        <v>198</v>
      </c>
      <c r="CO348" t="s">
        <v>200</v>
      </c>
      <c r="CR348" t="b">
        <v>1</v>
      </c>
      <c r="CT348">
        <v>1.0</v>
      </c>
      <c r="CU348">
        <v>0.0</v>
      </c>
      <c r="CX348" s="4" t="s">
        <v>2914</v>
      </c>
      <c r="CZ348" s="5">
        <v>44546.670960648145</v>
      </c>
      <c r="DA348" t="s">
        <v>7513</v>
      </c>
    </row>
    <row r="349">
      <c r="A349" t="s">
        <v>98</v>
      </c>
      <c r="D349" t="s">
        <v>7514</v>
      </c>
      <c r="E349" t="s">
        <v>7515</v>
      </c>
      <c r="F349" s="2">
        <v>37841.0</v>
      </c>
      <c r="G349" t="s">
        <v>1360</v>
      </c>
      <c r="I349" s="3" t="str">
        <f>HYPERLINK("https://api.typeform.com/responses/files/4c5cd4239e8c5b80ce73c5ff0225acb46ab612263474e991c8e0d47b407e483a/Screen_Shot_2021_12_15_at_8.54.50_PM.png")</f>
        <v>https://api.typeform.com/responses/files/4c5cd4239e8c5b80ce73c5ff0225acb46ab612263474e991c8e0d47b407e483a/Screen_Shot_2021_12_15_at_8.54.50_PM.png</v>
      </c>
      <c r="J349" t="s">
        <v>7516</v>
      </c>
      <c r="K349" t="b">
        <v>1</v>
      </c>
      <c r="L349" s="4" t="s">
        <v>7517</v>
      </c>
      <c r="M349" t="s">
        <v>7518</v>
      </c>
      <c r="N349" t="s">
        <v>255</v>
      </c>
      <c r="O349" t="s">
        <v>7519</v>
      </c>
      <c r="P349" t="s">
        <v>7520</v>
      </c>
      <c r="Q349" t="s">
        <v>189</v>
      </c>
      <c r="R349" t="s">
        <v>7521</v>
      </c>
      <c r="S349" t="s">
        <v>7522</v>
      </c>
      <c r="T349" s="4" t="s">
        <v>7523</v>
      </c>
      <c r="U349" t="s">
        <v>7524</v>
      </c>
      <c r="V349" t="s">
        <v>7525</v>
      </c>
      <c r="W349" t="s">
        <v>2290</v>
      </c>
      <c r="Y349" t="s">
        <v>158</v>
      </c>
      <c r="Z349" t="s">
        <v>262</v>
      </c>
      <c r="AC349" s="3" t="str">
        <f>HYPERLINK("https://api.typeform.com/responses/files/4a94a5d1f59736b83dba609778fb9f5bfd4e14392039e1484fd1c045bd233ef6/Screen_Shot_2021_12_16_at_10.44.12_AM.png")</f>
        <v>https://api.typeform.com/responses/files/4a94a5d1f59736b83dba609778fb9f5bfd4e14392039e1484fd1c045bd233ef6/Screen_Shot_2021_12_16_at_10.44.12_AM.png</v>
      </c>
      <c r="AD349" t="s">
        <v>118</v>
      </c>
      <c r="AE349" t="s">
        <v>729</v>
      </c>
      <c r="AF349" t="s">
        <v>2292</v>
      </c>
      <c r="AG349">
        <v>15.0</v>
      </c>
      <c r="AH349" t="s">
        <v>7526</v>
      </c>
      <c r="AI349" t="s">
        <v>543</v>
      </c>
      <c r="AL349" t="s">
        <v>1043</v>
      </c>
      <c r="AO349" t="s">
        <v>125</v>
      </c>
      <c r="AP349">
        <v>5.0</v>
      </c>
      <c r="AQ349" t="s">
        <v>126</v>
      </c>
      <c r="AR349" t="s">
        <v>7527</v>
      </c>
      <c r="AS349" t="b">
        <v>1</v>
      </c>
      <c r="AT349" t="b">
        <v>1</v>
      </c>
      <c r="AV349">
        <v>5.0</v>
      </c>
      <c r="AW349" t="b">
        <v>1</v>
      </c>
      <c r="AX349" t="s">
        <v>1902</v>
      </c>
      <c r="AY349" s="4" t="s">
        <v>170</v>
      </c>
      <c r="AZ349" t="b">
        <v>0</v>
      </c>
      <c r="BA349" t="b">
        <v>0</v>
      </c>
      <c r="BD349" t="s">
        <v>7528</v>
      </c>
      <c r="BH349" t="s">
        <v>132</v>
      </c>
      <c r="BI349">
        <v>5.0</v>
      </c>
      <c r="BJ349" t="s">
        <v>7529</v>
      </c>
      <c r="BK349">
        <v>4.0</v>
      </c>
      <c r="BL349">
        <v>5.0</v>
      </c>
      <c r="BM349" t="s">
        <v>7530</v>
      </c>
      <c r="BN349">
        <v>5.0</v>
      </c>
      <c r="BO349">
        <v>4.0</v>
      </c>
      <c r="BP349" t="s">
        <v>7531</v>
      </c>
      <c r="BQ349" t="s">
        <v>4541</v>
      </c>
      <c r="BR349" t="s">
        <v>7532</v>
      </c>
      <c r="BS349" t="s">
        <v>7533</v>
      </c>
      <c r="BU349" t="s">
        <v>7534</v>
      </c>
      <c r="BV349" s="3" t="str">
        <f>HYPERLINK("https://api.typeform.com/responses/files/e34a4a77fca784bae1f71a6546c626e5cdef88a8e1804b42ba18c2b559fb00d8/DAYANARA_ANGULO___SPEAKHIRE_2021___Parent_Consent_Form.docx")</f>
        <v>https://api.typeform.com/responses/files/e34a4a77fca784bae1f71a6546c626e5cdef88a8e1804b42ba18c2b559fb00d8/DAYANARA_ANGULO___SPEAKHIRE_2021___Parent_Consent_Form.docx</v>
      </c>
      <c r="BW349" t="b">
        <v>1</v>
      </c>
      <c r="BX349" t="s">
        <v>1394</v>
      </c>
      <c r="BY349" t="s">
        <v>140</v>
      </c>
      <c r="CA349" t="s">
        <v>1395</v>
      </c>
      <c r="CD349">
        <v>0.0</v>
      </c>
      <c r="CF349" t="b">
        <v>1</v>
      </c>
      <c r="CG349" t="b">
        <v>1</v>
      </c>
      <c r="CH349" t="s">
        <v>7535</v>
      </c>
      <c r="CJ349" t="b">
        <v>1</v>
      </c>
      <c r="CK349" t="b">
        <v>0</v>
      </c>
      <c r="CL349" t="s">
        <v>2301</v>
      </c>
      <c r="CO349" t="s">
        <v>388</v>
      </c>
      <c r="CR349" t="b">
        <v>1</v>
      </c>
      <c r="CT349">
        <v>1.0</v>
      </c>
      <c r="CU349">
        <v>0.0</v>
      </c>
      <c r="CX349" s="4" t="s">
        <v>7536</v>
      </c>
      <c r="CZ349" s="5">
        <v>44546.672627314816</v>
      </c>
      <c r="DA349" t="s">
        <v>7537</v>
      </c>
    </row>
    <row r="350">
      <c r="A350" t="s">
        <v>98</v>
      </c>
      <c r="D350" t="s">
        <v>7538</v>
      </c>
      <c r="E350" t="s">
        <v>7539</v>
      </c>
      <c r="F350" s="2">
        <v>38205.0</v>
      </c>
      <c r="G350" t="s">
        <v>1360</v>
      </c>
      <c r="I350" s="3" t="str">
        <f>HYPERLINK("https://api.typeform.com/responses/files/3953c34567112dcbeef87677711d9b18e8010d87ae587d1b8a645fad618e65ec/267696071_607907347091524_5390217788588027318_n.jpg")</f>
        <v>https://api.typeform.com/responses/files/3953c34567112dcbeef87677711d9b18e8010d87ae587d1b8a645fad618e65ec/267696071_607907347091524_5390217788588027318_n.jpg</v>
      </c>
      <c r="J350" t="s">
        <v>7540</v>
      </c>
      <c r="K350" t="b">
        <v>1</v>
      </c>
      <c r="L350" s="4" t="s">
        <v>7541</v>
      </c>
      <c r="M350" t="s">
        <v>7542</v>
      </c>
      <c r="N350" t="s">
        <v>255</v>
      </c>
      <c r="O350" t="s">
        <v>7543</v>
      </c>
      <c r="P350" t="s">
        <v>7544</v>
      </c>
      <c r="Q350" t="s">
        <v>189</v>
      </c>
      <c r="R350" t="s">
        <v>7545</v>
      </c>
      <c r="S350" t="s">
        <v>7542</v>
      </c>
      <c r="T350" s="4" t="s">
        <v>7546</v>
      </c>
      <c r="U350" t="s">
        <v>7547</v>
      </c>
      <c r="V350" t="s">
        <v>7425</v>
      </c>
      <c r="W350" t="s">
        <v>2290</v>
      </c>
      <c r="Y350" t="s">
        <v>158</v>
      </c>
      <c r="Z350" t="s">
        <v>262</v>
      </c>
      <c r="AC350" s="3" t="str">
        <f>HYPERLINK("https://api.typeform.com/responses/files/6d3fe3af2cb668fe8e213cc7e07a2de10a4a0598cc716f9f3e11936807ab8700/268117213_1021821305047850_8785768444399608156_n.jpg")</f>
        <v>https://api.typeform.com/responses/files/6d3fe3af2cb668fe8e213cc7e07a2de10a4a0598cc716f9f3e11936807ab8700/268117213_1021821305047850_8785768444399608156_n.jpg</v>
      </c>
      <c r="AD350" t="s">
        <v>118</v>
      </c>
      <c r="AE350" t="s">
        <v>729</v>
      </c>
      <c r="AF350" t="s">
        <v>2541</v>
      </c>
      <c r="AG350">
        <v>13.0</v>
      </c>
      <c r="AH350" t="s">
        <v>7548</v>
      </c>
      <c r="AI350" t="s">
        <v>543</v>
      </c>
      <c r="AK350" t="s">
        <v>7549</v>
      </c>
      <c r="AL350" t="s">
        <v>7550</v>
      </c>
      <c r="AO350" t="s">
        <v>125</v>
      </c>
      <c r="AP350">
        <v>6.0</v>
      </c>
      <c r="AQ350" t="s">
        <v>126</v>
      </c>
      <c r="AR350" t="s">
        <v>7551</v>
      </c>
      <c r="AS350" t="b">
        <v>1</v>
      </c>
      <c r="AT350" t="b">
        <v>1</v>
      </c>
      <c r="AV350">
        <v>6.0</v>
      </c>
      <c r="AW350" t="b">
        <v>1</v>
      </c>
      <c r="AX350" t="s">
        <v>2797</v>
      </c>
      <c r="AY350" t="s">
        <v>2597</v>
      </c>
      <c r="AZ350" t="b">
        <v>0</v>
      </c>
      <c r="BA350" t="b">
        <v>0</v>
      </c>
      <c r="BD350" t="s">
        <v>7552</v>
      </c>
      <c r="BH350" t="s">
        <v>132</v>
      </c>
      <c r="BI350">
        <v>4.0</v>
      </c>
      <c r="BJ350" t="s">
        <v>7553</v>
      </c>
      <c r="BK350">
        <v>5.0</v>
      </c>
      <c r="BL350">
        <v>6.0</v>
      </c>
      <c r="BM350" t="s">
        <v>7554</v>
      </c>
      <c r="BN350">
        <v>5.0</v>
      </c>
      <c r="BO350">
        <v>6.0</v>
      </c>
      <c r="BP350" t="s">
        <v>7555</v>
      </c>
      <c r="BQ350" t="s">
        <v>5036</v>
      </c>
      <c r="BR350" t="s">
        <v>7556</v>
      </c>
      <c r="BS350" t="s">
        <v>7557</v>
      </c>
      <c r="BU350" t="s">
        <v>7558</v>
      </c>
      <c r="BV350" s="3" t="str">
        <f>HYPERLINK("https://api.typeform.com/responses/files/006492ed07b84a8e87c991368bf1c836407cab6b485f22a8a18c395160e24dc6/SALINA_MAGARATI___SPEAKHIRE_2021___Parent_Consent_Form.docx")</f>
        <v>https://api.typeform.com/responses/files/006492ed07b84a8e87c991368bf1c836407cab6b485f22a8a18c395160e24dc6/SALINA_MAGARATI___SPEAKHIRE_2021___Parent_Consent_Form.docx</v>
      </c>
      <c r="BW350" t="b">
        <v>1</v>
      </c>
      <c r="BX350" t="s">
        <v>1394</v>
      </c>
      <c r="BY350" t="s">
        <v>140</v>
      </c>
      <c r="CA350" t="s">
        <v>1395</v>
      </c>
      <c r="CD350">
        <v>0.0</v>
      </c>
      <c r="CF350" t="b">
        <v>1</v>
      </c>
      <c r="CG350" t="b">
        <v>1</v>
      </c>
      <c r="CH350" t="s">
        <v>7559</v>
      </c>
      <c r="CJ350" t="b">
        <v>1</v>
      </c>
      <c r="CK350" t="b">
        <v>1</v>
      </c>
      <c r="CL350" t="s">
        <v>636</v>
      </c>
      <c r="CN350" t="s">
        <v>7560</v>
      </c>
      <c r="CO350" t="s">
        <v>1397</v>
      </c>
      <c r="CR350" t="b">
        <v>1</v>
      </c>
      <c r="CT350">
        <v>4.0</v>
      </c>
      <c r="CU350">
        <v>2.0</v>
      </c>
      <c r="CX350" s="4" t="s">
        <v>520</v>
      </c>
      <c r="CZ350" s="5">
        <v>44546.679618055554</v>
      </c>
      <c r="DA350" t="s">
        <v>7561</v>
      </c>
    </row>
    <row r="351">
      <c r="A351" t="s">
        <v>98</v>
      </c>
      <c r="D351" t="s">
        <v>7562</v>
      </c>
      <c r="E351" t="s">
        <v>7563</v>
      </c>
      <c r="F351" s="2">
        <v>38195.0</v>
      </c>
      <c r="G351" t="s">
        <v>1360</v>
      </c>
      <c r="I351" s="3" t="str">
        <f>HYPERLINK("https://api.typeform.com/responses/files/caab356e791c5534a6a037e062276fbeeaa1793f6e239c36476822626b0af7c3/Screenshot_2021_12_16_10.40.18_AM.png")</f>
        <v>https://api.typeform.com/responses/files/caab356e791c5534a6a037e062276fbeeaa1793f6e239c36476822626b0af7c3/Screenshot_2021_12_16_10.40.18_AM.png</v>
      </c>
      <c r="J351" t="s">
        <v>7564</v>
      </c>
      <c r="K351" t="b">
        <v>1</v>
      </c>
      <c r="L351" s="4" t="s">
        <v>7565</v>
      </c>
      <c r="M351" t="s">
        <v>7566</v>
      </c>
      <c r="N351" t="s">
        <v>149</v>
      </c>
      <c r="P351" t="s">
        <v>7567</v>
      </c>
      <c r="Q351" t="s">
        <v>189</v>
      </c>
      <c r="R351" t="s">
        <v>7568</v>
      </c>
      <c r="S351" t="s">
        <v>7566</v>
      </c>
      <c r="T351" s="4" t="s">
        <v>7569</v>
      </c>
      <c r="U351" t="s">
        <v>7424</v>
      </c>
      <c r="V351" t="s">
        <v>7570</v>
      </c>
      <c r="W351" t="s">
        <v>261</v>
      </c>
      <c r="Y351" t="s">
        <v>158</v>
      </c>
      <c r="Z351" t="s">
        <v>262</v>
      </c>
      <c r="AC351" s="3" t="str">
        <f>HYPERLINK("https://api.typeform.com/responses/files/784c9c7a481d0a7e1828e57d683041d8e3b898bf0d35b7382c1bd9d196eceec5/Screenshot_2021_12_16_10.48.02_AM.png")</f>
        <v>https://api.typeform.com/responses/files/784c9c7a481d0a7e1828e57d683041d8e3b898bf0d35b7382c1bd9d196eceec5/Screenshot_2021_12_16_10.48.02_AM.png</v>
      </c>
      <c r="AD351" t="s">
        <v>118</v>
      </c>
      <c r="AE351" t="s">
        <v>729</v>
      </c>
      <c r="AF351" t="s">
        <v>7571</v>
      </c>
      <c r="AG351">
        <v>15.0</v>
      </c>
      <c r="AH351" t="s">
        <v>7572</v>
      </c>
      <c r="AI351" t="s">
        <v>205</v>
      </c>
      <c r="AK351" t="s">
        <v>7573</v>
      </c>
      <c r="AL351" t="s">
        <v>7574</v>
      </c>
      <c r="AO351" t="s">
        <v>125</v>
      </c>
      <c r="AP351">
        <v>4.0</v>
      </c>
      <c r="AQ351" t="s">
        <v>1520</v>
      </c>
      <c r="AR351" t="s">
        <v>7575</v>
      </c>
      <c r="AS351" t="b">
        <v>1</v>
      </c>
      <c r="AT351" t="b">
        <v>1</v>
      </c>
      <c r="AV351">
        <v>4.0</v>
      </c>
      <c r="AW351" t="b">
        <v>0</v>
      </c>
      <c r="AZ351" t="b">
        <v>0</v>
      </c>
      <c r="BA351" t="b">
        <v>0</v>
      </c>
      <c r="BD351" t="s">
        <v>7575</v>
      </c>
      <c r="BH351" t="s">
        <v>132</v>
      </c>
      <c r="BI351">
        <v>1.0</v>
      </c>
      <c r="BJ351" t="s">
        <v>5023</v>
      </c>
      <c r="BK351">
        <v>4.0</v>
      </c>
      <c r="BL351">
        <v>4.0</v>
      </c>
      <c r="BM351" t="s">
        <v>7576</v>
      </c>
      <c r="BN351">
        <v>4.0</v>
      </c>
      <c r="BO351">
        <v>4.0</v>
      </c>
      <c r="BP351" t="s">
        <v>7577</v>
      </c>
      <c r="BQ351" t="s">
        <v>1931</v>
      </c>
      <c r="BR351" t="s">
        <v>7578</v>
      </c>
      <c r="BS351" t="s">
        <v>7579</v>
      </c>
      <c r="BU351" t="s">
        <v>7580</v>
      </c>
      <c r="BV351" s="3" t="str">
        <f>HYPERLINK("https://api.typeform.com/responses/files/3bcdf598456e8851a90a24dd49824a10968202c4d43d14fa79581ad7754ec3b1/JULIANA_CLAIRE_CAHUMNAS___SPEAKHIRE_2021___Parent_Consent_Form.pdf")</f>
        <v>https://api.typeform.com/responses/files/3bcdf598456e8851a90a24dd49824a10968202c4d43d14fa79581ad7754ec3b1/JULIANA_CLAIRE_CAHUMNAS___SPEAKHIRE_2021___Parent_Consent_Form.pdf</v>
      </c>
      <c r="BW351" t="b">
        <v>1</v>
      </c>
      <c r="BX351" t="s">
        <v>1394</v>
      </c>
      <c r="BY351" t="s">
        <v>140</v>
      </c>
      <c r="CA351" t="s">
        <v>1395</v>
      </c>
      <c r="CD351">
        <v>0.0</v>
      </c>
      <c r="CF351" t="b">
        <v>0</v>
      </c>
      <c r="CG351" t="b">
        <v>0</v>
      </c>
      <c r="CH351" t="s">
        <v>1935</v>
      </c>
      <c r="CJ351" t="b">
        <v>1</v>
      </c>
      <c r="CK351" t="b">
        <v>1</v>
      </c>
      <c r="CL351" t="s">
        <v>636</v>
      </c>
      <c r="CO351" t="s">
        <v>200</v>
      </c>
      <c r="CR351" t="b">
        <v>1</v>
      </c>
      <c r="CT351">
        <v>4.0</v>
      </c>
      <c r="CU351">
        <v>2.0</v>
      </c>
      <c r="CX351" s="4" t="s">
        <v>1453</v>
      </c>
      <c r="CZ351" s="5">
        <v>44546.68090277778</v>
      </c>
      <c r="DA351" t="s">
        <v>7581</v>
      </c>
    </row>
    <row r="352">
      <c r="A352" t="s">
        <v>98</v>
      </c>
      <c r="D352" t="s">
        <v>7582</v>
      </c>
      <c r="E352" t="s">
        <v>7583</v>
      </c>
      <c r="F352" s="2">
        <v>38295.0</v>
      </c>
      <c r="G352" t="s">
        <v>1466</v>
      </c>
      <c r="I352" s="3" t="str">
        <f>HYPERLINK("https://api.typeform.com/responses/files/35a70ddd4fda5e8f88c791b0dd6ee6bed8abe36229578aa7b6e6577f35d971a4/IMG_20211214_132020.jpg")</f>
        <v>https://api.typeform.com/responses/files/35a70ddd4fda5e8f88c791b0dd6ee6bed8abe36229578aa7b6e6577f35d971a4/IMG_20211214_132020.jpg</v>
      </c>
      <c r="J352" t="s">
        <v>7584</v>
      </c>
      <c r="K352" t="b">
        <v>1</v>
      </c>
      <c r="L352" s="4" t="s">
        <v>7585</v>
      </c>
      <c r="M352" t="s">
        <v>7586</v>
      </c>
      <c r="N352" t="s">
        <v>255</v>
      </c>
      <c r="O352" t="s">
        <v>7587</v>
      </c>
      <c r="P352" t="s">
        <v>7588</v>
      </c>
      <c r="Q352" t="s">
        <v>189</v>
      </c>
      <c r="R352" t="s">
        <v>7589</v>
      </c>
      <c r="S352" t="s">
        <v>7586</v>
      </c>
      <c r="T352" s="4" t="s">
        <v>7590</v>
      </c>
      <c r="U352" t="s">
        <v>7424</v>
      </c>
      <c r="V352" t="s">
        <v>7591</v>
      </c>
      <c r="W352" t="s">
        <v>2290</v>
      </c>
      <c r="Y352" t="s">
        <v>158</v>
      </c>
      <c r="Z352" t="s">
        <v>262</v>
      </c>
      <c r="AC352" s="3" t="str">
        <f>HYPERLINK("https://api.typeform.com/responses/files/b981db468dac6ef3fbcc7a17dde6d85cdc147580fb049414d27475b61efcfccf/Screenshot_20211123_121941.jpg")</f>
        <v>https://api.typeform.com/responses/files/b981db468dac6ef3fbcc7a17dde6d85cdc147580fb049414d27475b61efcfccf/Screenshot_20211123_121941.jpg</v>
      </c>
      <c r="AD352" t="s">
        <v>118</v>
      </c>
      <c r="AE352" t="s">
        <v>729</v>
      </c>
      <c r="AF352" t="s">
        <v>7592</v>
      </c>
      <c r="AG352">
        <v>15.0</v>
      </c>
      <c r="AH352" t="s">
        <v>7593</v>
      </c>
      <c r="AI352" t="s">
        <v>162</v>
      </c>
      <c r="AL352" t="s">
        <v>7594</v>
      </c>
      <c r="AO352" t="s">
        <v>1479</v>
      </c>
      <c r="AP352">
        <v>2.0</v>
      </c>
      <c r="AQ352" t="s">
        <v>2240</v>
      </c>
      <c r="AR352" t="s">
        <v>7595</v>
      </c>
      <c r="AS352" t="b">
        <v>1</v>
      </c>
      <c r="AT352" t="b">
        <v>0</v>
      </c>
      <c r="AV352">
        <v>6.0</v>
      </c>
      <c r="AW352" t="b">
        <v>1</v>
      </c>
      <c r="AX352" t="s">
        <v>1450</v>
      </c>
      <c r="AY352" t="s">
        <v>307</v>
      </c>
      <c r="AZ352" t="b">
        <v>0</v>
      </c>
      <c r="BA352" t="b">
        <v>1</v>
      </c>
      <c r="BB352" t="b">
        <v>0</v>
      </c>
      <c r="BC352" t="s">
        <v>7596</v>
      </c>
      <c r="BH352" t="s">
        <v>132</v>
      </c>
      <c r="BI352">
        <v>4.0</v>
      </c>
      <c r="BJ352" t="s">
        <v>7597</v>
      </c>
      <c r="BK352">
        <v>4.0</v>
      </c>
      <c r="BL352">
        <v>6.0</v>
      </c>
      <c r="BM352" t="s">
        <v>7598</v>
      </c>
      <c r="BN352">
        <v>4.0</v>
      </c>
      <c r="BO352">
        <v>6.0</v>
      </c>
      <c r="BP352" t="s">
        <v>7599</v>
      </c>
      <c r="BQ352" t="s">
        <v>916</v>
      </c>
      <c r="BR352" t="s">
        <v>7600</v>
      </c>
      <c r="BS352" t="s">
        <v>7601</v>
      </c>
      <c r="BU352" t="s">
        <v>7602</v>
      </c>
      <c r="BV352" s="3" t="str">
        <f>HYPERLINK("https://api.typeform.com/responses/files/6dd8e5a32bba7c2d3f4dd11d5bcc2c57f1f3631fd18cbb839c54545fe03f0f34/FABIAN_KUCLO___SPEAKHIRE_2021___Parent_Consent_Form.pdf")</f>
        <v>https://api.typeform.com/responses/files/6dd8e5a32bba7c2d3f4dd11d5bcc2c57f1f3631fd18cbb839c54545fe03f0f34/FABIAN_KUCLO___SPEAKHIRE_2021___Parent_Consent_Form.pdf</v>
      </c>
      <c r="BW352" t="b">
        <v>1</v>
      </c>
      <c r="BX352" t="s">
        <v>1394</v>
      </c>
      <c r="BY352" t="s">
        <v>140</v>
      </c>
      <c r="CA352" t="s">
        <v>1395</v>
      </c>
      <c r="CD352">
        <v>0.0</v>
      </c>
      <c r="CF352" t="b">
        <v>1</v>
      </c>
      <c r="CG352" t="b">
        <v>1</v>
      </c>
      <c r="CH352" t="s">
        <v>1766</v>
      </c>
      <c r="CJ352" t="b">
        <v>1</v>
      </c>
      <c r="CK352" t="b">
        <v>1</v>
      </c>
      <c r="CL352" t="s">
        <v>1489</v>
      </c>
      <c r="CO352" t="s">
        <v>1635</v>
      </c>
      <c r="CR352" t="b">
        <v>1</v>
      </c>
      <c r="CT352">
        <v>1.0</v>
      </c>
      <c r="CU352">
        <v>2.0</v>
      </c>
      <c r="CX352" s="4" t="s">
        <v>7603</v>
      </c>
      <c r="CZ352" s="5">
        <v>44546.68115740741</v>
      </c>
      <c r="DA352" t="s">
        <v>7604</v>
      </c>
    </row>
    <row r="353">
      <c r="A353" t="s">
        <v>98</v>
      </c>
      <c r="D353" t="s">
        <v>7605</v>
      </c>
      <c r="E353" t="s">
        <v>1613</v>
      </c>
      <c r="F353" s="2">
        <v>38525.0</v>
      </c>
      <c r="G353" t="s">
        <v>1466</v>
      </c>
      <c r="I353" s="3" t="str">
        <f>HYPERLINK("https://api.typeform.com/responses/files/03c597b3133d418035139bfa572b758736e65fa2b46099009da50c82ad5cd777/IMG_9135.jpg")</f>
        <v>https://api.typeform.com/responses/files/03c597b3133d418035139bfa572b758736e65fa2b46099009da50c82ad5cd777/IMG_9135.jpg</v>
      </c>
      <c r="J353" t="s">
        <v>7606</v>
      </c>
      <c r="K353" t="b">
        <v>1</v>
      </c>
      <c r="L353" s="4" t="s">
        <v>7607</v>
      </c>
      <c r="M353" t="s">
        <v>7608</v>
      </c>
      <c r="N353" t="s">
        <v>255</v>
      </c>
      <c r="O353" t="s">
        <v>7609</v>
      </c>
      <c r="P353" t="s">
        <v>7610</v>
      </c>
      <c r="Q353" t="s">
        <v>189</v>
      </c>
      <c r="R353" t="s">
        <v>7611</v>
      </c>
      <c r="S353" t="s">
        <v>7608</v>
      </c>
      <c r="T353" s="4" t="s">
        <v>7612</v>
      </c>
      <c r="U353" t="s">
        <v>7613</v>
      </c>
      <c r="V353" t="s">
        <v>7614</v>
      </c>
      <c r="W353" t="s">
        <v>2290</v>
      </c>
      <c r="Y353" t="s">
        <v>158</v>
      </c>
      <c r="Z353" t="s">
        <v>262</v>
      </c>
      <c r="AC353" s="3" t="str">
        <f>HYPERLINK("https://api.typeform.com/responses/files/2394e4ed96b93d612209cf577aedec4b77535597cd3aa3489690dc44a9299024/IMG_9115.jpg")</f>
        <v>https://api.typeform.com/responses/files/2394e4ed96b93d612209cf577aedec4b77535597cd3aa3489690dc44a9299024/IMG_9115.jpg</v>
      </c>
      <c r="AD353" t="s">
        <v>118</v>
      </c>
      <c r="AE353" t="s">
        <v>729</v>
      </c>
      <c r="AF353" t="s">
        <v>7615</v>
      </c>
      <c r="AG353">
        <v>14.0</v>
      </c>
      <c r="AH353" t="s">
        <v>7593</v>
      </c>
      <c r="AI353" t="s">
        <v>205</v>
      </c>
      <c r="AL353" t="s">
        <v>199</v>
      </c>
      <c r="AO353" t="s">
        <v>335</v>
      </c>
      <c r="AP353">
        <v>1.0</v>
      </c>
      <c r="AQ353" t="s">
        <v>1480</v>
      </c>
      <c r="AR353" t="s">
        <v>6257</v>
      </c>
      <c r="AS353" t="b">
        <v>1</v>
      </c>
      <c r="AT353" t="b">
        <v>0</v>
      </c>
      <c r="AV353">
        <v>2.0</v>
      </c>
      <c r="AW353" t="b">
        <v>0</v>
      </c>
      <c r="AZ353" t="b">
        <v>0</v>
      </c>
      <c r="BA353" t="b">
        <v>0</v>
      </c>
      <c r="BD353" t="s">
        <v>6257</v>
      </c>
      <c r="BH353" t="s">
        <v>132</v>
      </c>
      <c r="BI353">
        <v>2.0</v>
      </c>
      <c r="BJ353" t="s">
        <v>5023</v>
      </c>
      <c r="BK353">
        <v>2.0</v>
      </c>
      <c r="BL353">
        <v>5.0</v>
      </c>
      <c r="BM353" t="s">
        <v>7616</v>
      </c>
      <c r="BN353">
        <v>7.0</v>
      </c>
      <c r="BO353">
        <v>3.0</v>
      </c>
      <c r="BP353" t="s">
        <v>7617</v>
      </c>
      <c r="BQ353" t="s">
        <v>977</v>
      </c>
      <c r="BR353" t="s">
        <v>7618</v>
      </c>
      <c r="BS353" t="s">
        <v>7619</v>
      </c>
      <c r="BU353" t="s">
        <v>139</v>
      </c>
      <c r="BV353" s="3" t="str">
        <f>HYPERLINK("https://api.typeform.com/responses/files/b6fefe4d86ae368ef2cf94ab4f8fa9880c447fadd56c74255df84bb97ecc2167/ANGELO_DE_LA_CRUZ___SPEAKHIRE_2021___Parent_Consent_Form.pdf")</f>
        <v>https://api.typeform.com/responses/files/b6fefe4d86ae368ef2cf94ab4f8fa9880c447fadd56c74255df84bb97ecc2167/ANGELO_DE_LA_CRUZ___SPEAKHIRE_2021___Parent_Consent_Form.pdf</v>
      </c>
      <c r="BW353" t="b">
        <v>1</v>
      </c>
      <c r="BX353" t="s">
        <v>1394</v>
      </c>
      <c r="BY353" t="s">
        <v>140</v>
      </c>
      <c r="CA353" t="s">
        <v>1395</v>
      </c>
      <c r="CD353">
        <v>0.0</v>
      </c>
      <c r="CF353" t="b">
        <v>1</v>
      </c>
      <c r="CG353" t="b">
        <v>1</v>
      </c>
      <c r="CH353" t="s">
        <v>7620</v>
      </c>
      <c r="CJ353" t="b">
        <v>1</v>
      </c>
      <c r="CK353" t="b">
        <v>1</v>
      </c>
      <c r="CL353" t="s">
        <v>2301</v>
      </c>
      <c r="CO353" t="s">
        <v>1248</v>
      </c>
      <c r="CR353" t="b">
        <v>1</v>
      </c>
      <c r="CT353">
        <v>3.0</v>
      </c>
      <c r="CU353">
        <v>0.0</v>
      </c>
      <c r="CX353" s="4" t="s">
        <v>7350</v>
      </c>
      <c r="CZ353" s="5">
        <v>44546.68193287037</v>
      </c>
      <c r="DA353" t="s">
        <v>7621</v>
      </c>
    </row>
    <row r="354">
      <c r="A354" t="s">
        <v>98</v>
      </c>
      <c r="D354" t="s">
        <v>7622</v>
      </c>
      <c r="E354" t="s">
        <v>7623</v>
      </c>
      <c r="F354" s="2">
        <v>38649.0</v>
      </c>
      <c r="G354" t="s">
        <v>1466</v>
      </c>
      <c r="I354" s="3" t="str">
        <f>HYPERLINK("https://api.typeform.com/responses/files/92aee831782a2974fc0b596122f41a4bbbd3c088a73ea4ef5aec222275834576/IMG_5759.jpg")</f>
        <v>https://api.typeform.com/responses/files/92aee831782a2974fc0b596122f41a4bbbd3c088a73ea4ef5aec222275834576/IMG_5759.jpg</v>
      </c>
      <c r="J354" t="s">
        <v>7624</v>
      </c>
      <c r="K354" t="b">
        <v>1</v>
      </c>
      <c r="L354" s="4" t="s">
        <v>7625</v>
      </c>
      <c r="M354" t="s">
        <v>7626</v>
      </c>
      <c r="N354" t="s">
        <v>255</v>
      </c>
      <c r="P354" t="s">
        <v>7627</v>
      </c>
      <c r="Q354" t="s">
        <v>108</v>
      </c>
      <c r="R354" t="s">
        <v>7628</v>
      </c>
      <c r="S354" t="s">
        <v>7629</v>
      </c>
      <c r="T354" s="4" t="s">
        <v>7630</v>
      </c>
      <c r="U354" t="s">
        <v>7631</v>
      </c>
      <c r="V354" t="s">
        <v>7632</v>
      </c>
      <c r="W354" t="s">
        <v>2290</v>
      </c>
      <c r="Y354" t="s">
        <v>158</v>
      </c>
      <c r="Z354" t="s">
        <v>262</v>
      </c>
      <c r="AC354" s="3" t="str">
        <f>HYPERLINK("https://api.typeform.com/responses/files/dd0b25fe85a829333a5731c0cbe988aaef3902802168d25b4ec9cd51750f2530/Screen_Shot_2021_12_16_at_10.56.38_AM.png")</f>
        <v>https://api.typeform.com/responses/files/dd0b25fe85a829333a5731c0cbe988aaef3902802168d25b4ec9cd51750f2530/Screen_Shot_2021_12_16_at_10.56.38_AM.png</v>
      </c>
      <c r="AD354" t="s">
        <v>118</v>
      </c>
      <c r="AE354" t="s">
        <v>729</v>
      </c>
      <c r="AF354" t="s">
        <v>3201</v>
      </c>
      <c r="AG354">
        <v>13.0</v>
      </c>
      <c r="AH354" t="s">
        <v>7593</v>
      </c>
      <c r="AI354" t="s">
        <v>205</v>
      </c>
      <c r="AK354" t="s">
        <v>7593</v>
      </c>
      <c r="AL354" t="s">
        <v>1043</v>
      </c>
      <c r="AO354" t="s">
        <v>335</v>
      </c>
      <c r="AP354">
        <v>4.0</v>
      </c>
      <c r="AQ354" t="s">
        <v>126</v>
      </c>
      <c r="AR354" t="s">
        <v>7633</v>
      </c>
      <c r="AS354" t="b">
        <v>1</v>
      </c>
      <c r="AT354" t="b">
        <v>1</v>
      </c>
      <c r="AV354">
        <v>5.0</v>
      </c>
      <c r="AW354" t="b">
        <v>1</v>
      </c>
      <c r="AX354" s="4" t="s">
        <v>130</v>
      </c>
      <c r="AY354" s="4" t="s">
        <v>518</v>
      </c>
      <c r="AZ354" t="b">
        <v>0</v>
      </c>
      <c r="BA354" t="b">
        <v>0</v>
      </c>
      <c r="BD354" t="s">
        <v>7634</v>
      </c>
      <c r="BH354" t="s">
        <v>132</v>
      </c>
      <c r="BI354">
        <v>2.0</v>
      </c>
      <c r="BJ354" t="s">
        <v>5023</v>
      </c>
      <c r="BK354">
        <v>2.0</v>
      </c>
      <c r="BL354">
        <v>2.0</v>
      </c>
      <c r="BM354" t="s">
        <v>7635</v>
      </c>
      <c r="BN354">
        <v>6.0</v>
      </c>
      <c r="BO354">
        <v>5.0</v>
      </c>
      <c r="BP354" t="s">
        <v>7636</v>
      </c>
      <c r="BQ354" t="s">
        <v>1050</v>
      </c>
      <c r="BR354" t="s">
        <v>7637</v>
      </c>
      <c r="BS354" t="s">
        <v>7638</v>
      </c>
      <c r="BU354" t="s">
        <v>139</v>
      </c>
      <c r="BV354" s="3" t="str">
        <f>HYPERLINK("https://api.typeform.com/responses/files/13a860a4082377743e82b092ad61feac6bf4ebfe9a00a18bca960c3149b1ec6c/VICTOR_RIVAS___SPEAKHIRE_2021___Parent_Consent_Form.docx")</f>
        <v>https://api.typeform.com/responses/files/13a860a4082377743e82b092ad61feac6bf4ebfe9a00a18bca960c3149b1ec6c/VICTOR_RIVAS___SPEAKHIRE_2021___Parent_Consent_Form.docx</v>
      </c>
      <c r="BW354" t="b">
        <v>1</v>
      </c>
      <c r="BX354" t="s">
        <v>1394</v>
      </c>
      <c r="BY354" t="s">
        <v>140</v>
      </c>
      <c r="CA354" t="s">
        <v>1395</v>
      </c>
      <c r="CD354">
        <v>0.0</v>
      </c>
      <c r="CF354" t="b">
        <v>0</v>
      </c>
      <c r="CG354" t="b">
        <v>1</v>
      </c>
      <c r="CH354" t="s">
        <v>5132</v>
      </c>
      <c r="CJ354" t="b">
        <v>1</v>
      </c>
      <c r="CK354" t="b">
        <v>1</v>
      </c>
      <c r="CL354" t="s">
        <v>2301</v>
      </c>
      <c r="CM354" t="s">
        <v>2301</v>
      </c>
      <c r="CO354" t="s">
        <v>200</v>
      </c>
      <c r="CQ354" t="s">
        <v>2301</v>
      </c>
      <c r="CR354" t="b">
        <v>1</v>
      </c>
      <c r="CT354">
        <v>3.0</v>
      </c>
      <c r="CU354">
        <v>0.0</v>
      </c>
      <c r="CX354" s="4" t="s">
        <v>7350</v>
      </c>
      <c r="CZ354" s="5">
        <v>44546.683287037034</v>
      </c>
      <c r="DA354" t="s">
        <v>7639</v>
      </c>
    </row>
    <row r="355">
      <c r="A355" t="s">
        <v>98</v>
      </c>
      <c r="D355" t="s">
        <v>7640</v>
      </c>
      <c r="E355" t="s">
        <v>7641</v>
      </c>
      <c r="F355" s="2">
        <v>37737.0</v>
      </c>
      <c r="G355" t="s">
        <v>1466</v>
      </c>
      <c r="I355" s="3" t="str">
        <f>HYPERLINK("https://api.typeform.com/responses/files/0cfd0eda27c9f2d44776ce4b09d4d8c7e35e119ae235c757b69d6b195a67724b/image_67129857.JPG")</f>
        <v>https://api.typeform.com/responses/files/0cfd0eda27c9f2d44776ce4b09d4d8c7e35e119ae235c757b69d6b195a67724b/image_67129857.JPG</v>
      </c>
      <c r="J355" t="s">
        <v>7642</v>
      </c>
      <c r="K355" t="b">
        <v>1</v>
      </c>
      <c r="L355" s="4" t="s">
        <v>7643</v>
      </c>
      <c r="M355" t="s">
        <v>7644</v>
      </c>
      <c r="N355" t="s">
        <v>149</v>
      </c>
      <c r="O355" t="s">
        <v>7645</v>
      </c>
      <c r="P355" t="s">
        <v>7646</v>
      </c>
      <c r="Q355" t="s">
        <v>152</v>
      </c>
      <c r="R355" t="s">
        <v>7647</v>
      </c>
      <c r="S355" t="s">
        <v>7648</v>
      </c>
      <c r="T355" s="4" t="s">
        <v>7649</v>
      </c>
      <c r="U355" t="s">
        <v>7650</v>
      </c>
      <c r="V355" t="s">
        <v>7425</v>
      </c>
      <c r="W355" t="s">
        <v>2290</v>
      </c>
      <c r="Y355" t="s">
        <v>158</v>
      </c>
      <c r="Z355" t="s">
        <v>262</v>
      </c>
      <c r="AC355" s="3" t="str">
        <f>HYPERLINK("https://api.typeform.com/responses/files/f9c3a55acee8683b4dd0950e91bfbc3db0d0031d37676829e8a8782ef1272db7/IMG_4222.jpg")</f>
        <v>https://api.typeform.com/responses/files/f9c3a55acee8683b4dd0950e91bfbc3db0d0031d37676829e8a8782ef1272db7/IMG_4222.jpg</v>
      </c>
      <c r="AD355" t="s">
        <v>118</v>
      </c>
      <c r="AE355" t="s">
        <v>729</v>
      </c>
      <c r="AF355" t="s">
        <v>7651</v>
      </c>
      <c r="AG355">
        <v>16.0</v>
      </c>
      <c r="AH355" t="s">
        <v>5692</v>
      </c>
      <c r="AI355" t="s">
        <v>205</v>
      </c>
      <c r="AK355" t="s">
        <v>3534</v>
      </c>
      <c r="AL355" t="s">
        <v>7652</v>
      </c>
      <c r="AO355" t="s">
        <v>125</v>
      </c>
      <c r="AP355">
        <v>4.0</v>
      </c>
      <c r="AQ355" t="s">
        <v>126</v>
      </c>
      <c r="AR355" t="s">
        <v>7653</v>
      </c>
      <c r="AS355" t="b">
        <v>1</v>
      </c>
      <c r="AT355" t="b">
        <v>1</v>
      </c>
      <c r="AV355">
        <v>5.0</v>
      </c>
      <c r="AW355" t="b">
        <v>0</v>
      </c>
      <c r="AZ355" t="b">
        <v>0</v>
      </c>
      <c r="BA355" t="b">
        <v>1</v>
      </c>
      <c r="BB355" t="b">
        <v>0</v>
      </c>
      <c r="BC355" t="s">
        <v>7654</v>
      </c>
      <c r="BH355" t="s">
        <v>132</v>
      </c>
      <c r="BI355">
        <v>2.0</v>
      </c>
      <c r="BJ355" t="s">
        <v>7655</v>
      </c>
      <c r="BK355">
        <v>4.0</v>
      </c>
      <c r="BL355">
        <v>5.0</v>
      </c>
      <c r="BM355" t="s">
        <v>7653</v>
      </c>
      <c r="BN355">
        <v>4.0</v>
      </c>
      <c r="BO355">
        <v>3.0</v>
      </c>
      <c r="BP355" t="s">
        <v>7656</v>
      </c>
      <c r="BQ355" t="s">
        <v>7657</v>
      </c>
      <c r="BR355" t="s">
        <v>7658</v>
      </c>
      <c r="BS355" t="s">
        <v>7659</v>
      </c>
      <c r="BU355" t="s">
        <v>5966</v>
      </c>
      <c r="BV355" s="3" t="str">
        <f>HYPERLINK("https://api.typeform.com/responses/files/2bfc310cbf864c5ef9ed93aeb92bb4f02139430a84fc8458552ef1f1c86bac3c/MAHMOUD_AHMED___SPEAKHIRE_2021___Parent_Consent_Form.pdf")</f>
        <v>https://api.typeform.com/responses/files/2bfc310cbf864c5ef9ed93aeb92bb4f02139430a84fc8458552ef1f1c86bac3c/MAHMOUD_AHMED___SPEAKHIRE_2021___Parent_Consent_Form.pdf</v>
      </c>
      <c r="BW355" t="b">
        <v>1</v>
      </c>
      <c r="BX355" t="s">
        <v>1394</v>
      </c>
      <c r="BY355" t="s">
        <v>140</v>
      </c>
      <c r="CA355" t="s">
        <v>1395</v>
      </c>
      <c r="CD355">
        <v>0.0</v>
      </c>
      <c r="CF355" t="b">
        <v>1</v>
      </c>
      <c r="CG355" t="b">
        <v>1</v>
      </c>
      <c r="CH355" t="s">
        <v>7660</v>
      </c>
      <c r="CJ355" t="b">
        <v>1</v>
      </c>
      <c r="CK355" t="b">
        <v>1</v>
      </c>
      <c r="CL355" t="s">
        <v>163</v>
      </c>
      <c r="CM355" t="s">
        <v>163</v>
      </c>
      <c r="CO355" t="s">
        <v>124</v>
      </c>
      <c r="CQ355" t="s">
        <v>163</v>
      </c>
      <c r="CR355" t="b">
        <v>1</v>
      </c>
      <c r="CT355">
        <v>0.0</v>
      </c>
      <c r="CU355">
        <v>4.0</v>
      </c>
      <c r="CX355" t="s">
        <v>7661</v>
      </c>
      <c r="CZ355" s="5">
        <v>44546.68420138889</v>
      </c>
      <c r="DA355" t="s">
        <v>7662</v>
      </c>
    </row>
    <row r="356">
      <c r="A356" t="s">
        <v>98</v>
      </c>
      <c r="D356" t="s">
        <v>1612</v>
      </c>
      <c r="E356" t="s">
        <v>7663</v>
      </c>
      <c r="F356" s="2">
        <v>38686.0</v>
      </c>
      <c r="G356" t="s">
        <v>1360</v>
      </c>
      <c r="I356" s="3" t="str">
        <f>HYPERLINK("https://api.typeform.com/responses/files/07463e03d4540096d5efb0d581b6f9401510eb930bc233429e778c4d9cf62209/IMG_6093.PNG")</f>
        <v>https://api.typeform.com/responses/files/07463e03d4540096d5efb0d581b6f9401510eb930bc233429e778c4d9cf62209/IMG_6093.PNG</v>
      </c>
      <c r="J356" t="s">
        <v>7664</v>
      </c>
      <c r="K356" t="b">
        <v>1</v>
      </c>
      <c r="L356" s="4" t="s">
        <v>7665</v>
      </c>
      <c r="M356" t="s">
        <v>7666</v>
      </c>
      <c r="N356" t="s">
        <v>255</v>
      </c>
      <c r="P356" t="s">
        <v>7667</v>
      </c>
      <c r="Q356" t="s">
        <v>189</v>
      </c>
      <c r="R356" t="s">
        <v>7668</v>
      </c>
      <c r="S356" t="s">
        <v>7666</v>
      </c>
      <c r="T356" s="4" t="s">
        <v>7669</v>
      </c>
      <c r="U356" t="s">
        <v>7670</v>
      </c>
      <c r="V356" t="s">
        <v>7425</v>
      </c>
      <c r="W356" t="s">
        <v>2290</v>
      </c>
      <c r="Y356" t="s">
        <v>158</v>
      </c>
      <c r="Z356" t="s">
        <v>262</v>
      </c>
      <c r="AC356" s="3" t="str">
        <f>HYPERLINK("https://api.typeform.com/responses/files/5fdcdf85fccd99c643ef4105ccf6015f530e42e60db31dd2b3899eb594ea7c00/Screenshot_2021_12_16_10.49.32_AM.png")</f>
        <v>https://api.typeform.com/responses/files/5fdcdf85fccd99c643ef4105ccf6015f530e42e60db31dd2b3899eb594ea7c00/Screenshot_2021_12_16_10.49.32_AM.png</v>
      </c>
      <c r="AD356" t="s">
        <v>118</v>
      </c>
      <c r="AE356" t="s">
        <v>729</v>
      </c>
      <c r="AF356" t="s">
        <v>197</v>
      </c>
      <c r="AG356">
        <v>11.0</v>
      </c>
      <c r="AH356" t="s">
        <v>620</v>
      </c>
      <c r="AI356" t="s">
        <v>162</v>
      </c>
      <c r="AL356" t="s">
        <v>199</v>
      </c>
      <c r="AO356" t="s">
        <v>335</v>
      </c>
      <c r="AP356">
        <v>4.0</v>
      </c>
      <c r="AQ356" t="s">
        <v>126</v>
      </c>
      <c r="AR356" t="s">
        <v>7671</v>
      </c>
      <c r="AS356" t="b">
        <v>1</v>
      </c>
      <c r="AT356" t="b">
        <v>1</v>
      </c>
      <c r="AV356">
        <v>3.0</v>
      </c>
      <c r="AW356" t="b">
        <v>0</v>
      </c>
      <c r="AZ356" t="b">
        <v>1</v>
      </c>
      <c r="BA356" t="b">
        <v>0</v>
      </c>
      <c r="BD356" t="s">
        <v>1201</v>
      </c>
      <c r="BH356" t="s">
        <v>132</v>
      </c>
      <c r="BI356">
        <v>2.0</v>
      </c>
      <c r="BJ356" t="s">
        <v>5023</v>
      </c>
      <c r="BK356">
        <v>2.0</v>
      </c>
      <c r="BL356">
        <v>3.0</v>
      </c>
      <c r="BM356" t="s">
        <v>7672</v>
      </c>
      <c r="BN356">
        <v>3.0</v>
      </c>
      <c r="BO356">
        <v>3.0</v>
      </c>
      <c r="BP356" t="s">
        <v>7673</v>
      </c>
      <c r="BQ356" t="s">
        <v>7674</v>
      </c>
      <c r="BR356" t="s">
        <v>7675</v>
      </c>
      <c r="BS356" t="s">
        <v>7676</v>
      </c>
      <c r="BU356" t="s">
        <v>7677</v>
      </c>
      <c r="BV356" s="3" t="str">
        <f>HYPERLINK("https://api.typeform.com/responses/files/2fb3cfd721f4fc6dcb37ada7fd7230d11f738b10170184214fdaaa7aad0271a6/MARIALAURA_POLANCO_ESPINAL___SPEAKHIRE_2021___Parent_Consent_Form.pdf")</f>
        <v>https://api.typeform.com/responses/files/2fb3cfd721f4fc6dcb37ada7fd7230d11f738b10170184214fdaaa7aad0271a6/MARIALAURA_POLANCO_ESPINAL___SPEAKHIRE_2021___Parent_Consent_Form.pdf</v>
      </c>
      <c r="BW356" t="b">
        <v>1</v>
      </c>
      <c r="BX356" t="s">
        <v>1394</v>
      </c>
      <c r="BY356" t="s">
        <v>140</v>
      </c>
      <c r="CA356" t="s">
        <v>1395</v>
      </c>
      <c r="CD356">
        <v>0.0</v>
      </c>
      <c r="CF356" t="b">
        <v>1</v>
      </c>
      <c r="CG356" t="b">
        <v>1</v>
      </c>
      <c r="CH356" t="s">
        <v>128</v>
      </c>
      <c r="CJ356" t="b">
        <v>0</v>
      </c>
      <c r="CK356" t="b">
        <v>1</v>
      </c>
      <c r="CL356" t="s">
        <v>387</v>
      </c>
      <c r="CO356" t="s">
        <v>2500</v>
      </c>
      <c r="CR356" t="b">
        <v>1</v>
      </c>
      <c r="CT356">
        <v>3.0</v>
      </c>
      <c r="CU356">
        <v>2.0</v>
      </c>
      <c r="CX356" s="4" t="s">
        <v>7350</v>
      </c>
      <c r="CZ356" s="5">
        <v>44546.68444444444</v>
      </c>
      <c r="DA356" t="s">
        <v>7678</v>
      </c>
    </row>
    <row r="357">
      <c r="A357" t="s">
        <v>98</v>
      </c>
      <c r="D357" t="s">
        <v>7679</v>
      </c>
      <c r="E357" t="s">
        <v>7680</v>
      </c>
      <c r="F357" s="2">
        <v>38170.0</v>
      </c>
      <c r="G357" t="s">
        <v>1360</v>
      </c>
      <c r="I357" s="3" t="str">
        <f>HYPERLINK("https://api.typeform.com/responses/files/6b6906347415fe752bb8facb1ada5a2d79827fb20bc265d0f28beeaadfd6e861/eff59314_af8d_4b89_99b9_525e6f18603a.jpg")</f>
        <v>https://api.typeform.com/responses/files/6b6906347415fe752bb8facb1ada5a2d79827fb20bc265d0f28beeaadfd6e861/eff59314_af8d_4b89_99b9_525e6f18603a.jpg</v>
      </c>
      <c r="J357" t="s">
        <v>7681</v>
      </c>
      <c r="K357" t="b">
        <v>1</v>
      </c>
      <c r="L357" s="4" t="s">
        <v>7682</v>
      </c>
      <c r="M357" t="s">
        <v>7683</v>
      </c>
      <c r="N357" t="s">
        <v>255</v>
      </c>
      <c r="O357" t="s">
        <v>1014</v>
      </c>
      <c r="P357" t="s">
        <v>7684</v>
      </c>
      <c r="Q357" t="s">
        <v>189</v>
      </c>
      <c r="R357" t="s">
        <v>7685</v>
      </c>
      <c r="S357" t="s">
        <v>7683</v>
      </c>
      <c r="T357" s="4" t="s">
        <v>7686</v>
      </c>
      <c r="U357" t="s">
        <v>7687</v>
      </c>
      <c r="V357" t="s">
        <v>7688</v>
      </c>
      <c r="W357" t="s">
        <v>2290</v>
      </c>
      <c r="Y357" t="s">
        <v>158</v>
      </c>
      <c r="Z357" t="s">
        <v>262</v>
      </c>
      <c r="AC357" s="3" t="str">
        <f>HYPERLINK("https://api.typeform.com/responses/files/0ba391470333596d0d030f0cc097d812f365f43ca42b0c6955e15c37043b62e1/IMG_7020.jpg")</f>
        <v>https://api.typeform.com/responses/files/0ba391470333596d0d030f0cc097d812f365f43ca42b0c6955e15c37043b62e1/IMG_7020.jpg</v>
      </c>
      <c r="AD357" t="s">
        <v>118</v>
      </c>
      <c r="AE357" t="s">
        <v>729</v>
      </c>
      <c r="AF357" t="s">
        <v>2651</v>
      </c>
      <c r="AG357">
        <v>15.0</v>
      </c>
      <c r="AH357" t="s">
        <v>258</v>
      </c>
      <c r="AI357" t="s">
        <v>543</v>
      </c>
      <c r="AL357" t="s">
        <v>199</v>
      </c>
      <c r="AO357" t="s">
        <v>335</v>
      </c>
      <c r="AP357">
        <v>5.0</v>
      </c>
      <c r="AQ357" t="s">
        <v>126</v>
      </c>
      <c r="AR357" t="s">
        <v>7689</v>
      </c>
      <c r="AS357" t="b">
        <v>1</v>
      </c>
      <c r="AT357" t="b">
        <v>1</v>
      </c>
      <c r="AV357">
        <v>6.0</v>
      </c>
      <c r="AW357" t="b">
        <v>1</v>
      </c>
      <c r="AX357" t="s">
        <v>2797</v>
      </c>
      <c r="AY357" s="4" t="s">
        <v>518</v>
      </c>
      <c r="AZ357" t="b">
        <v>0</v>
      </c>
      <c r="BA357" t="b">
        <v>1</v>
      </c>
      <c r="BB357" t="b">
        <v>0</v>
      </c>
      <c r="BC357" t="s">
        <v>7690</v>
      </c>
      <c r="BH357" t="s">
        <v>132</v>
      </c>
      <c r="BI357">
        <v>4.0</v>
      </c>
      <c r="BJ357" t="s">
        <v>7691</v>
      </c>
      <c r="BK357">
        <v>5.0</v>
      </c>
      <c r="BL357">
        <v>4.0</v>
      </c>
      <c r="BM357" t="s">
        <v>7692</v>
      </c>
      <c r="BN357">
        <v>4.0</v>
      </c>
      <c r="BO357">
        <v>5.0</v>
      </c>
      <c r="BP357" t="s">
        <v>7693</v>
      </c>
      <c r="BQ357" t="s">
        <v>945</v>
      </c>
      <c r="BR357" t="s">
        <v>7694</v>
      </c>
      <c r="BS357" t="s">
        <v>7695</v>
      </c>
      <c r="BU357" t="s">
        <v>139</v>
      </c>
      <c r="BV357" s="3" t="str">
        <f>HYPERLINK("https://api.typeform.com/responses/files/493958484c8e28ef25d1df10f617f95cdbef654059b6b56e5e1f597ee76d864c/XILENA_TORIS_MORA___SPEAKHIRE_2021___Parent_Consent_Form.pdf")</f>
        <v>https://api.typeform.com/responses/files/493958484c8e28ef25d1df10f617f95cdbef654059b6b56e5e1f597ee76d864c/XILENA_TORIS_MORA___SPEAKHIRE_2021___Parent_Consent_Form.pdf</v>
      </c>
      <c r="BW357" t="b">
        <v>1</v>
      </c>
      <c r="BX357" t="s">
        <v>1394</v>
      </c>
      <c r="BY357" t="s">
        <v>140</v>
      </c>
      <c r="CA357" t="s">
        <v>1395</v>
      </c>
      <c r="CD357">
        <v>0.0</v>
      </c>
      <c r="CF357" t="b">
        <v>1</v>
      </c>
      <c r="CG357" t="b">
        <v>1</v>
      </c>
      <c r="CH357" t="s">
        <v>7696</v>
      </c>
      <c r="CJ357" t="b">
        <v>1</v>
      </c>
      <c r="CK357" t="b">
        <v>1</v>
      </c>
      <c r="CL357" t="s">
        <v>2301</v>
      </c>
      <c r="CO357" t="s">
        <v>200</v>
      </c>
      <c r="CR357" t="b">
        <v>1</v>
      </c>
      <c r="CT357">
        <v>2.0</v>
      </c>
      <c r="CU357">
        <v>1.0</v>
      </c>
      <c r="CX357" s="4" t="s">
        <v>3882</v>
      </c>
      <c r="CZ357" s="5">
        <v>44546.68583333334</v>
      </c>
      <c r="DA357" t="s">
        <v>7697</v>
      </c>
    </row>
    <row r="358">
      <c r="A358" t="s">
        <v>98</v>
      </c>
      <c r="D358" t="s">
        <v>4970</v>
      </c>
      <c r="E358" t="s">
        <v>6691</v>
      </c>
      <c r="F358" s="2">
        <v>38444.0</v>
      </c>
      <c r="G358" t="s">
        <v>1466</v>
      </c>
      <c r="I358" s="3" t="str">
        <f>HYPERLINK("https://api.typeform.com/responses/files/d4417c1d858637a2b9c2b20fae3e806569c86d22d560024396027091055f4ac6/B104E804_1E37_47A7_BF7B_9B414C64ED64.jpg")</f>
        <v>https://api.typeform.com/responses/files/d4417c1d858637a2b9c2b20fae3e806569c86d22d560024396027091055f4ac6/B104E804_1E37_47A7_BF7B_9B414C64ED64.jpg</v>
      </c>
      <c r="J358" t="s">
        <v>7698</v>
      </c>
      <c r="K358" t="b">
        <v>1</v>
      </c>
      <c r="L358" s="4" t="s">
        <v>7699</v>
      </c>
      <c r="M358" t="s">
        <v>7700</v>
      </c>
      <c r="N358" t="s">
        <v>255</v>
      </c>
      <c r="O358" t="s">
        <v>7701</v>
      </c>
      <c r="P358" t="s">
        <v>7702</v>
      </c>
      <c r="Q358" t="s">
        <v>152</v>
      </c>
      <c r="R358" t="s">
        <v>7703</v>
      </c>
      <c r="S358" t="s">
        <v>7700</v>
      </c>
      <c r="T358" s="4" t="s">
        <v>7704</v>
      </c>
      <c r="U358" t="s">
        <v>7705</v>
      </c>
      <c r="V358" t="s">
        <v>7706</v>
      </c>
      <c r="W358" t="s">
        <v>261</v>
      </c>
      <c r="Y358" t="s">
        <v>158</v>
      </c>
      <c r="Z358" t="s">
        <v>262</v>
      </c>
      <c r="AC358" s="3" t="str">
        <f>HYPERLINK("https://api.typeform.com/responses/files/52610d4a56ea17a9094968cb4ae438e6b618fcc33974996f484b943983ada06c/IMG_0188.jpg")</f>
        <v>https://api.typeform.com/responses/files/52610d4a56ea17a9094968cb4ae438e6b618fcc33974996f484b943983ada06c/IMG_0188.jpg</v>
      </c>
      <c r="AD358" t="s">
        <v>118</v>
      </c>
      <c r="AE358" t="s">
        <v>729</v>
      </c>
      <c r="AF358" t="s">
        <v>2651</v>
      </c>
      <c r="AG358">
        <v>12.0</v>
      </c>
      <c r="AH358" t="s">
        <v>546</v>
      </c>
      <c r="AI358" t="s">
        <v>162</v>
      </c>
      <c r="AK358" t="s">
        <v>546</v>
      </c>
      <c r="AL358" t="s">
        <v>199</v>
      </c>
      <c r="AO358" t="s">
        <v>125</v>
      </c>
      <c r="AP358">
        <v>1.0</v>
      </c>
      <c r="AQ358" t="s">
        <v>126</v>
      </c>
      <c r="AR358" t="s">
        <v>7707</v>
      </c>
      <c r="AS358" t="b">
        <v>1</v>
      </c>
      <c r="AT358" t="b">
        <v>0</v>
      </c>
      <c r="AV358">
        <v>4.0</v>
      </c>
      <c r="AW358" t="b">
        <v>0</v>
      </c>
      <c r="AZ358" t="b">
        <v>0</v>
      </c>
      <c r="BA358" t="b">
        <v>1</v>
      </c>
      <c r="BB358" t="b">
        <v>0</v>
      </c>
      <c r="BC358" t="s">
        <v>7708</v>
      </c>
      <c r="BH358" t="s">
        <v>132</v>
      </c>
      <c r="BI358">
        <v>1.0</v>
      </c>
      <c r="BJ358" t="s">
        <v>546</v>
      </c>
      <c r="BK358">
        <v>4.0</v>
      </c>
      <c r="BL358">
        <v>4.0</v>
      </c>
      <c r="BM358" t="s">
        <v>7709</v>
      </c>
      <c r="BN358">
        <v>4.0</v>
      </c>
      <c r="BO358">
        <v>7.0</v>
      </c>
      <c r="BP358" t="s">
        <v>7710</v>
      </c>
      <c r="BQ358" t="s">
        <v>7711</v>
      </c>
      <c r="BR358" t="s">
        <v>7712</v>
      </c>
      <c r="BS358" t="s">
        <v>7713</v>
      </c>
      <c r="BU358" t="s">
        <v>546</v>
      </c>
      <c r="BV358" s="3" t="str">
        <f>HYPERLINK("https://api.typeform.com/responses/files/ac311ce8243a91e547f5367c5022f53138927a164f112207fd3e1dbfa090415f/SPEAKHIRE_Parent.Guardian_Consent_Form.pdf")</f>
        <v>https://api.typeform.com/responses/files/ac311ce8243a91e547f5367c5022f53138927a164f112207fd3e1dbfa090415f/SPEAKHIRE_Parent.Guardian_Consent_Form.pdf</v>
      </c>
      <c r="BW358" t="b">
        <v>1</v>
      </c>
      <c r="BX358" t="s">
        <v>1394</v>
      </c>
      <c r="BY358" t="s">
        <v>140</v>
      </c>
      <c r="CA358" t="s">
        <v>1395</v>
      </c>
      <c r="CD358">
        <v>0.0</v>
      </c>
      <c r="CF358" t="b">
        <v>0</v>
      </c>
      <c r="CG358" t="b">
        <v>0</v>
      </c>
      <c r="CH358" t="s">
        <v>546</v>
      </c>
      <c r="CJ358" t="b">
        <v>0</v>
      </c>
      <c r="CK358" t="b">
        <v>0</v>
      </c>
      <c r="CL358" t="s">
        <v>2301</v>
      </c>
      <c r="CM358" t="s">
        <v>1489</v>
      </c>
      <c r="CO358" t="s">
        <v>388</v>
      </c>
      <c r="CR358" t="b">
        <v>1</v>
      </c>
      <c r="CT358">
        <v>0.0</v>
      </c>
      <c r="CU358">
        <v>0.0</v>
      </c>
      <c r="CX358" s="4" t="s">
        <v>3933</v>
      </c>
      <c r="CZ358" s="5">
        <v>44546.698379629626</v>
      </c>
      <c r="DA358" t="s">
        <v>7714</v>
      </c>
    </row>
    <row r="359">
      <c r="A359" t="s">
        <v>98</v>
      </c>
      <c r="D359" t="s">
        <v>7715</v>
      </c>
      <c r="E359" t="s">
        <v>4279</v>
      </c>
      <c r="F359" s="2">
        <v>38633.0</v>
      </c>
      <c r="G359" t="s">
        <v>1360</v>
      </c>
      <c r="I359" s="3" t="str">
        <f>HYPERLINK("https://api.typeform.com/responses/files/890aed8c34542756f0b2ceacab56e22e1340ec8dd1160e5277f1a350ebf530c1/WhatsApp_Image_2021_12_16_at_11.57.47_AM.jpeg")</f>
        <v>https://api.typeform.com/responses/files/890aed8c34542756f0b2ceacab56e22e1340ec8dd1160e5277f1a350ebf530c1/WhatsApp_Image_2021_12_16_at_11.57.47_AM.jpeg</v>
      </c>
      <c r="J359" t="s">
        <v>7716</v>
      </c>
      <c r="K359" t="b">
        <v>1</v>
      </c>
      <c r="L359" s="4" t="s">
        <v>7717</v>
      </c>
      <c r="M359" t="s">
        <v>7718</v>
      </c>
      <c r="N359" t="s">
        <v>255</v>
      </c>
      <c r="O359" t="s">
        <v>7719</v>
      </c>
      <c r="P359" t="s">
        <v>7720</v>
      </c>
      <c r="Q359" t="s">
        <v>189</v>
      </c>
      <c r="R359" t="s">
        <v>7721</v>
      </c>
      <c r="S359" t="s">
        <v>7718</v>
      </c>
      <c r="T359" s="4" t="s">
        <v>7722</v>
      </c>
      <c r="U359" t="s">
        <v>7723</v>
      </c>
      <c r="V359" t="s">
        <v>7724</v>
      </c>
      <c r="W359" t="s">
        <v>2290</v>
      </c>
      <c r="Y359" t="s">
        <v>158</v>
      </c>
      <c r="Z359" t="s">
        <v>262</v>
      </c>
      <c r="AC359" s="3" t="str">
        <f>HYPERLINK("https://api.typeform.com/responses/files/d4a6d4c9e207d9eb181f1093ad7b8230d7bc754c86b2489a2e4150b594cd5b81/WhatsApp_Image_2021_12_16_at_12.05.21_PM.jpeg")</f>
        <v>https://api.typeform.com/responses/files/d4a6d4c9e207d9eb181f1093ad7b8230d7bc754c86b2489a2e4150b594cd5b81/WhatsApp_Image_2021_12_16_at_12.05.21_PM.jpeg</v>
      </c>
      <c r="AD359" t="s">
        <v>118</v>
      </c>
      <c r="AE359" t="s">
        <v>729</v>
      </c>
      <c r="AF359" t="s">
        <v>7725</v>
      </c>
      <c r="AG359">
        <v>13.0</v>
      </c>
      <c r="AH359" s="4" t="s">
        <v>130</v>
      </c>
      <c r="AI359" t="s">
        <v>543</v>
      </c>
      <c r="AL359" t="s">
        <v>199</v>
      </c>
      <c r="AO359" t="s">
        <v>335</v>
      </c>
      <c r="AP359">
        <v>7.0</v>
      </c>
      <c r="AQ359" t="s">
        <v>303</v>
      </c>
      <c r="AR359" t="s">
        <v>7726</v>
      </c>
      <c r="AS359" t="b">
        <v>0</v>
      </c>
      <c r="AV359">
        <v>7.0</v>
      </c>
      <c r="AW359" t="b">
        <v>0</v>
      </c>
      <c r="AZ359" t="b">
        <v>0</v>
      </c>
      <c r="BA359" t="b">
        <v>0</v>
      </c>
      <c r="BD359" t="s">
        <v>7727</v>
      </c>
      <c r="BH359" t="s">
        <v>132</v>
      </c>
      <c r="BI359">
        <v>7.0</v>
      </c>
      <c r="BJ359" t="s">
        <v>7728</v>
      </c>
      <c r="BK359">
        <v>7.0</v>
      </c>
      <c r="BL359">
        <v>7.0</v>
      </c>
      <c r="BM359" t="s">
        <v>7729</v>
      </c>
      <c r="BN359">
        <v>4.0</v>
      </c>
      <c r="BO359">
        <v>6.0</v>
      </c>
      <c r="BP359" t="s">
        <v>7730</v>
      </c>
      <c r="BQ359" t="s">
        <v>945</v>
      </c>
      <c r="BR359" t="s">
        <v>7731</v>
      </c>
      <c r="BS359" t="s">
        <v>7732</v>
      </c>
      <c r="BU359" t="s">
        <v>7733</v>
      </c>
      <c r="BV359" s="3" t="str">
        <f>HYPERLINK("https://api.typeform.com/responses/files/17dc8ea4b7a07a883e46a5844024d8624cf1a795afc134b78db5a21d8bc3c294/PAULA_ARIAS___SPEAKHIRE_2021___Parent_Consent_Form.docx")</f>
        <v>https://api.typeform.com/responses/files/17dc8ea4b7a07a883e46a5844024d8624cf1a795afc134b78db5a21d8bc3c294/PAULA_ARIAS___SPEAKHIRE_2021___Parent_Consent_Form.docx</v>
      </c>
      <c r="BW359" t="b">
        <v>1</v>
      </c>
      <c r="BX359" t="s">
        <v>1394</v>
      </c>
      <c r="BY359" t="s">
        <v>140</v>
      </c>
      <c r="CA359" t="s">
        <v>1395</v>
      </c>
      <c r="CD359">
        <v>0.0</v>
      </c>
      <c r="CF359" t="b">
        <v>1</v>
      </c>
      <c r="CG359" t="b">
        <v>1</v>
      </c>
      <c r="CH359" t="s">
        <v>7734</v>
      </c>
      <c r="CJ359" t="b">
        <v>1</v>
      </c>
      <c r="CK359" t="b">
        <v>1</v>
      </c>
      <c r="CL359" t="s">
        <v>2301</v>
      </c>
      <c r="CO359" t="s">
        <v>2500</v>
      </c>
      <c r="CR359" t="b">
        <v>1</v>
      </c>
      <c r="CT359">
        <v>0.0</v>
      </c>
      <c r="CU359">
        <v>0.0</v>
      </c>
      <c r="CX359" s="4" t="s">
        <v>2914</v>
      </c>
      <c r="CZ359" s="5">
        <v>44546.73763888889</v>
      </c>
      <c r="DA359" t="s">
        <v>7735</v>
      </c>
    </row>
    <row r="360">
      <c r="A360" t="s">
        <v>98</v>
      </c>
      <c r="D360" t="s">
        <v>4620</v>
      </c>
      <c r="E360" t="s">
        <v>7736</v>
      </c>
      <c r="F360" s="2">
        <v>38051.0</v>
      </c>
      <c r="G360" t="s">
        <v>1466</v>
      </c>
      <c r="I360" s="3" t="str">
        <f>HYPERLINK("https://api.typeform.com/responses/files/d3787bf092a7ab1e757807e2ac3fab5b8629c5220cbab38f422c6b172a63df42/IMG_20211214_131853.jpg")</f>
        <v>https://api.typeform.com/responses/files/d3787bf092a7ab1e757807e2ac3fab5b8629c5220cbab38f422c6b172a63df42/IMG_20211214_131853.jpg</v>
      </c>
      <c r="J360" t="s">
        <v>7737</v>
      </c>
      <c r="K360" t="b">
        <v>1</v>
      </c>
      <c r="L360" s="4" t="s">
        <v>7738</v>
      </c>
      <c r="M360" t="s">
        <v>7739</v>
      </c>
      <c r="N360" t="s">
        <v>255</v>
      </c>
      <c r="O360" t="s">
        <v>7740</v>
      </c>
      <c r="P360" t="s">
        <v>7741</v>
      </c>
      <c r="Q360" t="s">
        <v>189</v>
      </c>
      <c r="R360" t="s">
        <v>7742</v>
      </c>
      <c r="S360" t="s">
        <v>7743</v>
      </c>
      <c r="T360" s="4" t="s">
        <v>7744</v>
      </c>
      <c r="U360" t="s">
        <v>7547</v>
      </c>
      <c r="V360" t="s">
        <v>7745</v>
      </c>
      <c r="W360" t="s">
        <v>2290</v>
      </c>
      <c r="Y360" t="s">
        <v>158</v>
      </c>
      <c r="Z360" t="s">
        <v>262</v>
      </c>
      <c r="AC360" s="3" t="str">
        <f>HYPERLINK("https://api.typeform.com/responses/files/216e62cdce40342a71d84ea4fe264a5bc514cc3b0dd83ac8ade2283d0fed967a/Screen_Shot_2021_12_16_at_11.19.20_AM.png")</f>
        <v>https://api.typeform.com/responses/files/216e62cdce40342a71d84ea4fe264a5bc514cc3b0dd83ac8ade2283d0fed967a/Screen_Shot_2021_12_16_at_11.19.20_AM.png</v>
      </c>
      <c r="AD360" t="s">
        <v>118</v>
      </c>
      <c r="AE360" t="s">
        <v>3349</v>
      </c>
      <c r="AF360" t="s">
        <v>4631</v>
      </c>
      <c r="AG360">
        <v>11.0</v>
      </c>
      <c r="AH360" s="4" t="s">
        <v>547</v>
      </c>
      <c r="AI360" t="s">
        <v>205</v>
      </c>
      <c r="AK360" t="s">
        <v>139</v>
      </c>
      <c r="AL360" t="s">
        <v>1546</v>
      </c>
      <c r="AO360" t="s">
        <v>335</v>
      </c>
      <c r="AP360">
        <v>3.0</v>
      </c>
      <c r="AQ360" t="s">
        <v>126</v>
      </c>
      <c r="AR360" t="s">
        <v>7746</v>
      </c>
      <c r="AS360" t="b">
        <v>1</v>
      </c>
      <c r="AT360" t="b">
        <v>0</v>
      </c>
      <c r="AV360">
        <v>2.0</v>
      </c>
      <c r="AW360" t="b">
        <v>0</v>
      </c>
      <c r="AZ360" t="b">
        <v>0</v>
      </c>
      <c r="BA360" t="b">
        <v>0</v>
      </c>
      <c r="BD360" t="s">
        <v>7747</v>
      </c>
      <c r="BH360" t="s">
        <v>132</v>
      </c>
      <c r="BI360">
        <v>1.0</v>
      </c>
      <c r="BJ360" s="4" t="s">
        <v>130</v>
      </c>
      <c r="BK360">
        <v>1.0</v>
      </c>
      <c r="BL360">
        <v>2.0</v>
      </c>
      <c r="BM360" t="s">
        <v>7748</v>
      </c>
      <c r="BN360">
        <v>2.0</v>
      </c>
      <c r="BO360">
        <v>2.0</v>
      </c>
      <c r="BP360" t="s">
        <v>7749</v>
      </c>
      <c r="BQ360" t="s">
        <v>4618</v>
      </c>
      <c r="BR360" t="s">
        <v>7750</v>
      </c>
      <c r="BS360" t="s">
        <v>7751</v>
      </c>
      <c r="BU360" t="s">
        <v>139</v>
      </c>
      <c r="BV360" s="3" t="str">
        <f>HYPERLINK("https://api.typeform.com/responses/files/29b53908b2ceee8053b1def9788037429191d6a26caf7afac52905b17559466a/Screen_Shot_2021_12_16_at_11.19.20_AM.png")</f>
        <v>https://api.typeform.com/responses/files/29b53908b2ceee8053b1def9788037429191d6a26caf7afac52905b17559466a/Screen_Shot_2021_12_16_at_11.19.20_AM.png</v>
      </c>
      <c r="BW360" t="b">
        <v>1</v>
      </c>
      <c r="BX360" t="s">
        <v>1394</v>
      </c>
      <c r="BY360" t="s">
        <v>822</v>
      </c>
      <c r="BZ360" t="s">
        <v>1419</v>
      </c>
      <c r="CD360">
        <v>0.0</v>
      </c>
      <c r="CF360" t="b">
        <v>1</v>
      </c>
      <c r="CG360" t="b">
        <v>1</v>
      </c>
      <c r="CH360" t="s">
        <v>1935</v>
      </c>
      <c r="CJ360" t="b">
        <v>1</v>
      </c>
      <c r="CK360" t="b">
        <v>1</v>
      </c>
      <c r="CL360" t="s">
        <v>2301</v>
      </c>
      <c r="CO360" t="s">
        <v>3491</v>
      </c>
      <c r="CR360" t="b">
        <v>1</v>
      </c>
      <c r="CT360">
        <v>0.0</v>
      </c>
      <c r="CU360">
        <v>0.0</v>
      </c>
      <c r="CX360" s="4" t="s">
        <v>7350</v>
      </c>
      <c r="CZ360" s="5">
        <v>44546.74559027778</v>
      </c>
      <c r="DA360" t="s">
        <v>7752</v>
      </c>
    </row>
    <row r="361">
      <c r="A361" t="s">
        <v>98</v>
      </c>
      <c r="D361" t="s">
        <v>7753</v>
      </c>
      <c r="E361" t="s">
        <v>7754</v>
      </c>
      <c r="F361" s="2">
        <v>37879.0</v>
      </c>
      <c r="G361" t="s">
        <v>1360</v>
      </c>
      <c r="I361" s="3" t="str">
        <f>HYPERLINK("https://api.typeform.com/responses/files/0db61fe50c2fca172b15cd1abc3169e14ae48f8379cb1b20e18c845b894890b2/IMG_20211216_123424.jpg")</f>
        <v>https://api.typeform.com/responses/files/0db61fe50c2fca172b15cd1abc3169e14ae48f8379cb1b20e18c845b894890b2/IMG_20211216_123424.jpg</v>
      </c>
      <c r="J361" t="s">
        <v>7755</v>
      </c>
      <c r="K361" t="b">
        <v>1</v>
      </c>
      <c r="L361" s="4" t="s">
        <v>7756</v>
      </c>
      <c r="M361" t="s">
        <v>7757</v>
      </c>
      <c r="N361" t="s">
        <v>255</v>
      </c>
      <c r="O361" t="s">
        <v>7758</v>
      </c>
      <c r="P361" t="s">
        <v>7759</v>
      </c>
      <c r="Q361" t="s">
        <v>189</v>
      </c>
      <c r="R361" t="s">
        <v>7755</v>
      </c>
      <c r="S361" t="s">
        <v>7760</v>
      </c>
      <c r="T361" s="4" t="s">
        <v>7761</v>
      </c>
      <c r="U361" t="s">
        <v>7762</v>
      </c>
      <c r="V361" t="s">
        <v>7763</v>
      </c>
      <c r="W361" t="s">
        <v>261</v>
      </c>
      <c r="Y361" t="s">
        <v>158</v>
      </c>
      <c r="Z361" t="s">
        <v>159</v>
      </c>
      <c r="AC361" s="3" t="str">
        <f>HYPERLINK("https://api.typeform.com/responses/files/b2cf6691c5d0bce1ae1ba6c63bab3b995183de1c4d3ef18eda70770c178ad5ad/notavailable.jpg")</f>
        <v>https://api.typeform.com/responses/files/b2cf6691c5d0bce1ae1ba6c63bab3b995183de1c4d3ef18eda70770c178ad5ad/notavailable.jpg</v>
      </c>
      <c r="AD361" t="s">
        <v>118</v>
      </c>
      <c r="AE361" t="s">
        <v>1220</v>
      </c>
      <c r="AF361" t="s">
        <v>197</v>
      </c>
      <c r="AG361">
        <v>0.0</v>
      </c>
      <c r="AH361" s="4" t="s">
        <v>4230</v>
      </c>
      <c r="AI361" t="s">
        <v>121</v>
      </c>
      <c r="AK361" t="s">
        <v>7764</v>
      </c>
      <c r="AL361" t="s">
        <v>967</v>
      </c>
      <c r="AO361" t="s">
        <v>335</v>
      </c>
      <c r="AP361">
        <v>7.0</v>
      </c>
      <c r="AQ361" t="s">
        <v>1520</v>
      </c>
      <c r="AR361" t="s">
        <v>4160</v>
      </c>
      <c r="AS361" t="b">
        <v>1</v>
      </c>
      <c r="AT361" t="b">
        <v>1</v>
      </c>
      <c r="AV361">
        <v>7.0</v>
      </c>
      <c r="AW361" t="b">
        <v>1</v>
      </c>
      <c r="AX361" s="4" t="s">
        <v>1521</v>
      </c>
      <c r="AY361" t="s">
        <v>1045</v>
      </c>
      <c r="AZ361" t="b">
        <v>1</v>
      </c>
      <c r="BA361" t="b">
        <v>1</v>
      </c>
      <c r="BB361" t="b">
        <v>1</v>
      </c>
      <c r="BC361" t="s">
        <v>7765</v>
      </c>
      <c r="BH361" t="s">
        <v>132</v>
      </c>
      <c r="BI361">
        <v>7.0</v>
      </c>
      <c r="BJ361" t="s">
        <v>7766</v>
      </c>
      <c r="BK361">
        <v>7.0</v>
      </c>
      <c r="BL361">
        <v>7.0</v>
      </c>
      <c r="BM361" t="s">
        <v>7767</v>
      </c>
      <c r="BN361">
        <v>7.0</v>
      </c>
      <c r="BO361">
        <v>7.0</v>
      </c>
      <c r="BP361" t="s">
        <v>7768</v>
      </c>
      <c r="BQ361" t="s">
        <v>6831</v>
      </c>
      <c r="BR361" t="s">
        <v>7769</v>
      </c>
      <c r="BS361" t="s">
        <v>7770</v>
      </c>
      <c r="BU361" t="s">
        <v>7764</v>
      </c>
      <c r="BV361" s="3" t="str">
        <f>HYPERLINK("https://api.typeform.com/responses/files/bbb32d1c34fd9d73325aa5b5fbfb65b7c870507c1f0185f251a794ca791fe3c2/notavailable.jpg")</f>
        <v>https://api.typeform.com/responses/files/bbb32d1c34fd9d73325aa5b5fbfb65b7c870507c1f0185f251a794ca791fe3c2/notavailable.jpg</v>
      </c>
      <c r="BW361" t="b">
        <v>1</v>
      </c>
      <c r="BX361" t="s">
        <v>1394</v>
      </c>
      <c r="BY361" t="s">
        <v>140</v>
      </c>
      <c r="CA361" t="s">
        <v>1395</v>
      </c>
      <c r="CD361">
        <v>0.0</v>
      </c>
      <c r="CF361" t="b">
        <v>1</v>
      </c>
      <c r="CG361" t="b">
        <v>1</v>
      </c>
      <c r="CH361" t="s">
        <v>1935</v>
      </c>
      <c r="CJ361" t="b">
        <v>1</v>
      </c>
      <c r="CK361" t="b">
        <v>1</v>
      </c>
      <c r="CL361" t="s">
        <v>198</v>
      </c>
      <c r="CM361" t="s">
        <v>541</v>
      </c>
      <c r="CO361" t="s">
        <v>388</v>
      </c>
      <c r="CR361" t="b">
        <v>1</v>
      </c>
      <c r="CT361">
        <v>6.0</v>
      </c>
      <c r="CU361">
        <v>10.0</v>
      </c>
      <c r="CX361" s="4" t="s">
        <v>2914</v>
      </c>
      <c r="CZ361" s="5">
        <v>44546.748252314814</v>
      </c>
      <c r="DA361" t="s">
        <v>7771</v>
      </c>
    </row>
    <row r="362">
      <c r="A362" t="s">
        <v>98</v>
      </c>
      <c r="D362" t="s">
        <v>4152</v>
      </c>
      <c r="E362" t="s">
        <v>7772</v>
      </c>
      <c r="F362" s="2">
        <v>38149.0</v>
      </c>
      <c r="G362" t="s">
        <v>1466</v>
      </c>
      <c r="I362" s="3" t="str">
        <f>HYPERLINK("https://api.typeform.com/responses/files/57c24218554b7103575e33578f3c0b6abf01ff1f85727343fec8aa1c88bbd3d0/IMG_0024.jpg")</f>
        <v>https://api.typeform.com/responses/files/57c24218554b7103575e33578f3c0b6abf01ff1f85727343fec8aa1c88bbd3d0/IMG_0024.jpg</v>
      </c>
      <c r="J362" t="s">
        <v>7773</v>
      </c>
      <c r="K362" t="b">
        <v>1</v>
      </c>
      <c r="L362" s="4" t="s">
        <v>7774</v>
      </c>
      <c r="M362" t="s">
        <v>7775</v>
      </c>
      <c r="N362" t="s">
        <v>149</v>
      </c>
      <c r="P362" t="s">
        <v>7776</v>
      </c>
      <c r="Q362" t="s">
        <v>189</v>
      </c>
      <c r="R362" t="s">
        <v>7777</v>
      </c>
      <c r="S362" t="s">
        <v>7775</v>
      </c>
      <c r="T362" s="4" t="s">
        <v>7778</v>
      </c>
      <c r="U362" t="s">
        <v>7779</v>
      </c>
      <c r="V362" t="s">
        <v>7780</v>
      </c>
      <c r="W362" t="s">
        <v>261</v>
      </c>
      <c r="Y362" t="s">
        <v>158</v>
      </c>
      <c r="Z362" t="s">
        <v>262</v>
      </c>
      <c r="AC362" s="3" t="str">
        <f>HYPERLINK("https://api.typeform.com/responses/files/a0c5108154030d3864d72e2d795fa3fcbf529741700fd7ea71f32849b5dd8df6/IMG_0024.jpg")</f>
        <v>https://api.typeform.com/responses/files/a0c5108154030d3864d72e2d795fa3fcbf529741700fd7ea71f32849b5dd8df6/IMG_0024.jpg</v>
      </c>
      <c r="AD362" t="s">
        <v>118</v>
      </c>
      <c r="AE362" t="s">
        <v>729</v>
      </c>
      <c r="AF362" t="s">
        <v>2874</v>
      </c>
      <c r="AG362">
        <v>9.0</v>
      </c>
      <c r="AH362" t="s">
        <v>7781</v>
      </c>
      <c r="AI362" t="s">
        <v>162</v>
      </c>
      <c r="AK362" t="s">
        <v>7782</v>
      </c>
      <c r="AL362" t="s">
        <v>1043</v>
      </c>
      <c r="AO362" t="s">
        <v>335</v>
      </c>
      <c r="AP362">
        <v>7.0</v>
      </c>
      <c r="AQ362" t="s">
        <v>303</v>
      </c>
      <c r="AR362" t="s">
        <v>3484</v>
      </c>
      <c r="AS362" t="b">
        <v>1</v>
      </c>
      <c r="AT362" t="b">
        <v>1</v>
      </c>
      <c r="AV362">
        <v>7.0</v>
      </c>
      <c r="AW362" t="b">
        <v>1</v>
      </c>
      <c r="AX362" t="s">
        <v>1902</v>
      </c>
      <c r="AY362" s="4" t="s">
        <v>518</v>
      </c>
      <c r="AZ362" t="b">
        <v>1</v>
      </c>
      <c r="BA362" t="b">
        <v>1</v>
      </c>
      <c r="BB362" t="b">
        <v>1</v>
      </c>
      <c r="BC362" t="s">
        <v>7783</v>
      </c>
      <c r="BH362" t="s">
        <v>132</v>
      </c>
      <c r="BI362">
        <v>7.0</v>
      </c>
      <c r="BJ362" t="s">
        <v>7784</v>
      </c>
      <c r="BK362">
        <v>4.0</v>
      </c>
      <c r="BL362">
        <v>6.0</v>
      </c>
      <c r="BM362" t="s">
        <v>7785</v>
      </c>
      <c r="BN362">
        <v>7.0</v>
      </c>
      <c r="BO362">
        <v>7.0</v>
      </c>
      <c r="BP362" t="s">
        <v>7786</v>
      </c>
      <c r="BQ362" t="s">
        <v>5233</v>
      </c>
      <c r="BR362" t="s">
        <v>7787</v>
      </c>
      <c r="BS362" t="s">
        <v>7788</v>
      </c>
      <c r="BU362" t="s">
        <v>7789</v>
      </c>
      <c r="BV362" s="3" t="str">
        <f>HYPERLINK("https://api.typeform.com/responses/files/759313c4981b83b6e34c76a8145a51c4303fd0740839e68574e2c63af512dff8/IMG_0024.jpg")</f>
        <v>https://api.typeform.com/responses/files/759313c4981b83b6e34c76a8145a51c4303fd0740839e68574e2c63af512dff8/IMG_0024.jpg</v>
      </c>
      <c r="BW362" t="b">
        <v>1</v>
      </c>
      <c r="BX362" t="s">
        <v>1394</v>
      </c>
      <c r="BY362" t="s">
        <v>140</v>
      </c>
      <c r="CA362" t="s">
        <v>1395</v>
      </c>
      <c r="CD362">
        <v>0.0</v>
      </c>
      <c r="CF362" t="b">
        <v>1</v>
      </c>
      <c r="CG362" t="b">
        <v>1</v>
      </c>
      <c r="CH362" t="s">
        <v>7790</v>
      </c>
      <c r="CJ362" t="b">
        <v>1</v>
      </c>
      <c r="CK362" t="b">
        <v>0</v>
      </c>
      <c r="CL362" t="s">
        <v>198</v>
      </c>
      <c r="CO362" t="s">
        <v>2888</v>
      </c>
      <c r="CR362" t="b">
        <v>1</v>
      </c>
      <c r="CT362">
        <v>2.0</v>
      </c>
      <c r="CU362">
        <v>5.0</v>
      </c>
      <c r="CX362" t="s">
        <v>3585</v>
      </c>
      <c r="CZ362" s="5">
        <v>44546.75163194445</v>
      </c>
      <c r="DA362" t="s">
        <v>7791</v>
      </c>
    </row>
    <row r="363">
      <c r="A363" t="s">
        <v>98</v>
      </c>
      <c r="D363" t="s">
        <v>7792</v>
      </c>
      <c r="E363" t="s">
        <v>7793</v>
      </c>
      <c r="F363" s="2">
        <v>38887.0</v>
      </c>
      <c r="G363" t="s">
        <v>1360</v>
      </c>
      <c r="I363" s="3" t="str">
        <f>HYPERLINK("https://api.typeform.com/responses/files/df438d99767eb85db61a7f15d131749f7ce7e5cf378662f4de456d95f3573631/Screen_Shot_2021_10_06_at_2.37.55_PM.png")</f>
        <v>https://api.typeform.com/responses/files/df438d99767eb85db61a7f15d131749f7ce7e5cf378662f4de456d95f3573631/Screen_Shot_2021_10_06_at_2.37.55_PM.png</v>
      </c>
      <c r="J363" t="s">
        <v>7794</v>
      </c>
      <c r="K363" t="b">
        <v>1</v>
      </c>
      <c r="L363" s="4" t="s">
        <v>7795</v>
      </c>
      <c r="M363" t="s">
        <v>7796</v>
      </c>
      <c r="N363" t="s">
        <v>255</v>
      </c>
      <c r="P363" t="s">
        <v>7797</v>
      </c>
      <c r="Q363" t="s">
        <v>152</v>
      </c>
      <c r="R363" t="s">
        <v>7798</v>
      </c>
      <c r="S363" t="s">
        <v>7799</v>
      </c>
      <c r="T363" s="4" t="s">
        <v>7800</v>
      </c>
      <c r="U363" t="s">
        <v>7801</v>
      </c>
      <c r="V363" t="s">
        <v>7802</v>
      </c>
      <c r="W363" t="s">
        <v>1412</v>
      </c>
      <c r="Y363" t="s">
        <v>158</v>
      </c>
      <c r="Z363" t="s">
        <v>195</v>
      </c>
      <c r="AC363" s="3" t="str">
        <f>HYPERLINK("https://api.typeform.com/responses/files/e941b25d0dc44e1e9500d9bbc0af3643fcee5bdc09d71fb1e33be5f8663fbc5a/Screen_Shot_2021_10_06_at_2.37.55_PM.png")</f>
        <v>https://api.typeform.com/responses/files/e941b25d0dc44e1e9500d9bbc0af3643fcee5bdc09d71fb1e33be5f8663fbc5a/Screen_Shot_2021_10_06_at_2.37.55_PM.png</v>
      </c>
      <c r="AD363" t="s">
        <v>118</v>
      </c>
      <c r="AE363" t="s">
        <v>4219</v>
      </c>
      <c r="AF363" t="s">
        <v>7803</v>
      </c>
      <c r="AG363">
        <v>10.0</v>
      </c>
      <c r="AH363" t="s">
        <v>6536</v>
      </c>
      <c r="AI363" t="s">
        <v>205</v>
      </c>
      <c r="AK363" t="s">
        <v>7804</v>
      </c>
      <c r="AL363" t="s">
        <v>2490</v>
      </c>
      <c r="AO363" t="s">
        <v>125</v>
      </c>
      <c r="AP363">
        <v>4.0</v>
      </c>
      <c r="AQ363" t="s">
        <v>303</v>
      </c>
      <c r="AR363" t="s">
        <v>7805</v>
      </c>
      <c r="AS363" t="b">
        <v>1</v>
      </c>
      <c r="AT363" t="b">
        <v>1</v>
      </c>
      <c r="AV363">
        <v>7.0</v>
      </c>
      <c r="AW363" t="b">
        <v>1</v>
      </c>
      <c r="AX363" t="s">
        <v>1902</v>
      </c>
      <c r="AY363" s="4" t="s">
        <v>170</v>
      </c>
      <c r="AZ363" t="b">
        <v>0</v>
      </c>
      <c r="BA363" t="b">
        <v>0</v>
      </c>
      <c r="BD363" t="s">
        <v>7806</v>
      </c>
      <c r="BH363" t="s">
        <v>132</v>
      </c>
      <c r="BI363">
        <v>7.0</v>
      </c>
      <c r="BJ363" t="s">
        <v>7807</v>
      </c>
      <c r="BK363">
        <v>7.0</v>
      </c>
      <c r="BL363">
        <v>7.0</v>
      </c>
      <c r="BM363" t="s">
        <v>7808</v>
      </c>
      <c r="BN363">
        <v>7.0</v>
      </c>
      <c r="BO363">
        <v>7.0</v>
      </c>
      <c r="BP363" t="s">
        <v>7809</v>
      </c>
      <c r="BQ363" t="s">
        <v>7810</v>
      </c>
      <c r="BR363" t="s">
        <v>7811</v>
      </c>
      <c r="BS363" t="s">
        <v>7812</v>
      </c>
      <c r="BU363" t="s">
        <v>4299</v>
      </c>
      <c r="BV363" s="3" t="str">
        <f>HYPERLINK("https://api.typeform.com/responses/files/4728ed7ac20f8f4946a693c3e8cf4910caf6a08ddcdcded87cb5a8a4b9f22971/Screen_Shot_2021_10_06_at_2.37.55_PM.png")</f>
        <v>https://api.typeform.com/responses/files/4728ed7ac20f8f4946a693c3e8cf4910caf6a08ddcdcded87cb5a8a4b9f22971/Screen_Shot_2021_10_06_at_2.37.55_PM.png</v>
      </c>
      <c r="BW363" t="b">
        <v>1</v>
      </c>
      <c r="BX363" t="s">
        <v>1394</v>
      </c>
      <c r="BY363" t="s">
        <v>140</v>
      </c>
      <c r="CA363" t="s">
        <v>1395</v>
      </c>
      <c r="CD363">
        <v>0.0</v>
      </c>
      <c r="CF363" t="b">
        <v>1</v>
      </c>
      <c r="CG363" t="b">
        <v>1</v>
      </c>
      <c r="CH363" t="s">
        <v>1935</v>
      </c>
      <c r="CJ363" t="b">
        <v>1</v>
      </c>
      <c r="CK363" t="b">
        <v>1</v>
      </c>
      <c r="CL363" t="s">
        <v>198</v>
      </c>
      <c r="CM363" t="s">
        <v>198</v>
      </c>
      <c r="CO363" t="s">
        <v>3443</v>
      </c>
      <c r="CQ363" t="s">
        <v>198</v>
      </c>
      <c r="CR363" t="b">
        <v>1</v>
      </c>
      <c r="CT363">
        <v>17.0</v>
      </c>
      <c r="CU363">
        <v>12.0</v>
      </c>
      <c r="CX363" s="4" t="s">
        <v>7813</v>
      </c>
      <c r="CZ363" s="5">
        <v>44546.76130787037</v>
      </c>
      <c r="DA363" t="s">
        <v>7814</v>
      </c>
    </row>
    <row r="364">
      <c r="A364" t="s">
        <v>98</v>
      </c>
      <c r="D364" t="s">
        <v>7815</v>
      </c>
      <c r="E364" t="s">
        <v>7816</v>
      </c>
      <c r="F364" s="2">
        <v>38768.0</v>
      </c>
      <c r="G364" t="s">
        <v>1360</v>
      </c>
      <c r="I364" s="3" t="str">
        <f>HYPERLINK("https://api.typeform.com/responses/files/69a18b9c73e6870b8469d9de620283f7ac71520c28cdb0a239dfbf263671ddaf/original.jpeg")</f>
        <v>https://api.typeform.com/responses/files/69a18b9c73e6870b8469d9de620283f7ac71520c28cdb0a239dfbf263671ddaf/original.jpeg</v>
      </c>
      <c r="J364" t="s">
        <v>7817</v>
      </c>
      <c r="K364" t="b">
        <v>0</v>
      </c>
      <c r="M364" t="s">
        <v>7818</v>
      </c>
      <c r="N364" t="s">
        <v>149</v>
      </c>
      <c r="O364" t="s">
        <v>7819</v>
      </c>
      <c r="P364" t="s">
        <v>7820</v>
      </c>
      <c r="Q364" t="s">
        <v>1510</v>
      </c>
      <c r="R364" t="s">
        <v>7821</v>
      </c>
      <c r="S364" t="s">
        <v>7822</v>
      </c>
      <c r="T364" s="4" t="s">
        <v>7823</v>
      </c>
      <c r="U364" t="s">
        <v>7824</v>
      </c>
      <c r="V364" t="s">
        <v>7825</v>
      </c>
      <c r="W364" t="s">
        <v>1412</v>
      </c>
      <c r="Y364" t="s">
        <v>158</v>
      </c>
      <c r="Z364" t="s">
        <v>195</v>
      </c>
      <c r="AC364" s="3" t="str">
        <f>HYPERLINK("https://api.typeform.com/responses/files/f41357a3b7740f5fa99dae3bc29e34895149602c8c233f8501bf87406a39a5e5/PFP.jpeg")</f>
        <v>https://api.typeform.com/responses/files/f41357a3b7740f5fa99dae3bc29e34895149602c8c233f8501bf87406a39a5e5/PFP.jpeg</v>
      </c>
      <c r="AD364" t="s">
        <v>118</v>
      </c>
      <c r="AE364" t="s">
        <v>729</v>
      </c>
      <c r="AF364" t="s">
        <v>1196</v>
      </c>
      <c r="AG364">
        <v>12.0</v>
      </c>
      <c r="AH364" t="s">
        <v>7826</v>
      </c>
      <c r="AI364" t="s">
        <v>386</v>
      </c>
      <c r="AL364" t="s">
        <v>199</v>
      </c>
      <c r="AO364" t="s">
        <v>125</v>
      </c>
      <c r="AP364">
        <v>7.0</v>
      </c>
      <c r="AQ364" t="s">
        <v>201</v>
      </c>
      <c r="AR364" t="s">
        <v>7827</v>
      </c>
      <c r="AS364" t="b">
        <v>0</v>
      </c>
      <c r="AV364">
        <v>4.0</v>
      </c>
      <c r="AW364" t="b">
        <v>0</v>
      </c>
      <c r="AZ364" t="b">
        <v>0</v>
      </c>
      <c r="BA364" t="b">
        <v>0</v>
      </c>
      <c r="BD364" t="s">
        <v>7828</v>
      </c>
      <c r="BH364" t="s">
        <v>132</v>
      </c>
      <c r="BI364">
        <v>3.0</v>
      </c>
      <c r="BJ364" t="s">
        <v>7829</v>
      </c>
      <c r="BK364">
        <v>1.0</v>
      </c>
      <c r="BL364">
        <v>2.0</v>
      </c>
      <c r="BM364" t="s">
        <v>7830</v>
      </c>
      <c r="BN364">
        <v>4.0</v>
      </c>
      <c r="BO364">
        <v>6.0</v>
      </c>
      <c r="BP364" t="s">
        <v>7831</v>
      </c>
      <c r="BQ364" t="s">
        <v>3581</v>
      </c>
      <c r="BR364" t="s">
        <v>7832</v>
      </c>
      <c r="BS364" t="s">
        <v>7833</v>
      </c>
      <c r="BU364" t="s">
        <v>7834</v>
      </c>
      <c r="BV364" s="3" t="str">
        <f>HYPERLINK("https://api.typeform.com/responses/files/675f1f04ce214cd4da992ad7be496543108ab4eaecfde754a5cf150fa48aab57/PFP.jpeg")</f>
        <v>https://api.typeform.com/responses/files/675f1f04ce214cd4da992ad7be496543108ab4eaecfde754a5cf150fa48aab57/PFP.jpeg</v>
      </c>
      <c r="BW364" t="b">
        <v>1</v>
      </c>
      <c r="BX364" t="s">
        <v>1394</v>
      </c>
      <c r="BY364" t="s">
        <v>140</v>
      </c>
      <c r="CA364" t="s">
        <v>1395</v>
      </c>
      <c r="CD364">
        <v>0.0</v>
      </c>
      <c r="CF364" t="b">
        <v>1</v>
      </c>
      <c r="CG364" t="b">
        <v>1</v>
      </c>
      <c r="CH364" t="s">
        <v>7835</v>
      </c>
      <c r="CJ364" t="b">
        <v>1</v>
      </c>
      <c r="CK364" t="b">
        <v>1</v>
      </c>
      <c r="CL364" t="s">
        <v>387</v>
      </c>
      <c r="CM364" t="s">
        <v>2301</v>
      </c>
      <c r="CO364" t="s">
        <v>200</v>
      </c>
      <c r="CR364" t="b">
        <v>1</v>
      </c>
      <c r="CT364">
        <v>0.0</v>
      </c>
      <c r="CU364">
        <v>0.0</v>
      </c>
      <c r="CX364" s="4" t="s">
        <v>7836</v>
      </c>
      <c r="CZ364" s="5">
        <v>44546.76174768519</v>
      </c>
      <c r="DA364" t="s">
        <v>7837</v>
      </c>
    </row>
    <row r="365">
      <c r="A365" t="s">
        <v>98</v>
      </c>
      <c r="D365" t="s">
        <v>7838</v>
      </c>
      <c r="E365" t="s">
        <v>7132</v>
      </c>
      <c r="F365" s="2">
        <v>38540.0</v>
      </c>
      <c r="G365" t="s">
        <v>1466</v>
      </c>
      <c r="I365" s="3" t="str">
        <f>HYPERLINK("https://api.typeform.com/responses/files/c0b57bfb3b390ff5a565d7f4dca15ba1452c9dafef217b0050ceb33f4e11921a/Pie_Charts.png")</f>
        <v>https://api.typeform.com/responses/files/c0b57bfb3b390ff5a565d7f4dca15ba1452c9dafef217b0050ceb33f4e11921a/Pie_Charts.png</v>
      </c>
      <c r="J365" t="s">
        <v>7839</v>
      </c>
      <c r="K365" t="b">
        <v>1</v>
      </c>
      <c r="L365" s="4" t="s">
        <v>2230</v>
      </c>
      <c r="M365" t="s">
        <v>7840</v>
      </c>
      <c r="N365" t="s">
        <v>105</v>
      </c>
      <c r="O365" t="s">
        <v>1439</v>
      </c>
      <c r="P365" t="s">
        <v>7841</v>
      </c>
      <c r="Q365" t="s">
        <v>152</v>
      </c>
      <c r="R365" t="s">
        <v>7839</v>
      </c>
      <c r="S365" t="s">
        <v>7825</v>
      </c>
      <c r="T365" s="4" t="s">
        <v>2230</v>
      </c>
      <c r="U365" t="s">
        <v>7842</v>
      </c>
      <c r="V365" t="s">
        <v>7825</v>
      </c>
      <c r="W365" t="s">
        <v>1412</v>
      </c>
      <c r="Y365" t="s">
        <v>158</v>
      </c>
      <c r="Z365" t="s">
        <v>384</v>
      </c>
      <c r="AC365" s="3" t="str">
        <f>HYPERLINK("https://api.typeform.com/responses/files/5202141fa8b6dd0cc4ac9a9200adb2305678a1598ef1ab6f2755d28e6c792d72/Pie_Charts.png")</f>
        <v>https://api.typeform.com/responses/files/5202141fa8b6dd0cc4ac9a9200adb2305678a1598ef1ab6f2755d28e6c792d72/Pie_Charts.png</v>
      </c>
      <c r="AD365" t="s">
        <v>118</v>
      </c>
      <c r="AE365" t="s">
        <v>729</v>
      </c>
      <c r="AF365" t="s">
        <v>5263</v>
      </c>
      <c r="AG365">
        <v>15.0</v>
      </c>
      <c r="AH365" s="4" t="s">
        <v>339</v>
      </c>
      <c r="AI365" t="s">
        <v>121</v>
      </c>
      <c r="AK365" t="s">
        <v>7843</v>
      </c>
      <c r="AL365" t="s">
        <v>7844</v>
      </c>
      <c r="AO365" t="s">
        <v>125</v>
      </c>
      <c r="AP365">
        <v>4.0</v>
      </c>
      <c r="AQ365" t="s">
        <v>126</v>
      </c>
      <c r="AR365" t="s">
        <v>7845</v>
      </c>
      <c r="AS365" t="b">
        <v>1</v>
      </c>
      <c r="AT365" t="b">
        <v>1</v>
      </c>
      <c r="AV365">
        <v>4.0</v>
      </c>
      <c r="AW365" t="b">
        <v>0</v>
      </c>
      <c r="AZ365" t="b">
        <v>0</v>
      </c>
      <c r="BA365" t="b">
        <v>0</v>
      </c>
      <c r="BD365" t="s">
        <v>7845</v>
      </c>
      <c r="BH365" t="s">
        <v>132</v>
      </c>
      <c r="BI365">
        <v>4.0</v>
      </c>
      <c r="BJ365" t="s">
        <v>7846</v>
      </c>
      <c r="BK365">
        <v>4.0</v>
      </c>
      <c r="BL365">
        <v>4.0</v>
      </c>
      <c r="BM365" t="s">
        <v>7847</v>
      </c>
      <c r="BN365">
        <v>2.0</v>
      </c>
      <c r="BO365">
        <v>3.0</v>
      </c>
      <c r="BP365" t="s">
        <v>7848</v>
      </c>
      <c r="BQ365" t="s">
        <v>7849</v>
      </c>
      <c r="BR365" t="s">
        <v>7850</v>
      </c>
      <c r="BS365" t="s">
        <v>7851</v>
      </c>
      <c r="BU365" t="s">
        <v>7852</v>
      </c>
      <c r="BV365" s="3" t="str">
        <f>HYPERLINK("https://api.typeform.com/responses/files/d93848fe65343b85a6d617827ad43fc332811d65105987ef4bb067f316f3bbf2/Pie_Charts.png")</f>
        <v>https://api.typeform.com/responses/files/d93848fe65343b85a6d617827ad43fc332811d65105987ef4bb067f316f3bbf2/Pie_Charts.png</v>
      </c>
      <c r="BW365" t="b">
        <v>1</v>
      </c>
      <c r="BX365" t="s">
        <v>1394</v>
      </c>
      <c r="BY365" t="s">
        <v>140</v>
      </c>
      <c r="CA365" t="s">
        <v>1395</v>
      </c>
      <c r="CD365">
        <v>0.0</v>
      </c>
      <c r="CF365" t="b">
        <v>1</v>
      </c>
      <c r="CG365" t="b">
        <v>1</v>
      </c>
      <c r="CH365" t="s">
        <v>7853</v>
      </c>
      <c r="CJ365" t="b">
        <v>1</v>
      </c>
      <c r="CK365" t="b">
        <v>1</v>
      </c>
      <c r="CL365" t="s">
        <v>541</v>
      </c>
      <c r="CM365" t="s">
        <v>636</v>
      </c>
      <c r="CO365" t="s">
        <v>388</v>
      </c>
      <c r="CR365" t="b">
        <v>1</v>
      </c>
      <c r="CT365">
        <v>10.0</v>
      </c>
      <c r="CU365">
        <v>7.0</v>
      </c>
      <c r="CX365" s="4" t="s">
        <v>419</v>
      </c>
      <c r="CZ365" s="5">
        <v>44546.76322916667</v>
      </c>
      <c r="DA365" t="s">
        <v>7854</v>
      </c>
    </row>
    <row r="366">
      <c r="A366" t="s">
        <v>98</v>
      </c>
      <c r="D366" t="s">
        <v>7855</v>
      </c>
      <c r="E366" t="s">
        <v>7856</v>
      </c>
      <c r="F366" s="2">
        <v>38742.0</v>
      </c>
      <c r="G366" t="s">
        <v>1360</v>
      </c>
      <c r="I366" s="3" t="str">
        <f>HYPERLINK("https://api.typeform.com/responses/files/339febbd177c835bfc281e4d7f15932021f57087a6007c816c0605bd472b44b7/forget_me_not_flower_as309740666.webp")</f>
        <v>https://api.typeform.com/responses/files/339febbd177c835bfc281e4d7f15932021f57087a6007c816c0605bd472b44b7/forget_me_not_flower_as309740666.webp</v>
      </c>
      <c r="J366" t="s">
        <v>7857</v>
      </c>
      <c r="K366" t="b">
        <v>1</v>
      </c>
      <c r="L366" s="4" t="s">
        <v>7858</v>
      </c>
      <c r="M366" t="s">
        <v>7859</v>
      </c>
      <c r="N366" t="s">
        <v>255</v>
      </c>
      <c r="P366" t="s">
        <v>7860</v>
      </c>
      <c r="Q366" t="s">
        <v>189</v>
      </c>
      <c r="R366" t="s">
        <v>7861</v>
      </c>
      <c r="S366" t="s">
        <v>7859</v>
      </c>
      <c r="T366" s="4" t="s">
        <v>7862</v>
      </c>
      <c r="U366" t="s">
        <v>7863</v>
      </c>
      <c r="V366" t="s">
        <v>7864</v>
      </c>
      <c r="W366" t="s">
        <v>261</v>
      </c>
      <c r="Y366" t="s">
        <v>158</v>
      </c>
      <c r="Z366" t="s">
        <v>195</v>
      </c>
      <c r="AC366" s="3" t="str">
        <f>HYPERLINK("https://api.typeform.com/responses/files/b02d21c5c4307caebb2c0b0322fecc9c46777526c60e8401aa84c1235aa11876/forget_me_not_flower_as309740666.webp")</f>
        <v>https://api.typeform.com/responses/files/b02d21c5c4307caebb2c0b0322fecc9c46777526c60e8401aa84c1235aa11876/forget_me_not_flower_as309740666.webp</v>
      </c>
      <c r="AD366" t="s">
        <v>118</v>
      </c>
      <c r="AE366" t="s">
        <v>729</v>
      </c>
      <c r="AF366" t="s">
        <v>7865</v>
      </c>
      <c r="AG366">
        <v>13.0</v>
      </c>
      <c r="AH366" s="4" t="s">
        <v>273</v>
      </c>
      <c r="AI366" t="s">
        <v>205</v>
      </c>
      <c r="AK366" t="s">
        <v>7866</v>
      </c>
      <c r="AL366" t="s">
        <v>7867</v>
      </c>
      <c r="AO366" t="s">
        <v>486</v>
      </c>
      <c r="AP366">
        <v>4.0</v>
      </c>
      <c r="AQ366" t="s">
        <v>126</v>
      </c>
      <c r="AR366" t="s">
        <v>3762</v>
      </c>
      <c r="AS366" t="b">
        <v>1</v>
      </c>
      <c r="AT366" t="b">
        <v>1</v>
      </c>
      <c r="AV366">
        <v>4.0</v>
      </c>
      <c r="AW366" t="b">
        <v>0</v>
      </c>
      <c r="AZ366" t="b">
        <v>0</v>
      </c>
      <c r="BA366" t="b">
        <v>0</v>
      </c>
      <c r="BD366" t="s">
        <v>7868</v>
      </c>
      <c r="BH366" t="s">
        <v>132</v>
      </c>
      <c r="BI366">
        <v>1.0</v>
      </c>
      <c r="BJ366" t="s">
        <v>3585</v>
      </c>
      <c r="BK366">
        <v>1.0</v>
      </c>
      <c r="BL366">
        <v>2.0</v>
      </c>
      <c r="BM366" t="s">
        <v>7869</v>
      </c>
      <c r="BN366">
        <v>1.0</v>
      </c>
      <c r="BO366">
        <v>1.0</v>
      </c>
      <c r="BP366" t="s">
        <v>3585</v>
      </c>
      <c r="BQ366" t="s">
        <v>7870</v>
      </c>
      <c r="BR366" t="s">
        <v>7871</v>
      </c>
      <c r="BS366" t="s">
        <v>7872</v>
      </c>
      <c r="BU366" t="s">
        <v>7873</v>
      </c>
      <c r="BV366" s="3" t="str">
        <f>HYPERLINK("https://api.typeform.com/responses/files/a462d87318c8ed3ce2439548c2deba8c119e53d95334a9417b14df4e21f52624/forget_me_not_flower_as309740666.webp")</f>
        <v>https://api.typeform.com/responses/files/a462d87318c8ed3ce2439548c2deba8c119e53d95334a9417b14df4e21f52624/forget_me_not_flower_as309740666.webp</v>
      </c>
      <c r="BW366" t="b">
        <v>1</v>
      </c>
      <c r="BX366" t="s">
        <v>1394</v>
      </c>
      <c r="BY366" t="s">
        <v>140</v>
      </c>
      <c r="CA366" t="s">
        <v>1395</v>
      </c>
      <c r="CD366">
        <v>0.0</v>
      </c>
      <c r="CF366" t="b">
        <v>1</v>
      </c>
      <c r="CG366" t="b">
        <v>1</v>
      </c>
      <c r="CH366" t="s">
        <v>1935</v>
      </c>
      <c r="CJ366" t="b">
        <v>0</v>
      </c>
      <c r="CK366" t="b">
        <v>1</v>
      </c>
      <c r="CL366" t="s">
        <v>413</v>
      </c>
      <c r="CM366" t="s">
        <v>413</v>
      </c>
      <c r="CO366" t="s">
        <v>124</v>
      </c>
      <c r="CQ366" t="s">
        <v>413</v>
      </c>
      <c r="CR366" t="b">
        <v>1</v>
      </c>
      <c r="CT366">
        <v>2.0</v>
      </c>
      <c r="CU366">
        <v>2.0</v>
      </c>
      <c r="CX366" s="4" t="s">
        <v>7874</v>
      </c>
      <c r="CZ366" s="5">
        <v>44546.76511574074</v>
      </c>
      <c r="DA366" t="s">
        <v>7875</v>
      </c>
    </row>
    <row r="367">
      <c r="A367" t="s">
        <v>98</v>
      </c>
      <c r="D367" t="s">
        <v>7876</v>
      </c>
      <c r="E367" t="s">
        <v>7877</v>
      </c>
      <c r="F367" s="2">
        <v>38893.0</v>
      </c>
      <c r="G367" t="s">
        <v>1360</v>
      </c>
      <c r="I367" s="3" t="str">
        <f>HYPERLINK("https://api.typeform.com/responses/files/6ffd38c302cacd50bc8f2d6df8173a3a108bf054089e4f1875c7c5e507065e3a/images.jpeg")</f>
        <v>https://api.typeform.com/responses/files/6ffd38c302cacd50bc8f2d6df8173a3a108bf054089e4f1875c7c5e507065e3a/images.jpeg</v>
      </c>
      <c r="J367" t="s">
        <v>7878</v>
      </c>
      <c r="K367" t="b">
        <v>1</v>
      </c>
      <c r="L367" s="4" t="s">
        <v>7879</v>
      </c>
      <c r="M367" s="4" t="s">
        <v>7880</v>
      </c>
      <c r="N367" t="s">
        <v>149</v>
      </c>
      <c r="P367" t="s">
        <v>7881</v>
      </c>
      <c r="Q367" t="s">
        <v>189</v>
      </c>
      <c r="R367" t="s">
        <v>7882</v>
      </c>
      <c r="S367" t="s">
        <v>7883</v>
      </c>
      <c r="T367" s="4" t="s">
        <v>7884</v>
      </c>
      <c r="U367" t="s">
        <v>7885</v>
      </c>
      <c r="V367" t="s">
        <v>7886</v>
      </c>
      <c r="W367" t="s">
        <v>1412</v>
      </c>
      <c r="Y367" t="s">
        <v>158</v>
      </c>
      <c r="Z367" t="s">
        <v>195</v>
      </c>
      <c r="AC367" s="3" t="str">
        <f>HYPERLINK("https://api.typeform.com/responses/files/f9f3b0db5ddb5a574168fa6458d60e319260fb69172e79baecc589e2ac40eb6b/images.jpeg")</f>
        <v>https://api.typeform.com/responses/files/f9f3b0db5ddb5a574168fa6458d60e319260fb69172e79baecc589e2ac40eb6b/images.jpeg</v>
      </c>
      <c r="AD367" t="s">
        <v>118</v>
      </c>
      <c r="AE367" t="s">
        <v>729</v>
      </c>
      <c r="AF367" t="s">
        <v>412</v>
      </c>
      <c r="AG367">
        <v>10.0</v>
      </c>
      <c r="AH367" s="4" t="s">
        <v>1521</v>
      </c>
      <c r="AI367" t="s">
        <v>543</v>
      </c>
      <c r="AK367" t="s">
        <v>6020</v>
      </c>
      <c r="AL367" t="s">
        <v>760</v>
      </c>
      <c r="AO367" t="s">
        <v>125</v>
      </c>
      <c r="AP367">
        <v>5.0</v>
      </c>
      <c r="AQ367" t="s">
        <v>4222</v>
      </c>
      <c r="AR367" t="s">
        <v>7887</v>
      </c>
      <c r="AS367" t="b">
        <v>0</v>
      </c>
      <c r="AV367">
        <v>6.0</v>
      </c>
      <c r="AW367" t="b">
        <v>0</v>
      </c>
      <c r="AZ367" t="b">
        <v>0</v>
      </c>
      <c r="BA367" t="b">
        <v>0</v>
      </c>
      <c r="BD367" t="s">
        <v>139</v>
      </c>
      <c r="BH367" t="s">
        <v>132</v>
      </c>
      <c r="BI367">
        <v>1.0</v>
      </c>
      <c r="BJ367" t="s">
        <v>7888</v>
      </c>
      <c r="BK367">
        <v>4.0</v>
      </c>
      <c r="BL367">
        <v>1.0</v>
      </c>
      <c r="BM367" t="s">
        <v>7889</v>
      </c>
      <c r="BN367">
        <v>3.0</v>
      </c>
      <c r="BO367">
        <v>5.0</v>
      </c>
      <c r="BP367" t="s">
        <v>7890</v>
      </c>
      <c r="BQ367" t="s">
        <v>1050</v>
      </c>
      <c r="BR367" t="s">
        <v>7891</v>
      </c>
      <c r="BS367" t="s">
        <v>7892</v>
      </c>
      <c r="BU367" t="s">
        <v>139</v>
      </c>
      <c r="BV367" s="3" t="str">
        <f>HYPERLINK("https://api.typeform.com/responses/files/e38a7ce0000f6d30e45a7d7b794649a7fc0f6a34d509de330b833eb969500f8e/images.jpeg")</f>
        <v>https://api.typeform.com/responses/files/e38a7ce0000f6d30e45a7d7b794649a7fc0f6a34d509de330b833eb969500f8e/images.jpeg</v>
      </c>
      <c r="BW367" t="b">
        <v>1</v>
      </c>
      <c r="BX367" t="s">
        <v>1394</v>
      </c>
      <c r="BY367" t="s">
        <v>140</v>
      </c>
      <c r="CA367" t="s">
        <v>1395</v>
      </c>
      <c r="CD367">
        <v>0.0</v>
      </c>
      <c r="CF367" t="b">
        <v>0</v>
      </c>
      <c r="CG367" t="b">
        <v>0</v>
      </c>
      <c r="CH367" t="s">
        <v>4188</v>
      </c>
      <c r="CJ367" t="b">
        <v>1</v>
      </c>
      <c r="CK367" t="b">
        <v>0</v>
      </c>
      <c r="CL367" t="s">
        <v>362</v>
      </c>
      <c r="CM367" t="s">
        <v>362</v>
      </c>
      <c r="CO367" t="s">
        <v>2068</v>
      </c>
      <c r="CR367" t="b">
        <v>1</v>
      </c>
      <c r="CT367">
        <v>0.0</v>
      </c>
      <c r="CU367">
        <v>0.0</v>
      </c>
      <c r="CX367" s="4" t="s">
        <v>7893</v>
      </c>
      <c r="CZ367" s="5">
        <v>44546.76540509259</v>
      </c>
      <c r="DA367" t="s">
        <v>7894</v>
      </c>
    </row>
    <row r="368">
      <c r="A368" t="s">
        <v>98</v>
      </c>
      <c r="D368" t="s">
        <v>7895</v>
      </c>
      <c r="E368" t="s">
        <v>7896</v>
      </c>
      <c r="F368" s="2">
        <v>39012.0</v>
      </c>
      <c r="G368" t="s">
        <v>1360</v>
      </c>
      <c r="I368" s="3" t="str">
        <f>HYPERLINK("https://api.typeform.com/responses/files/4f882a49807844f0aa48373bcfb56e38e7269cf2147a58c897c112f2b3d04cc0/download.jpeg")</f>
        <v>https://api.typeform.com/responses/files/4f882a49807844f0aa48373bcfb56e38e7269cf2147a58c897c112f2b3d04cc0/download.jpeg</v>
      </c>
      <c r="J368" t="s">
        <v>7897</v>
      </c>
      <c r="K368" t="b">
        <v>1</v>
      </c>
      <c r="L368" s="4" t="s">
        <v>7898</v>
      </c>
      <c r="M368" t="s">
        <v>7899</v>
      </c>
      <c r="N368" t="s">
        <v>149</v>
      </c>
      <c r="P368" t="s">
        <v>7900</v>
      </c>
      <c r="Q368" t="s">
        <v>189</v>
      </c>
      <c r="R368" t="s">
        <v>7901</v>
      </c>
      <c r="S368" t="s">
        <v>7902</v>
      </c>
      <c r="T368" s="4" t="s">
        <v>7903</v>
      </c>
      <c r="U368" t="s">
        <v>7904</v>
      </c>
      <c r="V368" t="s">
        <v>7905</v>
      </c>
      <c r="W368" t="s">
        <v>1412</v>
      </c>
      <c r="Y368" t="s">
        <v>158</v>
      </c>
      <c r="Z368" t="s">
        <v>195</v>
      </c>
      <c r="AC368" s="3" t="str">
        <f>HYPERLINK("https://api.typeform.com/responses/files/ac466d0306639fce02dfb0314c28d10a5aee80931607523e366179ce5b1f1d89/download.jpeg")</f>
        <v>https://api.typeform.com/responses/files/ac466d0306639fce02dfb0314c28d10a5aee80931607523e366179ce5b1f1d89/download.jpeg</v>
      </c>
      <c r="AD368" t="s">
        <v>118</v>
      </c>
      <c r="AE368" t="s">
        <v>729</v>
      </c>
      <c r="AF368" t="s">
        <v>1170</v>
      </c>
      <c r="AG368">
        <v>12.0</v>
      </c>
      <c r="AH368" t="s">
        <v>3275</v>
      </c>
      <c r="AI368" t="s">
        <v>386</v>
      </c>
      <c r="AL368" t="s">
        <v>1043</v>
      </c>
      <c r="AO368" t="s">
        <v>335</v>
      </c>
      <c r="AP368">
        <v>1.0</v>
      </c>
      <c r="AQ368" t="s">
        <v>126</v>
      </c>
      <c r="AR368" t="s">
        <v>3460</v>
      </c>
      <c r="AS368" t="b">
        <v>0</v>
      </c>
      <c r="AV368">
        <v>4.0</v>
      </c>
      <c r="AW368" t="b">
        <v>0</v>
      </c>
      <c r="AZ368" t="b">
        <v>0</v>
      </c>
      <c r="BA368" t="b">
        <v>0</v>
      </c>
      <c r="BD368" t="s">
        <v>3460</v>
      </c>
      <c r="BH368" t="s">
        <v>132</v>
      </c>
      <c r="BI368">
        <v>1.0</v>
      </c>
      <c r="BJ368" t="s">
        <v>139</v>
      </c>
      <c r="BK368">
        <v>3.0</v>
      </c>
      <c r="BL368">
        <v>7.0</v>
      </c>
      <c r="BM368" t="s">
        <v>7906</v>
      </c>
      <c r="BN368">
        <v>1.0</v>
      </c>
      <c r="BO368">
        <v>3.0</v>
      </c>
      <c r="BP368" t="s">
        <v>3460</v>
      </c>
      <c r="BQ368" t="s">
        <v>1050</v>
      </c>
      <c r="BR368" t="s">
        <v>7907</v>
      </c>
      <c r="BS368" t="s">
        <v>7908</v>
      </c>
      <c r="BU368" t="s">
        <v>139</v>
      </c>
      <c r="BV368" s="3" t="str">
        <f>HYPERLINK("https://api.typeform.com/responses/files/165ae46d88988638e05f077be816716e6c1bccecf8ececfc275eae27a68e3998/download.jpeg")</f>
        <v>https://api.typeform.com/responses/files/165ae46d88988638e05f077be816716e6c1bccecf8ececfc275eae27a68e3998/download.jpeg</v>
      </c>
      <c r="BW368" t="b">
        <v>1</v>
      </c>
      <c r="BX368" t="s">
        <v>1394</v>
      </c>
      <c r="BY368" t="s">
        <v>140</v>
      </c>
      <c r="CA368" t="s">
        <v>1395</v>
      </c>
      <c r="CD368">
        <v>0.0</v>
      </c>
      <c r="CF368" t="b">
        <v>1</v>
      </c>
      <c r="CG368" t="b">
        <v>1</v>
      </c>
      <c r="CH368" t="s">
        <v>1557</v>
      </c>
      <c r="CJ368" t="b">
        <v>1</v>
      </c>
      <c r="CK368" t="b">
        <v>1</v>
      </c>
      <c r="CL368" t="s">
        <v>387</v>
      </c>
      <c r="CO368" t="s">
        <v>3491</v>
      </c>
      <c r="CR368" t="b">
        <v>1</v>
      </c>
      <c r="CT368">
        <v>0.0</v>
      </c>
      <c r="CU368">
        <v>0.0</v>
      </c>
      <c r="CX368" s="4" t="s">
        <v>7909</v>
      </c>
      <c r="CZ368" s="5">
        <v>44546.76648148148</v>
      </c>
      <c r="DA368" t="s">
        <v>7910</v>
      </c>
    </row>
    <row r="369">
      <c r="A369" t="s">
        <v>98</v>
      </c>
      <c r="D369" t="s">
        <v>7911</v>
      </c>
      <c r="E369" t="s">
        <v>7912</v>
      </c>
      <c r="F369" s="2">
        <v>38803.0</v>
      </c>
      <c r="G369" t="s">
        <v>1360</v>
      </c>
      <c r="I369" s="3" t="str">
        <f>HYPERLINK("https://api.typeform.com/responses/files/6588a5772a88259b731d78aab2371476d0dc99ccc40ef687803104e1808c8432/download.jpeg")</f>
        <v>https://api.typeform.com/responses/files/6588a5772a88259b731d78aab2371476d0dc99ccc40ef687803104e1808c8432/download.jpeg</v>
      </c>
      <c r="J369" t="s">
        <v>7913</v>
      </c>
      <c r="K369" t="b">
        <v>1</v>
      </c>
      <c r="L369" s="4" t="s">
        <v>7914</v>
      </c>
      <c r="M369" t="s">
        <v>7915</v>
      </c>
      <c r="N369" t="s">
        <v>149</v>
      </c>
      <c r="P369" t="s">
        <v>7916</v>
      </c>
      <c r="Q369" t="s">
        <v>189</v>
      </c>
      <c r="R369" t="s">
        <v>7917</v>
      </c>
      <c r="S369" t="s">
        <v>7915</v>
      </c>
      <c r="T369" s="4" t="s">
        <v>7918</v>
      </c>
      <c r="U369" t="s">
        <v>7919</v>
      </c>
      <c r="V369" t="s">
        <v>7920</v>
      </c>
      <c r="W369" t="s">
        <v>1412</v>
      </c>
      <c r="Y369" t="s">
        <v>158</v>
      </c>
      <c r="Z369" t="s">
        <v>195</v>
      </c>
      <c r="AC369" s="3" t="str">
        <f>HYPERLINK("https://api.typeform.com/responses/files/7c7f365d4489fe1002ed5187181c552eab882123a61abc64fa9634a4dd2f014e/download.jpeg")</f>
        <v>https://api.typeform.com/responses/files/7c7f365d4489fe1002ed5187181c552eab882123a61abc64fa9634a4dd2f014e/download.jpeg</v>
      </c>
      <c r="AD369" t="s">
        <v>118</v>
      </c>
      <c r="AE369" t="s">
        <v>729</v>
      </c>
      <c r="AF369" t="s">
        <v>7921</v>
      </c>
      <c r="AG369">
        <v>13.0</v>
      </c>
      <c r="AH369" t="s">
        <v>3275</v>
      </c>
      <c r="AI369" t="s">
        <v>386</v>
      </c>
      <c r="AL369" t="s">
        <v>1043</v>
      </c>
      <c r="AO369" t="s">
        <v>335</v>
      </c>
      <c r="AP369">
        <v>2.0</v>
      </c>
      <c r="AQ369" t="s">
        <v>201</v>
      </c>
      <c r="AR369" t="s">
        <v>3300</v>
      </c>
      <c r="AS369" t="b">
        <v>0</v>
      </c>
      <c r="AV369">
        <v>4.0</v>
      </c>
      <c r="AW369" t="b">
        <v>0</v>
      </c>
      <c r="AZ369" t="b">
        <v>0</v>
      </c>
      <c r="BA369" t="b">
        <v>0</v>
      </c>
      <c r="BD369" t="s">
        <v>7922</v>
      </c>
      <c r="BH369" t="s">
        <v>132</v>
      </c>
      <c r="BI369">
        <v>2.0</v>
      </c>
      <c r="BJ369" t="s">
        <v>7923</v>
      </c>
      <c r="BK369">
        <v>3.0</v>
      </c>
      <c r="BL369">
        <v>3.0</v>
      </c>
      <c r="BM369" t="s">
        <v>7924</v>
      </c>
      <c r="BN369">
        <v>1.0</v>
      </c>
      <c r="BO369">
        <v>2.0</v>
      </c>
      <c r="BP369" t="s">
        <v>7925</v>
      </c>
      <c r="BQ369" t="s">
        <v>1050</v>
      </c>
      <c r="BR369" t="s">
        <v>7926</v>
      </c>
      <c r="BS369" t="s">
        <v>7927</v>
      </c>
      <c r="BU369" t="s">
        <v>139</v>
      </c>
      <c r="BV369" s="3" t="str">
        <f>HYPERLINK("https://api.typeform.com/responses/files/22a27dcdc10d2a9c162d64847fceeeec9a70f5476676f9b82ffe79a03fd24eba/download.jpeg")</f>
        <v>https://api.typeform.com/responses/files/22a27dcdc10d2a9c162d64847fceeeec9a70f5476676f9b82ffe79a03fd24eba/download.jpeg</v>
      </c>
      <c r="BW369" t="b">
        <v>1</v>
      </c>
      <c r="BX369" t="s">
        <v>1394</v>
      </c>
      <c r="BY369" t="s">
        <v>140</v>
      </c>
      <c r="CA369" t="s">
        <v>1395</v>
      </c>
      <c r="CD369">
        <v>0.0</v>
      </c>
      <c r="CF369" t="b">
        <v>1</v>
      </c>
      <c r="CG369" t="b">
        <v>1</v>
      </c>
      <c r="CH369" t="s">
        <v>1557</v>
      </c>
      <c r="CJ369" t="b">
        <v>1</v>
      </c>
      <c r="CK369" t="b">
        <v>1</v>
      </c>
      <c r="CL369" t="s">
        <v>2301</v>
      </c>
      <c r="CM369" t="s">
        <v>2301</v>
      </c>
      <c r="CO369" t="s">
        <v>2888</v>
      </c>
      <c r="CR369" t="b">
        <v>1</v>
      </c>
      <c r="CT369">
        <v>0.0</v>
      </c>
      <c r="CU369">
        <v>0.0</v>
      </c>
      <c r="CX369" s="4" t="s">
        <v>7928</v>
      </c>
      <c r="CZ369" s="5">
        <v>44546.76650462963</v>
      </c>
      <c r="DA369" t="s">
        <v>7929</v>
      </c>
    </row>
    <row r="370">
      <c r="A370" t="s">
        <v>98</v>
      </c>
      <c r="D370" t="s">
        <v>7930</v>
      </c>
      <c r="E370" t="s">
        <v>7931</v>
      </c>
      <c r="F370" s="2">
        <v>38946.0</v>
      </c>
      <c r="G370" t="s">
        <v>1360</v>
      </c>
      <c r="I370" s="3" t="str">
        <f>HYPERLINK("https://api.typeform.com/responses/files/ef9bdf0195f904f6886a3af80eb6dd68dce1e5ba612245861254bd171f3f3ac4/Crocus_Flowers.jpg")</f>
        <v>https://api.typeform.com/responses/files/ef9bdf0195f904f6886a3af80eb6dd68dce1e5ba612245861254bd171f3f3ac4/Crocus_Flowers.jpg</v>
      </c>
      <c r="J370" t="s">
        <v>7932</v>
      </c>
      <c r="K370" t="b">
        <v>1</v>
      </c>
      <c r="L370" s="4" t="s">
        <v>7933</v>
      </c>
      <c r="M370" t="s">
        <v>7934</v>
      </c>
      <c r="N370" t="s">
        <v>255</v>
      </c>
      <c r="P370" t="s">
        <v>7935</v>
      </c>
      <c r="Q370" t="s">
        <v>189</v>
      </c>
      <c r="R370" t="s">
        <v>7936</v>
      </c>
      <c r="S370" t="s">
        <v>7934</v>
      </c>
      <c r="T370" s="4" t="s">
        <v>7937</v>
      </c>
      <c r="U370" t="s">
        <v>7919</v>
      </c>
      <c r="V370" t="s">
        <v>7938</v>
      </c>
      <c r="W370" t="s">
        <v>261</v>
      </c>
      <c r="Y370" t="s">
        <v>158</v>
      </c>
      <c r="Z370" t="s">
        <v>195</v>
      </c>
      <c r="AC370" s="3" t="str">
        <f>HYPERLINK("https://api.typeform.com/responses/files/20cfeadcf2ecbc225a89e63385d19ddf4aaca84f88e366b21a772445c5e2b246/Crocus_Flowers.jpg")</f>
        <v>https://api.typeform.com/responses/files/20cfeadcf2ecbc225a89e63385d19ddf4aaca84f88e366b21a772445c5e2b246/Crocus_Flowers.jpg</v>
      </c>
      <c r="AD370" t="s">
        <v>118</v>
      </c>
      <c r="AE370" t="s">
        <v>729</v>
      </c>
      <c r="AF370" t="s">
        <v>7939</v>
      </c>
      <c r="AG370">
        <v>13.0</v>
      </c>
      <c r="AH370" s="4" t="s">
        <v>7940</v>
      </c>
      <c r="AI370" t="s">
        <v>205</v>
      </c>
      <c r="AK370" t="s">
        <v>7941</v>
      </c>
      <c r="AL370" t="s">
        <v>7942</v>
      </c>
      <c r="AO370" t="s">
        <v>125</v>
      </c>
      <c r="AP370">
        <v>4.0</v>
      </c>
      <c r="AQ370" t="s">
        <v>201</v>
      </c>
      <c r="AR370" t="s">
        <v>3300</v>
      </c>
      <c r="AS370" t="b">
        <v>1</v>
      </c>
      <c r="AT370" t="b">
        <v>0</v>
      </c>
      <c r="AV370">
        <v>4.0</v>
      </c>
      <c r="AW370" t="b">
        <v>0</v>
      </c>
      <c r="AZ370" t="b">
        <v>0</v>
      </c>
      <c r="BA370" t="b">
        <v>0</v>
      </c>
      <c r="BD370" t="s">
        <v>3300</v>
      </c>
      <c r="BH370" t="s">
        <v>132</v>
      </c>
      <c r="BI370">
        <v>4.0</v>
      </c>
      <c r="BJ370" t="s">
        <v>3585</v>
      </c>
      <c r="BK370">
        <v>5.0</v>
      </c>
      <c r="BL370">
        <v>6.0</v>
      </c>
      <c r="BM370" t="s">
        <v>7943</v>
      </c>
      <c r="BN370">
        <v>2.0</v>
      </c>
      <c r="BO370">
        <v>5.0</v>
      </c>
      <c r="BP370" t="s">
        <v>5338</v>
      </c>
      <c r="BQ370" t="s">
        <v>4726</v>
      </c>
      <c r="BR370" t="s">
        <v>7944</v>
      </c>
      <c r="BS370" t="s">
        <v>7945</v>
      </c>
      <c r="BU370" t="s">
        <v>139</v>
      </c>
      <c r="BV370" s="3" t="str">
        <f>HYPERLINK("https://api.typeform.com/responses/files/fe806e2f4e175428ddbd43c4394dfd7a16200014f0767d1cbe123f83aeeb83a5/Crocus_Flowers.jpg")</f>
        <v>https://api.typeform.com/responses/files/fe806e2f4e175428ddbd43c4394dfd7a16200014f0767d1cbe123f83aeeb83a5/Crocus_Flowers.jpg</v>
      </c>
      <c r="BW370" t="b">
        <v>1</v>
      </c>
      <c r="BX370" t="s">
        <v>1394</v>
      </c>
      <c r="BY370" t="s">
        <v>140</v>
      </c>
      <c r="CA370" t="s">
        <v>1395</v>
      </c>
      <c r="CD370">
        <v>0.0</v>
      </c>
      <c r="CF370" t="b">
        <v>0</v>
      </c>
      <c r="CG370" t="b">
        <v>0</v>
      </c>
      <c r="CH370" t="s">
        <v>7946</v>
      </c>
      <c r="CJ370" t="b">
        <v>0</v>
      </c>
      <c r="CK370" t="b">
        <v>0</v>
      </c>
      <c r="CL370" t="s">
        <v>362</v>
      </c>
      <c r="CM370" t="s">
        <v>362</v>
      </c>
      <c r="CO370" t="s">
        <v>200</v>
      </c>
      <c r="CQ370" t="s">
        <v>362</v>
      </c>
      <c r="CR370" t="b">
        <v>1</v>
      </c>
      <c r="CT370">
        <v>0.0</v>
      </c>
      <c r="CU370">
        <v>0.0</v>
      </c>
      <c r="CX370" s="4" t="s">
        <v>7947</v>
      </c>
      <c r="CZ370" s="5">
        <v>44546.76699074074</v>
      </c>
      <c r="DA370" t="s">
        <v>7948</v>
      </c>
    </row>
    <row r="371">
      <c r="A371" t="s">
        <v>98</v>
      </c>
      <c r="D371" t="s">
        <v>7949</v>
      </c>
      <c r="E371" t="s">
        <v>7950</v>
      </c>
      <c r="F371" s="2">
        <v>38800.0</v>
      </c>
      <c r="G371" t="s">
        <v>1360</v>
      </c>
      <c r="I371" s="3" t="str">
        <f>HYPERLINK("https://api.typeform.com/responses/files/94d589930134b51def180ba65a6c5099c99a75db2ed285df28aac189a18f39e1/download.jpg")</f>
        <v>https://api.typeform.com/responses/files/94d589930134b51def180ba65a6c5099c99a75db2ed285df28aac189a18f39e1/download.jpg</v>
      </c>
      <c r="J371" t="s">
        <v>7951</v>
      </c>
      <c r="K371" t="b">
        <v>1</v>
      </c>
      <c r="L371" s="4" t="s">
        <v>7952</v>
      </c>
      <c r="M371" t="s">
        <v>7953</v>
      </c>
      <c r="N371" t="s">
        <v>255</v>
      </c>
      <c r="O371" t="s">
        <v>7954</v>
      </c>
      <c r="P371" t="s">
        <v>7955</v>
      </c>
      <c r="Q371" t="s">
        <v>189</v>
      </c>
      <c r="R371" t="s">
        <v>7951</v>
      </c>
      <c r="S371" t="s">
        <v>7956</v>
      </c>
      <c r="T371" s="4" t="s">
        <v>7957</v>
      </c>
      <c r="U371" t="s">
        <v>7958</v>
      </c>
      <c r="V371" t="s">
        <v>7959</v>
      </c>
      <c r="W371" t="s">
        <v>1412</v>
      </c>
      <c r="Y371" t="s">
        <v>158</v>
      </c>
      <c r="Z371" t="s">
        <v>195</v>
      </c>
      <c r="AC371" s="3" t="str">
        <f>HYPERLINK("https://api.typeform.com/responses/files/4ee8570adc3afd7a8f47eb3acb997ca60bd2f6c7dee5400d24151f739543c702/download.jpg")</f>
        <v>https://api.typeform.com/responses/files/4ee8570adc3afd7a8f47eb3acb997ca60bd2f6c7dee5400d24151f739543c702/download.jpg</v>
      </c>
      <c r="AD371" t="s">
        <v>118</v>
      </c>
      <c r="AE371" t="s">
        <v>729</v>
      </c>
      <c r="AF371" t="s">
        <v>7960</v>
      </c>
      <c r="AG371">
        <v>14.0</v>
      </c>
      <c r="AH371" s="4" t="s">
        <v>130</v>
      </c>
      <c r="AI371" t="s">
        <v>205</v>
      </c>
      <c r="AL371" t="s">
        <v>7961</v>
      </c>
      <c r="AO371" t="s">
        <v>335</v>
      </c>
      <c r="AP371">
        <v>3.0</v>
      </c>
      <c r="AQ371" t="s">
        <v>2240</v>
      </c>
      <c r="AR371" t="s">
        <v>7962</v>
      </c>
      <c r="AS371" t="b">
        <v>1</v>
      </c>
      <c r="AT371" t="b">
        <v>0</v>
      </c>
      <c r="AV371">
        <v>5.0</v>
      </c>
      <c r="AW371" t="b">
        <v>0</v>
      </c>
      <c r="AZ371" t="b">
        <v>0</v>
      </c>
      <c r="BA371" t="b">
        <v>0</v>
      </c>
      <c r="BD371" t="s">
        <v>7963</v>
      </c>
      <c r="BH371" t="s">
        <v>132</v>
      </c>
      <c r="BI371">
        <v>3.0</v>
      </c>
      <c r="BJ371" t="s">
        <v>6992</v>
      </c>
      <c r="BK371">
        <v>4.0</v>
      </c>
      <c r="BL371">
        <v>5.0</v>
      </c>
      <c r="BM371" t="s">
        <v>7964</v>
      </c>
      <c r="BN371">
        <v>5.0</v>
      </c>
      <c r="BO371">
        <v>6.0</v>
      </c>
      <c r="BP371" t="s">
        <v>7965</v>
      </c>
      <c r="BQ371" t="s">
        <v>7966</v>
      </c>
      <c r="BR371" t="s">
        <v>7967</v>
      </c>
      <c r="BS371" t="s">
        <v>7968</v>
      </c>
      <c r="BU371" t="s">
        <v>7969</v>
      </c>
      <c r="BV371" s="3" t="str">
        <f>HYPERLINK("https://api.typeform.com/responses/files/e7cead86c3622ea9fe2e79ed50f14a2beb3b3c46e5da88219091e7ebb093a119/download.jpg")</f>
        <v>https://api.typeform.com/responses/files/e7cead86c3622ea9fe2e79ed50f14a2beb3b3c46e5da88219091e7ebb093a119/download.jpg</v>
      </c>
      <c r="BW371" t="b">
        <v>1</v>
      </c>
      <c r="BX371" t="s">
        <v>1394</v>
      </c>
      <c r="BY371" t="s">
        <v>140</v>
      </c>
      <c r="CA371" t="s">
        <v>1395</v>
      </c>
      <c r="CD371">
        <v>0.0</v>
      </c>
      <c r="CF371" t="b">
        <v>1</v>
      </c>
      <c r="CG371" t="b">
        <v>1</v>
      </c>
      <c r="CH371" t="s">
        <v>5565</v>
      </c>
      <c r="CJ371" t="b">
        <v>1</v>
      </c>
      <c r="CK371" t="b">
        <v>0</v>
      </c>
      <c r="CL371" t="s">
        <v>1489</v>
      </c>
      <c r="CO371" t="s">
        <v>200</v>
      </c>
      <c r="CR371" t="b">
        <v>1</v>
      </c>
      <c r="CT371">
        <v>2.0</v>
      </c>
      <c r="CU371">
        <v>2.0</v>
      </c>
      <c r="CX371" t="s">
        <v>679</v>
      </c>
      <c r="CZ371" s="5">
        <v>44546.76770833333</v>
      </c>
      <c r="DA371" t="s">
        <v>7970</v>
      </c>
    </row>
    <row r="372">
      <c r="A372" t="s">
        <v>98</v>
      </c>
      <c r="D372" t="s">
        <v>7971</v>
      </c>
      <c r="E372" t="s">
        <v>7972</v>
      </c>
      <c r="F372" s="2">
        <v>38607.0</v>
      </c>
      <c r="G372" t="s">
        <v>1360</v>
      </c>
      <c r="I372" s="3" t="str">
        <f>HYPERLINK("https://api.typeform.com/responses/files/60a6c079d3b49846049bc37a4007dde8dc06be1667f8dfc943e5701417d5a2d3/1800x1200_cat_relaxing_on_patio_other.jpeg")</f>
        <v>https://api.typeform.com/responses/files/60a6c079d3b49846049bc37a4007dde8dc06be1667f8dfc943e5701417d5a2d3/1800x1200_cat_relaxing_on_patio_other.jpeg</v>
      </c>
      <c r="J372" t="s">
        <v>7973</v>
      </c>
      <c r="K372" t="b">
        <v>1</v>
      </c>
      <c r="L372" s="4" t="s">
        <v>7974</v>
      </c>
      <c r="M372" t="s">
        <v>7975</v>
      </c>
      <c r="N372" t="s">
        <v>149</v>
      </c>
      <c r="O372" t="s">
        <v>7976</v>
      </c>
      <c r="P372" t="s">
        <v>7977</v>
      </c>
      <c r="Q372" t="s">
        <v>152</v>
      </c>
      <c r="R372" t="s">
        <v>7973</v>
      </c>
      <c r="S372" t="s">
        <v>7978</v>
      </c>
      <c r="T372" s="4" t="s">
        <v>7979</v>
      </c>
      <c r="U372" t="s">
        <v>7919</v>
      </c>
      <c r="V372" t="s">
        <v>7802</v>
      </c>
      <c r="W372" t="s">
        <v>1412</v>
      </c>
      <c r="Y372" t="s">
        <v>158</v>
      </c>
      <c r="Z372" t="s">
        <v>195</v>
      </c>
      <c r="AC372" s="3" t="str">
        <f>HYPERLINK("https://api.typeform.com/responses/files/e0bf627d3fe3565921c65bec8220c679976d4b6196be198b52b383fcbefeb78a/1800x1200_cat_relaxing_on_patio_other.jpeg")</f>
        <v>https://api.typeform.com/responses/files/e0bf627d3fe3565921c65bec8220c679976d4b6196be198b52b383fcbefeb78a/1800x1200_cat_relaxing_on_patio_other.jpeg</v>
      </c>
      <c r="AD372" t="s">
        <v>118</v>
      </c>
      <c r="AE372" t="s">
        <v>729</v>
      </c>
      <c r="AF372" t="s">
        <v>540</v>
      </c>
      <c r="AG372">
        <v>13.0</v>
      </c>
      <c r="AH372" t="s">
        <v>1221</v>
      </c>
      <c r="AI372" t="s">
        <v>205</v>
      </c>
      <c r="AK372" t="s">
        <v>7980</v>
      </c>
      <c r="AL372" t="s">
        <v>7981</v>
      </c>
      <c r="AO372" t="s">
        <v>335</v>
      </c>
      <c r="AP372">
        <v>7.0</v>
      </c>
      <c r="AQ372" t="s">
        <v>126</v>
      </c>
      <c r="AR372" t="s">
        <v>2491</v>
      </c>
      <c r="AS372" t="b">
        <v>0</v>
      </c>
      <c r="AV372">
        <v>5.0</v>
      </c>
      <c r="AW372" t="b">
        <v>0</v>
      </c>
      <c r="AZ372" t="b">
        <v>0</v>
      </c>
      <c r="BA372" t="b">
        <v>0</v>
      </c>
      <c r="BD372" t="s">
        <v>4801</v>
      </c>
      <c r="BH372" t="s">
        <v>132</v>
      </c>
      <c r="BI372">
        <v>4.0</v>
      </c>
      <c r="BJ372" t="s">
        <v>7982</v>
      </c>
      <c r="BK372">
        <v>4.0</v>
      </c>
      <c r="BL372">
        <v>4.0</v>
      </c>
      <c r="BM372" t="s">
        <v>7983</v>
      </c>
      <c r="BN372">
        <v>4.0</v>
      </c>
      <c r="BO372">
        <v>3.0</v>
      </c>
      <c r="BP372" t="s">
        <v>7984</v>
      </c>
      <c r="BQ372" t="s">
        <v>945</v>
      </c>
      <c r="BR372" t="s">
        <v>7985</v>
      </c>
      <c r="BS372" t="s">
        <v>7986</v>
      </c>
      <c r="BU372" t="s">
        <v>7987</v>
      </c>
      <c r="BV372" s="3" t="str">
        <f>HYPERLINK("https://api.typeform.com/responses/files/1f8d05806199108f1cf54a1d57e7121e46163804918e1439621755c660a31625/1800x1200_cat_relaxing_on_patio_other.jpeg")</f>
        <v>https://api.typeform.com/responses/files/1f8d05806199108f1cf54a1d57e7121e46163804918e1439621755c660a31625/1800x1200_cat_relaxing_on_patio_other.jpeg</v>
      </c>
      <c r="BW372" t="b">
        <v>1</v>
      </c>
      <c r="BX372" t="s">
        <v>1394</v>
      </c>
      <c r="BY372" t="s">
        <v>140</v>
      </c>
      <c r="CA372" t="s">
        <v>1395</v>
      </c>
      <c r="CD372">
        <v>0.0</v>
      </c>
      <c r="CF372" t="b">
        <v>0</v>
      </c>
      <c r="CG372" t="b">
        <v>1</v>
      </c>
      <c r="CH372" t="s">
        <v>1935</v>
      </c>
      <c r="CJ372" t="b">
        <v>1</v>
      </c>
      <c r="CK372" t="b">
        <v>1</v>
      </c>
      <c r="CL372" t="s">
        <v>198</v>
      </c>
      <c r="CO372" t="s">
        <v>7988</v>
      </c>
      <c r="CR372" t="b">
        <v>1</v>
      </c>
      <c r="CT372">
        <v>0.0</v>
      </c>
      <c r="CU372">
        <v>10.0</v>
      </c>
      <c r="CX372" s="4" t="s">
        <v>7989</v>
      </c>
      <c r="CZ372" s="5">
        <v>44546.76828703703</v>
      </c>
      <c r="DA372" t="s">
        <v>7990</v>
      </c>
    </row>
    <row r="373">
      <c r="A373" t="s">
        <v>98</v>
      </c>
      <c r="D373" t="s">
        <v>7991</v>
      </c>
      <c r="E373" t="s">
        <v>7992</v>
      </c>
      <c r="F373" s="2">
        <v>38167.0</v>
      </c>
      <c r="G373" t="s">
        <v>1466</v>
      </c>
      <c r="I373" s="3" t="str">
        <f>HYPERLINK("https://api.typeform.com/responses/files/c953196248f1df862f2fc58da148194d8fa162f67a5ef3aa1c65399cb86d1c38/2048px_No_image_available.svg.png")</f>
        <v>https://api.typeform.com/responses/files/c953196248f1df862f2fc58da148194d8fa162f67a5ef3aa1c65399cb86d1c38/2048px_No_image_available.svg.png</v>
      </c>
      <c r="J373" t="s">
        <v>7993</v>
      </c>
      <c r="K373" t="b">
        <v>1</v>
      </c>
      <c r="L373" s="4" t="s">
        <v>7761</v>
      </c>
      <c r="M373" t="s">
        <v>7994</v>
      </c>
      <c r="N373" t="s">
        <v>255</v>
      </c>
      <c r="O373" t="s">
        <v>7995</v>
      </c>
      <c r="P373" t="s">
        <v>7996</v>
      </c>
      <c r="Q373" t="s">
        <v>1510</v>
      </c>
      <c r="R373" t="s">
        <v>7997</v>
      </c>
      <c r="S373" t="s">
        <v>7998</v>
      </c>
      <c r="T373" s="4" t="s">
        <v>7761</v>
      </c>
      <c r="U373" t="s">
        <v>7762</v>
      </c>
      <c r="V373" t="s">
        <v>7999</v>
      </c>
      <c r="W373" t="s">
        <v>261</v>
      </c>
      <c r="Y373" t="s">
        <v>158</v>
      </c>
      <c r="Z373" t="s">
        <v>262</v>
      </c>
      <c r="AC373" s="3" t="str">
        <f>HYPERLINK("https://api.typeform.com/responses/files/d9a9bace672421297c5cb1f8d00081b3823e2fc82dfc8e99eb4f2b9ab61fa532/download.png")</f>
        <v>https://api.typeform.com/responses/files/d9a9bace672421297c5cb1f8d00081b3823e2fc82dfc8e99eb4f2b9ab61fa532/download.png</v>
      </c>
      <c r="AD373" t="s">
        <v>118</v>
      </c>
      <c r="AE373" t="s">
        <v>729</v>
      </c>
      <c r="AF373" t="s">
        <v>197</v>
      </c>
      <c r="AG373">
        <v>7.0</v>
      </c>
      <c r="AH373" t="s">
        <v>8000</v>
      </c>
      <c r="AI373" t="s">
        <v>162</v>
      </c>
      <c r="AK373" t="s">
        <v>139</v>
      </c>
      <c r="AL373" t="s">
        <v>199</v>
      </c>
      <c r="AO373" t="s">
        <v>125</v>
      </c>
      <c r="AP373">
        <v>6.0</v>
      </c>
      <c r="AQ373" t="s">
        <v>1480</v>
      </c>
      <c r="AR373" t="s">
        <v>8001</v>
      </c>
      <c r="AS373" t="b">
        <v>1</v>
      </c>
      <c r="AT373" t="b">
        <v>0</v>
      </c>
      <c r="AV373">
        <v>3.0</v>
      </c>
      <c r="AW373" t="b">
        <v>0</v>
      </c>
      <c r="AZ373" t="b">
        <v>0</v>
      </c>
      <c r="BA373" t="b">
        <v>0</v>
      </c>
      <c r="BD373" t="s">
        <v>8002</v>
      </c>
      <c r="BH373" t="s">
        <v>132</v>
      </c>
      <c r="BI373">
        <v>1.0</v>
      </c>
      <c r="BJ373" t="s">
        <v>8003</v>
      </c>
      <c r="BK373">
        <v>5.0</v>
      </c>
      <c r="BL373">
        <v>7.0</v>
      </c>
      <c r="BM373" t="s">
        <v>8004</v>
      </c>
      <c r="BN373">
        <v>7.0</v>
      </c>
      <c r="BO373">
        <v>7.0</v>
      </c>
      <c r="BP373" t="s">
        <v>8005</v>
      </c>
      <c r="BQ373" t="s">
        <v>8006</v>
      </c>
      <c r="BR373" t="s">
        <v>8007</v>
      </c>
      <c r="BS373" t="s">
        <v>8008</v>
      </c>
      <c r="BU373" t="s">
        <v>258</v>
      </c>
      <c r="BV373" s="3" t="str">
        <f>HYPERLINK("https://api.typeform.com/responses/files/5033f24613a01d8fa04bf42d104aa4a587a8bb6137b23b9802f96c2f44117777/download.png")</f>
        <v>https://api.typeform.com/responses/files/5033f24613a01d8fa04bf42d104aa4a587a8bb6137b23b9802f96c2f44117777/download.png</v>
      </c>
      <c r="BW373" t="b">
        <v>1</v>
      </c>
      <c r="BX373" t="s">
        <v>1394</v>
      </c>
      <c r="BY373" t="s">
        <v>140</v>
      </c>
      <c r="CA373" t="s">
        <v>1395</v>
      </c>
      <c r="CD373">
        <v>0.0</v>
      </c>
      <c r="CF373" t="b">
        <v>0</v>
      </c>
      <c r="CG373" t="b">
        <v>1</v>
      </c>
      <c r="CH373" t="s">
        <v>8009</v>
      </c>
      <c r="CJ373" t="b">
        <v>1</v>
      </c>
      <c r="CK373" t="b">
        <v>1</v>
      </c>
      <c r="CL373" t="s">
        <v>198</v>
      </c>
      <c r="CM373" t="s">
        <v>198</v>
      </c>
      <c r="CO373" t="s">
        <v>200</v>
      </c>
      <c r="CQ373" t="s">
        <v>541</v>
      </c>
      <c r="CR373" t="b">
        <v>1</v>
      </c>
      <c r="CT373">
        <v>0.0</v>
      </c>
      <c r="CU373">
        <v>0.0</v>
      </c>
      <c r="CX373" t="s">
        <v>1098</v>
      </c>
      <c r="CZ373" s="5">
        <v>44546.76875</v>
      </c>
      <c r="DA373" t="s">
        <v>8010</v>
      </c>
    </row>
    <row r="374">
      <c r="A374" t="s">
        <v>98</v>
      </c>
      <c r="D374" t="s">
        <v>8011</v>
      </c>
      <c r="E374" t="s">
        <v>8012</v>
      </c>
      <c r="F374" s="2">
        <v>39272.0</v>
      </c>
      <c r="G374" t="s">
        <v>1360</v>
      </c>
      <c r="I374" s="3" t="str">
        <f>HYPERLINK("https://api.typeform.com/responses/files/af89f0ff51379abbb35103dec37f73ace1a224924d601eeb70d14d76e95cc062/m.jpeg")</f>
        <v>https://api.typeform.com/responses/files/af89f0ff51379abbb35103dec37f73ace1a224924d601eeb70d14d76e95cc062/m.jpeg</v>
      </c>
      <c r="J374" t="s">
        <v>8013</v>
      </c>
      <c r="K374" t="b">
        <v>1</v>
      </c>
      <c r="L374" s="4" t="s">
        <v>8014</v>
      </c>
      <c r="M374" t="s">
        <v>8015</v>
      </c>
      <c r="N374" t="s">
        <v>149</v>
      </c>
      <c r="O374" t="s">
        <v>8016</v>
      </c>
      <c r="P374" t="s">
        <v>8017</v>
      </c>
      <c r="Q374" t="s">
        <v>189</v>
      </c>
      <c r="R374" t="s">
        <v>8018</v>
      </c>
      <c r="S374" t="s">
        <v>8015</v>
      </c>
      <c r="T374" s="4" t="s">
        <v>8019</v>
      </c>
      <c r="U374" t="s">
        <v>8020</v>
      </c>
      <c r="V374" t="s">
        <v>7802</v>
      </c>
      <c r="W374" t="s">
        <v>1412</v>
      </c>
      <c r="Y374" t="s">
        <v>158</v>
      </c>
      <c r="Z374" t="s">
        <v>384</v>
      </c>
      <c r="AC374" s="3" t="str">
        <f>HYPERLINK("https://api.typeform.com/responses/files/ababaa04423832de4f3c5e4841ce8ff7c4b2d4851074a2f67b724dafe1424d40/m.jpeg")</f>
        <v>https://api.typeform.com/responses/files/ababaa04423832de4f3c5e4841ce8ff7c4b2d4851074a2f67b724dafe1424d40/m.jpeg</v>
      </c>
      <c r="AD374" t="s">
        <v>118</v>
      </c>
      <c r="AE374" t="s">
        <v>729</v>
      </c>
      <c r="AF374" t="s">
        <v>2651</v>
      </c>
      <c r="AG374">
        <v>12.0</v>
      </c>
      <c r="AH374" s="4" t="s">
        <v>520</v>
      </c>
      <c r="AI374" t="s">
        <v>205</v>
      </c>
      <c r="AK374" t="s">
        <v>2651</v>
      </c>
      <c r="AL374" t="s">
        <v>199</v>
      </c>
      <c r="AO374" t="s">
        <v>335</v>
      </c>
      <c r="AP374">
        <v>7.0</v>
      </c>
      <c r="AQ374" t="s">
        <v>126</v>
      </c>
      <c r="AR374" t="s">
        <v>2004</v>
      </c>
      <c r="AS374" t="b">
        <v>0</v>
      </c>
      <c r="AV374">
        <v>7.0</v>
      </c>
      <c r="AW374" t="b">
        <v>0</v>
      </c>
      <c r="AZ374" t="b">
        <v>0</v>
      </c>
      <c r="BA374" t="b">
        <v>0</v>
      </c>
      <c r="BD374" t="s">
        <v>1832</v>
      </c>
      <c r="BH374" t="s">
        <v>132</v>
      </c>
      <c r="BI374">
        <v>2.0</v>
      </c>
      <c r="BJ374" t="s">
        <v>8021</v>
      </c>
      <c r="BK374">
        <v>4.0</v>
      </c>
      <c r="BL374">
        <v>6.0</v>
      </c>
      <c r="BM374" t="s">
        <v>8022</v>
      </c>
      <c r="BN374">
        <v>6.0</v>
      </c>
      <c r="BO374">
        <v>7.0</v>
      </c>
      <c r="BP374" t="s">
        <v>8023</v>
      </c>
      <c r="BQ374" t="s">
        <v>4708</v>
      </c>
      <c r="BR374" t="s">
        <v>8024</v>
      </c>
      <c r="BS374" t="s">
        <v>8025</v>
      </c>
      <c r="BU374" t="s">
        <v>139</v>
      </c>
      <c r="BV374" s="3" t="str">
        <f>HYPERLINK("https://api.typeform.com/responses/files/2b729223020b594aea19bea6899ae1d423b10d1b0d1458c44493bdc09ec787fb/m.jpeg")</f>
        <v>https://api.typeform.com/responses/files/2b729223020b594aea19bea6899ae1d423b10d1b0d1458c44493bdc09ec787fb/m.jpeg</v>
      </c>
      <c r="BW374" t="b">
        <v>1</v>
      </c>
      <c r="BX374" t="s">
        <v>1394</v>
      </c>
      <c r="BY374" t="s">
        <v>140</v>
      </c>
      <c r="CA374" t="s">
        <v>1395</v>
      </c>
      <c r="CD374">
        <v>0.0</v>
      </c>
      <c r="CF374" t="b">
        <v>1</v>
      </c>
      <c r="CG374" t="b">
        <v>1</v>
      </c>
      <c r="CH374" t="s">
        <v>8026</v>
      </c>
      <c r="CJ374" t="b">
        <v>1</v>
      </c>
      <c r="CK374" t="b">
        <v>1</v>
      </c>
      <c r="CL374" t="s">
        <v>2301</v>
      </c>
      <c r="CO374" t="s">
        <v>1635</v>
      </c>
      <c r="CR374" t="b">
        <v>1</v>
      </c>
      <c r="CT374">
        <v>0.0</v>
      </c>
      <c r="CU374">
        <v>4.0</v>
      </c>
      <c r="CX374" s="4" t="s">
        <v>8027</v>
      </c>
      <c r="CZ374" s="5">
        <v>44546.76917824074</v>
      </c>
      <c r="DA374" t="s">
        <v>8028</v>
      </c>
    </row>
    <row r="375">
      <c r="A375" t="s">
        <v>98</v>
      </c>
      <c r="D375" t="s">
        <v>8029</v>
      </c>
      <c r="E375" t="s">
        <v>8030</v>
      </c>
      <c r="F375" s="2">
        <v>39026.0</v>
      </c>
      <c r="G375" t="s">
        <v>1360</v>
      </c>
      <c r="I375" s="3" t="str">
        <f>HYPERLINK("https://api.typeform.com/responses/files/4b5393e60c8302581030d06b6fab1638e8e7df93cf273ef10c0e0ee1186cf2c2/download.jpeg")</f>
        <v>https://api.typeform.com/responses/files/4b5393e60c8302581030d06b6fab1638e8e7df93cf273ef10c0e0ee1186cf2c2/download.jpeg</v>
      </c>
      <c r="J375" t="s">
        <v>8031</v>
      </c>
      <c r="K375" t="b">
        <v>1</v>
      </c>
      <c r="L375" s="4" t="s">
        <v>8032</v>
      </c>
      <c r="M375" t="s">
        <v>8033</v>
      </c>
      <c r="N375" t="s">
        <v>255</v>
      </c>
      <c r="P375" t="s">
        <v>8034</v>
      </c>
      <c r="Q375" t="s">
        <v>189</v>
      </c>
      <c r="R375" t="s">
        <v>8035</v>
      </c>
      <c r="S375" t="s">
        <v>8033</v>
      </c>
      <c r="T375" s="4" t="s">
        <v>8036</v>
      </c>
      <c r="U375" t="s">
        <v>7842</v>
      </c>
      <c r="V375" t="s">
        <v>8037</v>
      </c>
      <c r="W375" t="s">
        <v>1412</v>
      </c>
      <c r="Y375" t="s">
        <v>158</v>
      </c>
      <c r="Z375" t="s">
        <v>195</v>
      </c>
      <c r="AC375" s="3" t="str">
        <f>HYPERLINK("https://api.typeform.com/responses/files/4247ae5c4183a95eaa1325446e11fe873470cdaa553a38f3fc9e2fe64e005319/download.jpeg")</f>
        <v>https://api.typeform.com/responses/files/4247ae5c4183a95eaa1325446e11fe873470cdaa553a38f3fc9e2fe64e005319/download.jpeg</v>
      </c>
      <c r="AD375" t="s">
        <v>118</v>
      </c>
      <c r="AE375" t="s">
        <v>4219</v>
      </c>
      <c r="AF375" t="s">
        <v>2929</v>
      </c>
      <c r="AG375">
        <v>14.0</v>
      </c>
      <c r="AH375" t="s">
        <v>8038</v>
      </c>
      <c r="AI375" t="s">
        <v>205</v>
      </c>
      <c r="AK375" t="s">
        <v>8039</v>
      </c>
      <c r="AL375" t="s">
        <v>8040</v>
      </c>
      <c r="AO375" t="s">
        <v>335</v>
      </c>
      <c r="AP375">
        <v>5.0</v>
      </c>
      <c r="AQ375" t="s">
        <v>126</v>
      </c>
      <c r="AR375" t="s">
        <v>8041</v>
      </c>
      <c r="AS375" t="b">
        <v>1</v>
      </c>
      <c r="AT375" t="b">
        <v>0</v>
      </c>
      <c r="AV375">
        <v>4.0</v>
      </c>
      <c r="AW375" t="b">
        <v>1</v>
      </c>
      <c r="AX375" t="s">
        <v>1481</v>
      </c>
      <c r="AY375" s="4" t="s">
        <v>518</v>
      </c>
      <c r="AZ375" t="b">
        <v>0</v>
      </c>
      <c r="BA375" t="b">
        <v>0</v>
      </c>
      <c r="BD375" t="s">
        <v>8042</v>
      </c>
      <c r="BH375" t="s">
        <v>132</v>
      </c>
      <c r="BI375">
        <v>2.0</v>
      </c>
      <c r="BJ375" t="s">
        <v>8043</v>
      </c>
      <c r="BK375">
        <v>4.0</v>
      </c>
      <c r="BL375">
        <v>3.0</v>
      </c>
      <c r="BM375" t="s">
        <v>8044</v>
      </c>
      <c r="BN375">
        <v>1.0</v>
      </c>
      <c r="BO375">
        <v>4.0</v>
      </c>
      <c r="BP375" t="s">
        <v>8045</v>
      </c>
      <c r="BQ375" t="s">
        <v>1931</v>
      </c>
      <c r="BR375" t="s">
        <v>8046</v>
      </c>
      <c r="BS375" t="s">
        <v>8047</v>
      </c>
      <c r="BU375" t="s">
        <v>8048</v>
      </c>
      <c r="BV375" s="3" t="str">
        <f>HYPERLINK("https://api.typeform.com/responses/files/109173d330c70de9f1873f85d5aa7eb5ae619447b70ad6550e3c372e9cc90f2b/download.jpeg")</f>
        <v>https://api.typeform.com/responses/files/109173d330c70de9f1873f85d5aa7eb5ae619447b70ad6550e3c372e9cc90f2b/download.jpeg</v>
      </c>
      <c r="BW375" t="b">
        <v>1</v>
      </c>
      <c r="BX375" t="s">
        <v>1394</v>
      </c>
      <c r="BY375" t="s">
        <v>140</v>
      </c>
      <c r="CA375" t="s">
        <v>1395</v>
      </c>
      <c r="CD375">
        <v>0.0</v>
      </c>
      <c r="CF375" t="b">
        <v>0</v>
      </c>
      <c r="CG375" t="b">
        <v>1</v>
      </c>
      <c r="CH375" t="s">
        <v>705</v>
      </c>
      <c r="CJ375" t="b">
        <v>1</v>
      </c>
      <c r="CK375" t="b">
        <v>0</v>
      </c>
      <c r="CL375" t="s">
        <v>636</v>
      </c>
      <c r="CO375" t="s">
        <v>124</v>
      </c>
      <c r="CR375" t="b">
        <v>1</v>
      </c>
      <c r="CT375">
        <v>0.0</v>
      </c>
      <c r="CU375">
        <v>0.0</v>
      </c>
      <c r="CX375" s="4" t="s">
        <v>8049</v>
      </c>
      <c r="CZ375" s="5">
        <v>44546.771574074075</v>
      </c>
      <c r="DA375" t="s">
        <v>8050</v>
      </c>
    </row>
    <row r="376">
      <c r="A376" t="s">
        <v>98</v>
      </c>
      <c r="D376" t="s">
        <v>8051</v>
      </c>
      <c r="E376" t="s">
        <v>8052</v>
      </c>
      <c r="F376" s="2">
        <v>38270.0</v>
      </c>
      <c r="G376" t="s">
        <v>1360</v>
      </c>
      <c r="I376" s="3" t="str">
        <f>HYPERLINK("https://api.typeform.com/responses/files/3405fef47e4d983a073134340c179cb7fe067de78bb9c204a68c0ae772db5f35/rubaya.png")</f>
        <v>https://api.typeform.com/responses/files/3405fef47e4d983a073134340c179cb7fe067de78bb9c204a68c0ae772db5f35/rubaya.png</v>
      </c>
      <c r="J376" t="s">
        <v>8053</v>
      </c>
      <c r="K376" t="b">
        <v>1</v>
      </c>
      <c r="L376" s="4" t="s">
        <v>8054</v>
      </c>
      <c r="M376" t="s">
        <v>8055</v>
      </c>
      <c r="N376" t="s">
        <v>255</v>
      </c>
      <c r="P376" t="s">
        <v>8056</v>
      </c>
      <c r="Q376" t="s">
        <v>152</v>
      </c>
      <c r="R376" t="s">
        <v>8057</v>
      </c>
      <c r="S376" t="s">
        <v>8055</v>
      </c>
      <c r="T376" s="4" t="s">
        <v>8058</v>
      </c>
      <c r="U376" t="s">
        <v>7762</v>
      </c>
      <c r="V376" t="s">
        <v>8059</v>
      </c>
      <c r="W376" t="s">
        <v>261</v>
      </c>
      <c r="Y376" t="s">
        <v>158</v>
      </c>
      <c r="Z376" t="s">
        <v>262</v>
      </c>
      <c r="AC376" s="3" t="str">
        <f>HYPERLINK("https://api.typeform.com/responses/files/5840e4c31d7f83539a54a3ee0d466c4ad87f35c7468ae1487eb17b4ff9997e20/download.png")</f>
        <v>https://api.typeform.com/responses/files/5840e4c31d7f83539a54a3ee0d466c4ad87f35c7468ae1487eb17b4ff9997e20/download.png</v>
      </c>
      <c r="AD376" t="s">
        <v>118</v>
      </c>
      <c r="AE376" t="s">
        <v>729</v>
      </c>
      <c r="AF376" t="s">
        <v>1731</v>
      </c>
      <c r="AG376">
        <v>10.0</v>
      </c>
      <c r="AH376" t="s">
        <v>258</v>
      </c>
      <c r="AI376" t="s">
        <v>205</v>
      </c>
      <c r="AL376" t="s">
        <v>2676</v>
      </c>
      <c r="AO376" t="s">
        <v>125</v>
      </c>
      <c r="AP376">
        <v>5.0</v>
      </c>
      <c r="AQ376" t="s">
        <v>126</v>
      </c>
      <c r="AR376" t="s">
        <v>1348</v>
      </c>
      <c r="AS376" t="b">
        <v>1</v>
      </c>
      <c r="AT376" t="b">
        <v>1</v>
      </c>
      <c r="AV376">
        <v>6.0</v>
      </c>
      <c r="AW376" t="b">
        <v>0</v>
      </c>
      <c r="AZ376" t="b">
        <v>0</v>
      </c>
      <c r="BA376" t="b">
        <v>0</v>
      </c>
      <c r="BD376" t="s">
        <v>8060</v>
      </c>
      <c r="BH376" t="s">
        <v>132</v>
      </c>
      <c r="BI376">
        <v>6.0</v>
      </c>
      <c r="BJ376" t="s">
        <v>8061</v>
      </c>
      <c r="BK376">
        <v>6.0</v>
      </c>
      <c r="BL376">
        <v>6.0</v>
      </c>
      <c r="BM376" t="s">
        <v>8062</v>
      </c>
      <c r="BN376">
        <v>5.0</v>
      </c>
      <c r="BO376">
        <v>6.0</v>
      </c>
      <c r="BP376" t="s">
        <v>8063</v>
      </c>
      <c r="BQ376" t="s">
        <v>7249</v>
      </c>
      <c r="BR376" t="s">
        <v>8064</v>
      </c>
      <c r="BS376" t="s">
        <v>8065</v>
      </c>
      <c r="BU376" t="s">
        <v>8066</v>
      </c>
      <c r="BV376" s="3" t="str">
        <f>HYPERLINK("https://api.typeform.com/responses/files/956f2fabc4c5c40a8d77ac2c341d9d67d316cf348ac2117a3f8f08921a2f5f06/download.png")</f>
        <v>https://api.typeform.com/responses/files/956f2fabc4c5c40a8d77ac2c341d9d67d316cf348ac2117a3f8f08921a2f5f06/download.png</v>
      </c>
      <c r="BW376" t="b">
        <v>1</v>
      </c>
      <c r="BX376" t="s">
        <v>1394</v>
      </c>
      <c r="BY376" t="s">
        <v>140</v>
      </c>
      <c r="CA376" t="s">
        <v>1395</v>
      </c>
      <c r="CD376">
        <v>0.0</v>
      </c>
      <c r="CF376" t="b">
        <v>0</v>
      </c>
      <c r="CG376" t="b">
        <v>0</v>
      </c>
      <c r="CH376" t="s">
        <v>8067</v>
      </c>
      <c r="CJ376" t="b">
        <v>1</v>
      </c>
      <c r="CK376" t="b">
        <v>0</v>
      </c>
      <c r="CL376" t="s">
        <v>636</v>
      </c>
      <c r="CO376" t="s">
        <v>124</v>
      </c>
      <c r="CR376" t="b">
        <v>1</v>
      </c>
      <c r="CT376">
        <v>4.0</v>
      </c>
      <c r="CU376">
        <v>2.0</v>
      </c>
      <c r="CX376" s="4" t="s">
        <v>8068</v>
      </c>
      <c r="CZ376" s="5">
        <v>44546.77241898148</v>
      </c>
      <c r="DA376" t="s">
        <v>8069</v>
      </c>
    </row>
    <row r="377">
      <c r="A377" t="s">
        <v>98</v>
      </c>
      <c r="D377" t="s">
        <v>8070</v>
      </c>
      <c r="E377" t="s">
        <v>8071</v>
      </c>
      <c r="F377" s="2">
        <v>37986.0</v>
      </c>
      <c r="G377" t="s">
        <v>1466</v>
      </c>
      <c r="I377" s="3" t="str">
        <f>HYPERLINK("https://api.typeform.com/responses/files/7b6f6d7cb43abe9478a29488961ff383ad5b4c06b3e967653bfb9a755d59bb2c/130923410_the_grizzly_bear_ursus_arctos_is_north_american_brown_bear_grizzly_walking_in_natural_habitat_forest.webp")</f>
        <v>https://api.typeform.com/responses/files/7b6f6d7cb43abe9478a29488961ff383ad5b4c06b3e967653bfb9a755d59bb2c/130923410_the_grizzly_bear_ursus_arctos_is_north_american_brown_bear_grizzly_walking_in_natural_habitat_forest.webp</v>
      </c>
      <c r="J377" t="s">
        <v>8072</v>
      </c>
      <c r="K377" t="b">
        <v>1</v>
      </c>
      <c r="L377" s="4" t="s">
        <v>8073</v>
      </c>
      <c r="M377" t="s">
        <v>8074</v>
      </c>
      <c r="N377" t="s">
        <v>149</v>
      </c>
      <c r="P377" t="s">
        <v>8075</v>
      </c>
      <c r="Q377" t="s">
        <v>152</v>
      </c>
      <c r="R377" t="s">
        <v>8076</v>
      </c>
      <c r="S377" t="s">
        <v>8074</v>
      </c>
      <c r="T377" s="4" t="s">
        <v>8077</v>
      </c>
      <c r="U377" t="s">
        <v>7919</v>
      </c>
      <c r="V377" t="s">
        <v>8078</v>
      </c>
      <c r="W377" t="s">
        <v>1412</v>
      </c>
      <c r="Y377" t="s">
        <v>158</v>
      </c>
      <c r="Z377" t="s">
        <v>195</v>
      </c>
      <c r="AC377" s="3" t="str">
        <f>HYPERLINK("https://api.typeform.com/responses/files/8b1787dfa019914ee0911095a6cd9e8a4fb285d2e8ed7f64e896a409cc265070/130923410_the_grizzly_bear_ursus_arctos_is_north_american_brown_bear_grizzly_walking_in_natural_habitat_forest.webp")</f>
        <v>https://api.typeform.com/responses/files/8b1787dfa019914ee0911095a6cd9e8a4fb285d2e8ed7f64e896a409cc265070/130923410_the_grizzly_bear_ursus_arctos_is_north_american_brown_bear_grizzly_walking_in_natural_habitat_forest.webp</v>
      </c>
      <c r="AD377" t="s">
        <v>118</v>
      </c>
      <c r="AE377" t="s">
        <v>729</v>
      </c>
      <c r="AF377" t="s">
        <v>412</v>
      </c>
      <c r="AG377">
        <v>17.0</v>
      </c>
      <c r="AH377" t="s">
        <v>8079</v>
      </c>
      <c r="AI377" t="s">
        <v>205</v>
      </c>
      <c r="AL377" t="s">
        <v>8080</v>
      </c>
      <c r="AO377" t="s">
        <v>335</v>
      </c>
      <c r="AP377">
        <v>5.0</v>
      </c>
      <c r="AQ377" t="s">
        <v>126</v>
      </c>
      <c r="AR377" t="s">
        <v>8081</v>
      </c>
      <c r="AS377" t="b">
        <v>1</v>
      </c>
      <c r="AT377" t="b">
        <v>0</v>
      </c>
      <c r="AV377">
        <v>4.0</v>
      </c>
      <c r="AW377" t="b">
        <v>0</v>
      </c>
      <c r="AZ377" t="b">
        <v>1</v>
      </c>
      <c r="BA377" t="b">
        <v>1</v>
      </c>
      <c r="BB377" t="b">
        <v>0</v>
      </c>
      <c r="BC377" t="s">
        <v>8082</v>
      </c>
      <c r="BH377" t="s">
        <v>132</v>
      </c>
      <c r="BI377">
        <v>2.0</v>
      </c>
      <c r="BJ377" t="s">
        <v>8083</v>
      </c>
      <c r="BK377">
        <v>4.0</v>
      </c>
      <c r="BL377">
        <v>4.0</v>
      </c>
      <c r="BM377" t="s">
        <v>8084</v>
      </c>
      <c r="BN377">
        <v>4.0</v>
      </c>
      <c r="BO377">
        <v>5.0</v>
      </c>
      <c r="BP377" t="s">
        <v>5933</v>
      </c>
      <c r="BQ377" t="s">
        <v>916</v>
      </c>
      <c r="BR377" t="s">
        <v>8085</v>
      </c>
      <c r="BS377" t="s">
        <v>8086</v>
      </c>
      <c r="BU377" t="s">
        <v>8087</v>
      </c>
      <c r="BV377" s="3" t="str">
        <f>HYPERLINK("https://api.typeform.com/responses/files/1ab772559342c93466fcef4afb4e4db16088de2c23edfd886509a0b952b67a1b/130923410_the_grizzly_bear_ursus_arctos_is_north_american_brown_bear_grizzly_walking_in_natural_habitat_forest.webp")</f>
        <v>https://api.typeform.com/responses/files/1ab772559342c93466fcef4afb4e4db16088de2c23edfd886509a0b952b67a1b/130923410_the_grizzly_bear_ursus_arctos_is_north_american_brown_bear_grizzly_walking_in_natural_habitat_forest.webp</v>
      </c>
      <c r="BW377" t="b">
        <v>1</v>
      </c>
      <c r="BX377" t="s">
        <v>1394</v>
      </c>
      <c r="BY377" t="s">
        <v>140</v>
      </c>
      <c r="CA377" t="s">
        <v>1395</v>
      </c>
      <c r="CD377">
        <v>0.0</v>
      </c>
      <c r="CF377" t="b">
        <v>1</v>
      </c>
      <c r="CG377" t="b">
        <v>0</v>
      </c>
      <c r="CH377" t="s">
        <v>1935</v>
      </c>
      <c r="CJ377" t="b">
        <v>1</v>
      </c>
      <c r="CK377" t="b">
        <v>1</v>
      </c>
      <c r="CL377" t="s">
        <v>413</v>
      </c>
      <c r="CO377" t="s">
        <v>124</v>
      </c>
      <c r="CR377" t="b">
        <v>1</v>
      </c>
      <c r="CT377">
        <v>0.0</v>
      </c>
      <c r="CU377">
        <v>4.0</v>
      </c>
      <c r="CX377" s="4" t="s">
        <v>8088</v>
      </c>
      <c r="CZ377" s="5">
        <v>44546.7731712963</v>
      </c>
      <c r="DA377" t="s">
        <v>8089</v>
      </c>
    </row>
    <row r="378">
      <c r="A378" t="s">
        <v>98</v>
      </c>
      <c r="D378" t="s">
        <v>8090</v>
      </c>
      <c r="E378" t="s">
        <v>8091</v>
      </c>
      <c r="F378" s="2">
        <v>38810.0</v>
      </c>
      <c r="G378" t="s">
        <v>1360</v>
      </c>
      <c r="I378" s="3" t="str">
        <f>HYPERLINK("https://api.typeform.com/responses/files/e7f84b2a0b107a20d22d131758cc1beb9e3ab5588256719aba4af9fd4a5462f4/Screen_Shot_2021_12_16_at_12.36.08_PM.png")</f>
        <v>https://api.typeform.com/responses/files/e7f84b2a0b107a20d22d131758cc1beb9e3ab5588256719aba4af9fd4a5462f4/Screen_Shot_2021_12_16_at_12.36.08_PM.png</v>
      </c>
      <c r="J378" t="s">
        <v>8092</v>
      </c>
      <c r="K378" t="b">
        <v>1</v>
      </c>
      <c r="L378" s="4" t="s">
        <v>8093</v>
      </c>
      <c r="M378" t="s">
        <v>8094</v>
      </c>
      <c r="N378" t="s">
        <v>149</v>
      </c>
      <c r="O378" t="s">
        <v>8095</v>
      </c>
      <c r="P378" t="s">
        <v>8096</v>
      </c>
      <c r="Q378" t="s">
        <v>152</v>
      </c>
      <c r="R378" t="s">
        <v>8097</v>
      </c>
      <c r="S378" t="s">
        <v>8098</v>
      </c>
      <c r="T378" s="4" t="s">
        <v>8099</v>
      </c>
      <c r="U378" t="s">
        <v>8100</v>
      </c>
      <c r="V378" t="s">
        <v>7802</v>
      </c>
      <c r="W378" t="s">
        <v>1412</v>
      </c>
      <c r="Y378" t="s">
        <v>158</v>
      </c>
      <c r="Z378" t="s">
        <v>195</v>
      </c>
      <c r="AC378" s="3" t="str">
        <f>HYPERLINK("https://api.typeform.com/responses/files/67676590288a60f13aa440dcb4b63d1bf7a699ae518d58c946194c72c74dfe24/Screen_Shot_2021_12_16_at_12.36.08_PM.png")</f>
        <v>https://api.typeform.com/responses/files/67676590288a60f13aa440dcb4b63d1bf7a699ae518d58c946194c72c74dfe24/Screen_Shot_2021_12_16_at_12.36.08_PM.png</v>
      </c>
      <c r="AD378" t="s">
        <v>118</v>
      </c>
      <c r="AE378" t="s">
        <v>729</v>
      </c>
      <c r="AF378" t="s">
        <v>8101</v>
      </c>
      <c r="AG378">
        <v>13.0</v>
      </c>
      <c r="AH378" t="s">
        <v>8102</v>
      </c>
      <c r="AI378" t="s">
        <v>205</v>
      </c>
      <c r="AK378" t="s">
        <v>8103</v>
      </c>
      <c r="AL378" t="s">
        <v>165</v>
      </c>
      <c r="AO378" t="s">
        <v>335</v>
      </c>
      <c r="AP378">
        <v>6.0</v>
      </c>
      <c r="AQ378" t="s">
        <v>303</v>
      </c>
      <c r="AR378" t="s">
        <v>8104</v>
      </c>
      <c r="AS378" t="b">
        <v>0</v>
      </c>
      <c r="AV378">
        <v>7.0</v>
      </c>
      <c r="AW378" t="b">
        <v>0</v>
      </c>
      <c r="AZ378" t="b">
        <v>0</v>
      </c>
      <c r="BA378" t="b">
        <v>0</v>
      </c>
      <c r="BD378" t="s">
        <v>8105</v>
      </c>
      <c r="BH378" t="s">
        <v>132</v>
      </c>
      <c r="BI378">
        <v>2.0</v>
      </c>
      <c r="BJ378" t="s">
        <v>4358</v>
      </c>
      <c r="BK378">
        <v>4.0</v>
      </c>
      <c r="BL378">
        <v>3.0</v>
      </c>
      <c r="BM378" t="s">
        <v>8106</v>
      </c>
      <c r="BN378">
        <v>1.0</v>
      </c>
      <c r="BO378">
        <v>4.0</v>
      </c>
      <c r="BP378" t="s">
        <v>8107</v>
      </c>
      <c r="BQ378" t="s">
        <v>2630</v>
      </c>
      <c r="BR378" t="s">
        <v>8108</v>
      </c>
      <c r="BS378" t="s">
        <v>8109</v>
      </c>
      <c r="BU378" t="s">
        <v>8110</v>
      </c>
      <c r="BV378" s="3" t="str">
        <f>HYPERLINK("https://api.typeform.com/responses/files/05e4d7b5ee3c334498d9f4b33313a99b3d38a5a914f53c9e4851fbd641f63374/Screen_Shot_2021_12_16_at_12.36.08_PM.png")</f>
        <v>https://api.typeform.com/responses/files/05e4d7b5ee3c334498d9f4b33313a99b3d38a5a914f53c9e4851fbd641f63374/Screen_Shot_2021_12_16_at_12.36.08_PM.png</v>
      </c>
      <c r="BW378" t="b">
        <v>1</v>
      </c>
      <c r="BX378" t="s">
        <v>1394</v>
      </c>
      <c r="BY378" t="s">
        <v>140</v>
      </c>
      <c r="CA378" t="s">
        <v>1395</v>
      </c>
      <c r="CD378">
        <v>0.0</v>
      </c>
      <c r="CF378" t="b">
        <v>1</v>
      </c>
      <c r="CG378" t="b">
        <v>1</v>
      </c>
      <c r="CH378" t="s">
        <v>168</v>
      </c>
      <c r="CJ378" t="b">
        <v>1</v>
      </c>
      <c r="CK378" t="b">
        <v>1</v>
      </c>
      <c r="CL378" t="s">
        <v>619</v>
      </c>
      <c r="CO378" t="s">
        <v>124</v>
      </c>
      <c r="CR378" t="b">
        <v>1</v>
      </c>
      <c r="CT378">
        <v>0.0</v>
      </c>
      <c r="CU378">
        <v>0.0</v>
      </c>
      <c r="CX378" s="4" t="s">
        <v>8111</v>
      </c>
      <c r="CZ378" s="5">
        <v>44546.774618055555</v>
      </c>
      <c r="DA378" t="s">
        <v>8112</v>
      </c>
    </row>
    <row r="379">
      <c r="A379" t="s">
        <v>98</v>
      </c>
      <c r="D379" t="s">
        <v>7895</v>
      </c>
      <c r="E379" t="s">
        <v>8113</v>
      </c>
      <c r="F379" s="2">
        <v>38511.0</v>
      </c>
      <c r="G379" t="s">
        <v>1360</v>
      </c>
      <c r="I379" s="3" t="str">
        <f>HYPERLINK("https://api.typeform.com/responses/files/bc127d9d933195aac1706547fec2c16b7832a2bc981c3934f2a1d57cc23393e1/IMG_0275.heic")</f>
        <v>https://api.typeform.com/responses/files/bc127d9d933195aac1706547fec2c16b7832a2bc981c3934f2a1d57cc23393e1/IMG_0275.heic</v>
      </c>
      <c r="J379" t="s">
        <v>8114</v>
      </c>
      <c r="K379" t="b">
        <v>1</v>
      </c>
      <c r="L379" s="4" t="s">
        <v>8115</v>
      </c>
      <c r="M379" t="s">
        <v>8116</v>
      </c>
      <c r="N379" t="s">
        <v>255</v>
      </c>
      <c r="O379" t="s">
        <v>479</v>
      </c>
      <c r="P379" t="s">
        <v>8117</v>
      </c>
      <c r="Q379" t="s">
        <v>152</v>
      </c>
      <c r="R379" t="s">
        <v>8118</v>
      </c>
      <c r="S379" t="s">
        <v>8116</v>
      </c>
      <c r="T379" s="4" t="s">
        <v>8119</v>
      </c>
      <c r="U379" t="s">
        <v>7424</v>
      </c>
      <c r="V379" t="s">
        <v>7425</v>
      </c>
      <c r="W379" t="s">
        <v>2290</v>
      </c>
      <c r="Y379" t="s">
        <v>158</v>
      </c>
      <c r="Z379" t="s">
        <v>262</v>
      </c>
      <c r="AC379" s="3" t="str">
        <f>HYPERLINK("https://api.typeform.com/responses/files/b699ccca35276103528a9de753baa38326227ddc91e8ca9c254d0fade7dae400/IMG_0897.heic")</f>
        <v>https://api.typeform.com/responses/files/b699ccca35276103528a9de753baa38326227ddc91e8ca9c254d0fade7dae400/IMG_0897.heic</v>
      </c>
      <c r="AD379" t="s">
        <v>118</v>
      </c>
      <c r="AE379" t="s">
        <v>729</v>
      </c>
      <c r="AF379" t="s">
        <v>2651</v>
      </c>
      <c r="AG379">
        <v>13.0</v>
      </c>
      <c r="AH379" t="s">
        <v>620</v>
      </c>
      <c r="AI379" t="s">
        <v>543</v>
      </c>
      <c r="AL379" t="s">
        <v>199</v>
      </c>
      <c r="AO379" t="s">
        <v>335</v>
      </c>
      <c r="AP379">
        <v>5.0</v>
      </c>
      <c r="AQ379" t="s">
        <v>126</v>
      </c>
      <c r="AR379" t="s">
        <v>8120</v>
      </c>
      <c r="AS379" t="b">
        <v>1</v>
      </c>
      <c r="AT379" t="b">
        <v>1</v>
      </c>
      <c r="AV379">
        <v>5.0</v>
      </c>
      <c r="AW379" t="b">
        <v>1</v>
      </c>
      <c r="AX379" t="s">
        <v>2797</v>
      </c>
      <c r="AY379" s="4" t="s">
        <v>518</v>
      </c>
      <c r="AZ379" t="b">
        <v>0</v>
      </c>
      <c r="BA379" t="b">
        <v>1</v>
      </c>
      <c r="BB379" t="b">
        <v>0</v>
      </c>
      <c r="BC379" t="s">
        <v>8121</v>
      </c>
      <c r="BH379" t="s">
        <v>132</v>
      </c>
      <c r="BI379">
        <v>4.0</v>
      </c>
      <c r="BJ379" t="s">
        <v>8122</v>
      </c>
      <c r="BK379">
        <v>4.0</v>
      </c>
      <c r="BL379">
        <v>4.0</v>
      </c>
      <c r="BM379" t="s">
        <v>8123</v>
      </c>
      <c r="BN379">
        <v>4.0</v>
      </c>
      <c r="BO379">
        <v>5.0</v>
      </c>
      <c r="BP379" t="s">
        <v>8124</v>
      </c>
      <c r="BQ379" t="s">
        <v>977</v>
      </c>
      <c r="BR379" t="s">
        <v>8125</v>
      </c>
      <c r="BS379" t="s">
        <v>8126</v>
      </c>
      <c r="BU379" t="s">
        <v>179</v>
      </c>
      <c r="BV379" s="3" t="str">
        <f>HYPERLINK("https://api.typeform.com/responses/files/69553cf865f9d08b670fc47b4078d5a40e3f93acb7feee9bac2ad28ae719e7c2/GENESIS_ARAUJO___SPEAKHIRE_2021___Parent_Consent_Form.pdf")</f>
        <v>https://api.typeform.com/responses/files/69553cf865f9d08b670fc47b4078d5a40e3f93acb7feee9bac2ad28ae719e7c2/GENESIS_ARAUJO___SPEAKHIRE_2021___Parent_Consent_Form.pdf</v>
      </c>
      <c r="BW379" t="b">
        <v>1</v>
      </c>
      <c r="BX379" t="s">
        <v>1394</v>
      </c>
      <c r="BY379" t="s">
        <v>140</v>
      </c>
      <c r="CA379" t="s">
        <v>1395</v>
      </c>
      <c r="CD379">
        <v>0.0</v>
      </c>
      <c r="CF379" t="b">
        <v>1</v>
      </c>
      <c r="CG379" t="b">
        <v>1</v>
      </c>
      <c r="CH379" t="s">
        <v>128</v>
      </c>
      <c r="CJ379" t="b">
        <v>1</v>
      </c>
      <c r="CK379" t="b">
        <v>1</v>
      </c>
      <c r="CL379" t="s">
        <v>2301</v>
      </c>
      <c r="CO379" t="s">
        <v>200</v>
      </c>
      <c r="CR379" t="b">
        <v>1</v>
      </c>
      <c r="CT379">
        <v>0.0</v>
      </c>
      <c r="CU379">
        <v>0.0</v>
      </c>
      <c r="CX379" s="4" t="s">
        <v>2995</v>
      </c>
      <c r="CZ379" s="5">
        <v>44546.99013888889</v>
      </c>
      <c r="DA379" t="s">
        <v>8127</v>
      </c>
    </row>
    <row r="380">
      <c r="A380" t="s">
        <v>98</v>
      </c>
      <c r="D380" t="s">
        <v>8128</v>
      </c>
      <c r="E380" t="s">
        <v>8129</v>
      </c>
      <c r="F380" s="2">
        <v>38760.0</v>
      </c>
      <c r="G380" t="s">
        <v>1360</v>
      </c>
      <c r="I380" s="3" t="str">
        <f>HYPERLINK("https://api.typeform.com/responses/files/0f2bb073a9330ecf3312baf9a6d265e6e6ee303cfc2045bc0442514726fb4495/9a058f0f_dcec_43dc_91ec_80ab08fd17b4.jpg")</f>
        <v>https://api.typeform.com/responses/files/0f2bb073a9330ecf3312baf9a6d265e6e6ee303cfc2045bc0442514726fb4495/9a058f0f_dcec_43dc_91ec_80ab08fd17b4.jpg</v>
      </c>
      <c r="J380" t="s">
        <v>8130</v>
      </c>
      <c r="K380" t="b">
        <v>1</v>
      </c>
      <c r="L380" s="4" t="s">
        <v>8131</v>
      </c>
      <c r="M380" t="s">
        <v>8132</v>
      </c>
      <c r="N380" t="s">
        <v>255</v>
      </c>
      <c r="O380" t="s">
        <v>8133</v>
      </c>
      <c r="P380" t="s">
        <v>8134</v>
      </c>
      <c r="Q380" t="s">
        <v>152</v>
      </c>
      <c r="R380" t="s">
        <v>8135</v>
      </c>
      <c r="S380" t="s">
        <v>8132</v>
      </c>
      <c r="T380" s="4" t="s">
        <v>8136</v>
      </c>
      <c r="U380" t="s">
        <v>7489</v>
      </c>
      <c r="V380" t="s">
        <v>8137</v>
      </c>
      <c r="W380" t="s">
        <v>2290</v>
      </c>
      <c r="Y380" t="s">
        <v>158</v>
      </c>
      <c r="Z380" t="s">
        <v>262</v>
      </c>
      <c r="AC380" s="3" t="str">
        <f>HYPERLINK("https://api.typeform.com/responses/files/287c6259f90b8e5fb01a9a63b874afcc552cdcd758cbf756c3d76817c337fabb/adeab608_c68f_427b_be87_9cd705b4ef5e.jpg")</f>
        <v>https://api.typeform.com/responses/files/287c6259f90b8e5fb01a9a63b874afcc552cdcd758cbf756c3d76817c337fabb/adeab608_c68f_427b_be87_9cd705b4ef5e.jpg</v>
      </c>
      <c r="AD380" t="s">
        <v>118</v>
      </c>
      <c r="AE380" t="s">
        <v>729</v>
      </c>
      <c r="AF380" t="s">
        <v>2292</v>
      </c>
      <c r="AG380">
        <v>15.0</v>
      </c>
      <c r="AH380" t="s">
        <v>258</v>
      </c>
      <c r="AI380" t="s">
        <v>543</v>
      </c>
      <c r="AL380" t="s">
        <v>199</v>
      </c>
      <c r="AO380" t="s">
        <v>1479</v>
      </c>
      <c r="AP380">
        <v>5.0</v>
      </c>
      <c r="AQ380" t="s">
        <v>1520</v>
      </c>
      <c r="AR380" t="s">
        <v>5537</v>
      </c>
      <c r="AS380" t="b">
        <v>1</v>
      </c>
      <c r="AT380" t="b">
        <v>1</v>
      </c>
      <c r="AV380">
        <v>4.0</v>
      </c>
      <c r="AW380" t="b">
        <v>0</v>
      </c>
      <c r="AZ380" t="b">
        <v>0</v>
      </c>
      <c r="BA380" t="b">
        <v>0</v>
      </c>
      <c r="BD380" t="s">
        <v>8138</v>
      </c>
      <c r="BH380" t="s">
        <v>132</v>
      </c>
      <c r="BI380">
        <v>2.0</v>
      </c>
      <c r="BJ380" t="s">
        <v>8139</v>
      </c>
      <c r="BK380">
        <v>3.0</v>
      </c>
      <c r="BL380">
        <v>3.0</v>
      </c>
      <c r="BM380" t="s">
        <v>8140</v>
      </c>
      <c r="BN380">
        <v>3.0</v>
      </c>
      <c r="BO380">
        <v>4.0</v>
      </c>
      <c r="BP380" t="s">
        <v>8141</v>
      </c>
      <c r="BQ380" t="s">
        <v>977</v>
      </c>
      <c r="BR380" t="s">
        <v>8142</v>
      </c>
      <c r="BS380" t="s">
        <v>8143</v>
      </c>
      <c r="BU380" t="s">
        <v>8144</v>
      </c>
      <c r="BV380" s="3" t="str">
        <f>HYPERLINK("https://api.typeform.com/responses/files/469c987e04ab5aa5ad58b5f785f7f7f65f5a08508476ef008b09c14101d11de5/Screenshot_2021_12_16_195724.png")</f>
        <v>https://api.typeform.com/responses/files/469c987e04ab5aa5ad58b5f785f7f7f65f5a08508476ef008b09c14101d11de5/Screenshot_2021_12_16_195724.png</v>
      </c>
      <c r="BW380" t="b">
        <v>1</v>
      </c>
      <c r="BX380" t="s">
        <v>1394</v>
      </c>
      <c r="BY380" t="s">
        <v>140</v>
      </c>
      <c r="CA380" t="s">
        <v>1395</v>
      </c>
      <c r="CD380">
        <v>0.0</v>
      </c>
      <c r="CF380" t="b">
        <v>0</v>
      </c>
      <c r="CG380" t="b">
        <v>0</v>
      </c>
      <c r="CH380" t="s">
        <v>128</v>
      </c>
      <c r="CJ380" t="b">
        <v>0</v>
      </c>
      <c r="CK380" t="b">
        <v>0</v>
      </c>
      <c r="CL380" t="s">
        <v>2301</v>
      </c>
      <c r="CN380" t="s">
        <v>258</v>
      </c>
      <c r="CO380" t="s">
        <v>388</v>
      </c>
      <c r="CR380" t="b">
        <v>1</v>
      </c>
      <c r="CT380">
        <v>0.0</v>
      </c>
      <c r="CU380">
        <v>0.0</v>
      </c>
      <c r="CX380" t="s">
        <v>258</v>
      </c>
      <c r="CZ380" s="5">
        <v>44547.04158564815</v>
      </c>
      <c r="DA380" t="s">
        <v>8145</v>
      </c>
    </row>
    <row r="381">
      <c r="A381" t="s">
        <v>98</v>
      </c>
      <c r="D381" t="s">
        <v>7895</v>
      </c>
      <c r="E381" t="s">
        <v>8146</v>
      </c>
      <c r="F381" s="2">
        <v>38889.0</v>
      </c>
      <c r="G381" t="s">
        <v>1360</v>
      </c>
      <c r="I381" s="3" t="str">
        <f>HYPERLINK("https://api.typeform.com/responses/files/1195458d700c407d8edeaa4ea65b03979e91a09f8111a20ec89dc0f2f4cea3a3/IMG_4064.JPG")</f>
        <v>https://api.typeform.com/responses/files/1195458d700c407d8edeaa4ea65b03979e91a09f8111a20ec89dc0f2f4cea3a3/IMG_4064.JPG</v>
      </c>
      <c r="J381" t="s">
        <v>8147</v>
      </c>
      <c r="K381" t="b">
        <v>1</v>
      </c>
      <c r="L381" s="4" t="s">
        <v>8148</v>
      </c>
      <c r="M381" t="s">
        <v>8149</v>
      </c>
      <c r="N381" t="s">
        <v>105</v>
      </c>
      <c r="P381" t="s">
        <v>8150</v>
      </c>
      <c r="Q381" t="s">
        <v>189</v>
      </c>
      <c r="R381" t="s">
        <v>8151</v>
      </c>
      <c r="S381" t="s">
        <v>8152</v>
      </c>
      <c r="T381" s="4" t="s">
        <v>8153</v>
      </c>
      <c r="U381" t="s">
        <v>8154</v>
      </c>
      <c r="V381" t="s">
        <v>8155</v>
      </c>
      <c r="W381" t="s">
        <v>261</v>
      </c>
      <c r="Y381" t="s">
        <v>158</v>
      </c>
      <c r="Z381" t="s">
        <v>195</v>
      </c>
      <c r="AC381" s="3" t="str">
        <f>HYPERLINK("https://api.typeform.com/responses/files/ccfa12e4c310e56d363af6aeb448d23b23ce4349af0f83c214c7b55c5456c456/IMG_4065.jpg")</f>
        <v>https://api.typeform.com/responses/files/ccfa12e4c310e56d363af6aeb448d23b23ce4349af0f83c214c7b55c5456c456/IMG_4065.jpg</v>
      </c>
      <c r="AD381" t="s">
        <v>118</v>
      </c>
      <c r="AE381" t="s">
        <v>729</v>
      </c>
      <c r="AF381" t="s">
        <v>197</v>
      </c>
      <c r="AG381">
        <v>4.0</v>
      </c>
      <c r="AH381" t="s">
        <v>1447</v>
      </c>
      <c r="AI381" t="s">
        <v>162</v>
      </c>
      <c r="AK381" t="s">
        <v>179</v>
      </c>
      <c r="AL381" t="s">
        <v>967</v>
      </c>
      <c r="AO381" t="s">
        <v>335</v>
      </c>
      <c r="AP381">
        <v>4.0</v>
      </c>
      <c r="AQ381" t="s">
        <v>2625</v>
      </c>
      <c r="AR381" t="s">
        <v>8156</v>
      </c>
      <c r="AS381" t="b">
        <v>1</v>
      </c>
      <c r="AT381" t="b">
        <v>0</v>
      </c>
      <c r="AV381">
        <v>6.0</v>
      </c>
      <c r="AW381" t="b">
        <v>1</v>
      </c>
      <c r="AX381" t="s">
        <v>1902</v>
      </c>
      <c r="AY381" t="s">
        <v>1451</v>
      </c>
      <c r="AZ381" t="b">
        <v>0</v>
      </c>
      <c r="BA381" t="b">
        <v>1</v>
      </c>
      <c r="BB381" t="b">
        <v>1</v>
      </c>
      <c r="BC381" t="s">
        <v>8157</v>
      </c>
      <c r="BH381" t="s">
        <v>132</v>
      </c>
      <c r="BI381">
        <v>4.0</v>
      </c>
      <c r="BJ381" t="s">
        <v>8158</v>
      </c>
      <c r="BK381">
        <v>4.0</v>
      </c>
      <c r="BL381">
        <v>5.0</v>
      </c>
      <c r="BM381" t="s">
        <v>8159</v>
      </c>
      <c r="BN381">
        <v>3.0</v>
      </c>
      <c r="BO381">
        <v>5.0</v>
      </c>
      <c r="BP381" t="s">
        <v>8160</v>
      </c>
      <c r="BQ381" t="s">
        <v>916</v>
      </c>
      <c r="BR381" t="s">
        <v>8161</v>
      </c>
      <c r="BS381" t="s">
        <v>8162</v>
      </c>
      <c r="BU381" t="s">
        <v>258</v>
      </c>
      <c r="BV381" s="3" t="str">
        <f>HYPERLINK("https://api.typeform.com/responses/files/ee045cc1aa63cfc51d0ae841c1f3ff7ff97569f58593086a5a7e8159f58a9574/SPEAKHIRE_Parent.Guardian_Consent_Form.pdf")</f>
        <v>https://api.typeform.com/responses/files/ee045cc1aa63cfc51d0ae841c1f3ff7ff97569f58593086a5a7e8159f58a9574/SPEAKHIRE_Parent.Guardian_Consent_Form.pdf</v>
      </c>
      <c r="BW381" t="b">
        <v>1</v>
      </c>
      <c r="BX381" t="s">
        <v>1394</v>
      </c>
      <c r="BY381" t="s">
        <v>140</v>
      </c>
      <c r="CA381" t="s">
        <v>1395</v>
      </c>
      <c r="CD381">
        <v>0.0</v>
      </c>
      <c r="CF381" t="b">
        <v>1</v>
      </c>
      <c r="CG381" t="b">
        <v>0</v>
      </c>
      <c r="CH381" t="s">
        <v>128</v>
      </c>
      <c r="CJ381" t="b">
        <v>0</v>
      </c>
      <c r="CK381" t="b">
        <v>1</v>
      </c>
      <c r="CL381" t="s">
        <v>541</v>
      </c>
      <c r="CO381" t="s">
        <v>1635</v>
      </c>
      <c r="CR381" t="b">
        <v>1</v>
      </c>
      <c r="CT381">
        <v>1.0</v>
      </c>
      <c r="CU381">
        <v>0.0</v>
      </c>
      <c r="CX381" t="s">
        <v>8163</v>
      </c>
      <c r="CZ381" s="5">
        <v>44547.05027777778</v>
      </c>
      <c r="DA381" t="s">
        <v>8164</v>
      </c>
    </row>
    <row r="382">
      <c r="A382" t="s">
        <v>98</v>
      </c>
      <c r="D382" t="s">
        <v>8165</v>
      </c>
      <c r="E382" t="s">
        <v>8166</v>
      </c>
      <c r="F382" s="2">
        <v>38710.0</v>
      </c>
      <c r="G382" t="s">
        <v>1360</v>
      </c>
      <c r="I382" s="3" t="str">
        <f>HYPERLINK("https://api.typeform.com/responses/files/5a1877ec8c1cc40b398cf5029d4ff0dc9e05d94c51604a0b235be94c3ef849a1/IMG_0080.jpg")</f>
        <v>https://api.typeform.com/responses/files/5a1877ec8c1cc40b398cf5029d4ff0dc9e05d94c51604a0b235be94c3ef849a1/IMG_0080.jpg</v>
      </c>
      <c r="J382" t="s">
        <v>8167</v>
      </c>
      <c r="K382" t="b">
        <v>1</v>
      </c>
      <c r="L382" s="4" t="s">
        <v>8168</v>
      </c>
      <c r="M382" t="s">
        <v>8169</v>
      </c>
      <c r="N382" t="s">
        <v>255</v>
      </c>
      <c r="P382" t="s">
        <v>8170</v>
      </c>
      <c r="Q382" t="s">
        <v>189</v>
      </c>
      <c r="R382" t="s">
        <v>8171</v>
      </c>
      <c r="S382" t="s">
        <v>8172</v>
      </c>
      <c r="T382" s="4" t="s">
        <v>8168</v>
      </c>
      <c r="U382" t="s">
        <v>8173</v>
      </c>
      <c r="V382" t="s">
        <v>8174</v>
      </c>
      <c r="W382" t="s">
        <v>261</v>
      </c>
      <c r="Y382" t="s">
        <v>158</v>
      </c>
      <c r="Z382" t="s">
        <v>195</v>
      </c>
      <c r="AC382" s="3" t="str">
        <f>HYPERLINK("https://api.typeform.com/responses/files/983ce0fbb83099190c6bc1c3b4cf8fbb73b035c1049f2a628713b8efacfa9aa0/IMG_0099.jpg")</f>
        <v>https://api.typeform.com/responses/files/983ce0fbb83099190c6bc1c3b4cf8fbb73b035c1049f2a628713b8efacfa9aa0/IMG_0099.jpg</v>
      </c>
      <c r="AD382" t="s">
        <v>118</v>
      </c>
      <c r="AE382" t="s">
        <v>729</v>
      </c>
      <c r="AF382" t="s">
        <v>6277</v>
      </c>
      <c r="AG382">
        <v>8.0</v>
      </c>
      <c r="AH382" t="s">
        <v>8175</v>
      </c>
      <c r="AI382" t="s">
        <v>162</v>
      </c>
      <c r="AK382" t="s">
        <v>8176</v>
      </c>
      <c r="AL382" t="s">
        <v>1925</v>
      </c>
      <c r="AO382" t="s">
        <v>125</v>
      </c>
      <c r="AP382">
        <v>3.0</v>
      </c>
      <c r="AQ382" t="s">
        <v>126</v>
      </c>
      <c r="AR382" t="s">
        <v>3460</v>
      </c>
      <c r="AS382" t="b">
        <v>1</v>
      </c>
      <c r="AT382" t="b">
        <v>0</v>
      </c>
      <c r="AV382">
        <v>6.0</v>
      </c>
      <c r="AW382" t="b">
        <v>1</v>
      </c>
      <c r="AX382" t="s">
        <v>1902</v>
      </c>
      <c r="AY382" t="s">
        <v>1430</v>
      </c>
      <c r="AZ382" t="b">
        <v>0</v>
      </c>
      <c r="BA382" t="b">
        <v>1</v>
      </c>
      <c r="BB382" t="b">
        <v>0</v>
      </c>
      <c r="BC382" t="s">
        <v>8177</v>
      </c>
      <c r="BH382" t="s">
        <v>132</v>
      </c>
      <c r="BI382">
        <v>2.0</v>
      </c>
      <c r="BJ382" t="s">
        <v>8178</v>
      </c>
      <c r="BK382">
        <v>2.0</v>
      </c>
      <c r="BL382">
        <v>3.0</v>
      </c>
      <c r="BM382" t="s">
        <v>8179</v>
      </c>
      <c r="BN382">
        <v>3.0</v>
      </c>
      <c r="BO382">
        <v>3.0</v>
      </c>
      <c r="BP382" t="s">
        <v>8180</v>
      </c>
      <c r="BQ382" t="s">
        <v>8181</v>
      </c>
      <c r="BR382" t="s">
        <v>8182</v>
      </c>
      <c r="BS382" t="s">
        <v>8183</v>
      </c>
      <c r="BU382" t="s">
        <v>139</v>
      </c>
      <c r="BV382" s="3" t="str">
        <f>HYPERLINK("https://api.typeform.com/responses/files/293f7bab87d076ceb3cea254539312976e4cf318a8c0b8ee7af2596a2c9142c8/SPEAKHIRE_Parent.Guardian_Consent_Form.pdf")</f>
        <v>https://api.typeform.com/responses/files/293f7bab87d076ceb3cea254539312976e4cf318a8c0b8ee7af2596a2c9142c8/SPEAKHIRE_Parent.Guardian_Consent_Form.pdf</v>
      </c>
      <c r="BW382" t="b">
        <v>1</v>
      </c>
      <c r="BX382" t="s">
        <v>1394</v>
      </c>
      <c r="BY382" t="s">
        <v>140</v>
      </c>
      <c r="CA382" t="s">
        <v>1395</v>
      </c>
      <c r="CD382">
        <v>0.0</v>
      </c>
      <c r="CF382" t="b">
        <v>1</v>
      </c>
      <c r="CG382" t="b">
        <v>0</v>
      </c>
      <c r="CH382" t="s">
        <v>705</v>
      </c>
      <c r="CJ382" t="b">
        <v>1</v>
      </c>
      <c r="CK382" t="b">
        <v>0</v>
      </c>
      <c r="CL382" t="s">
        <v>387</v>
      </c>
      <c r="CO382" t="s">
        <v>309</v>
      </c>
      <c r="CR382" t="b">
        <v>1</v>
      </c>
      <c r="CT382">
        <v>0.0</v>
      </c>
      <c r="CU382">
        <v>0.0</v>
      </c>
      <c r="CX382" s="4" t="s">
        <v>8184</v>
      </c>
      <c r="CZ382" s="5">
        <v>44547.17150462963</v>
      </c>
      <c r="DA382" t="s">
        <v>8185</v>
      </c>
    </row>
    <row r="383">
      <c r="A383" t="s">
        <v>98</v>
      </c>
      <c r="D383" t="s">
        <v>3190</v>
      </c>
      <c r="E383" t="s">
        <v>5155</v>
      </c>
      <c r="F383" s="2">
        <v>38595.0</v>
      </c>
      <c r="G383" t="s">
        <v>1466</v>
      </c>
      <c r="I383" s="3" t="str">
        <f>HYPERLINK("https://api.typeform.com/responses/files/465524157dda56ac00b3345ed55d6ed1cf8bd810ac84e407c091acfa81527055/IMG_0297.jpg")</f>
        <v>https://api.typeform.com/responses/files/465524157dda56ac00b3345ed55d6ed1cf8bd810ac84e407c091acfa81527055/IMG_0297.jpg</v>
      </c>
      <c r="J383" t="s">
        <v>8186</v>
      </c>
      <c r="K383" t="b">
        <v>1</v>
      </c>
      <c r="L383" s="4" t="s">
        <v>8187</v>
      </c>
      <c r="M383" t="s">
        <v>8188</v>
      </c>
      <c r="N383" t="s">
        <v>255</v>
      </c>
      <c r="O383" t="s">
        <v>8189</v>
      </c>
      <c r="P383" t="s">
        <v>8190</v>
      </c>
      <c r="Q383" t="s">
        <v>189</v>
      </c>
      <c r="R383" t="s">
        <v>8191</v>
      </c>
      <c r="S383" t="s">
        <v>8188</v>
      </c>
      <c r="T383" s="4" t="s">
        <v>8192</v>
      </c>
      <c r="U383" t="s">
        <v>7687</v>
      </c>
      <c r="V383" t="s">
        <v>7425</v>
      </c>
      <c r="W383" t="s">
        <v>2290</v>
      </c>
      <c r="Y383" t="s">
        <v>158</v>
      </c>
      <c r="Z383" t="s">
        <v>262</v>
      </c>
      <c r="AC383" s="3" t="str">
        <f>HYPERLINK("https://api.typeform.com/responses/files/835545f503ffa157a8b5b311cfe54cd77edb39e662a3ec77d20a8339c1849235/IMG_0277.jpg")</f>
        <v>https://api.typeform.com/responses/files/835545f503ffa157a8b5b311cfe54cd77edb39e662a3ec77d20a8339c1849235/IMG_0277.jpg</v>
      </c>
      <c r="AD383" t="s">
        <v>118</v>
      </c>
      <c r="AE383" t="s">
        <v>729</v>
      </c>
      <c r="AF383" t="s">
        <v>8193</v>
      </c>
      <c r="AG383">
        <v>11.0</v>
      </c>
      <c r="AH383" t="s">
        <v>8194</v>
      </c>
      <c r="AI383" t="s">
        <v>121</v>
      </c>
      <c r="AL383" t="s">
        <v>199</v>
      </c>
      <c r="AO383" t="s">
        <v>335</v>
      </c>
      <c r="AP383">
        <v>7.0</v>
      </c>
      <c r="AQ383" t="s">
        <v>126</v>
      </c>
      <c r="AR383" t="s">
        <v>8195</v>
      </c>
      <c r="AS383" t="b">
        <v>1</v>
      </c>
      <c r="AT383" t="b">
        <v>1</v>
      </c>
      <c r="AV383">
        <v>7.0</v>
      </c>
      <c r="AW383" t="b">
        <v>0</v>
      </c>
      <c r="AZ383" t="b">
        <v>0</v>
      </c>
      <c r="BA383" t="b">
        <v>1</v>
      </c>
      <c r="BB383" t="b">
        <v>0</v>
      </c>
      <c r="BC383" t="s">
        <v>8196</v>
      </c>
      <c r="BH383" t="s">
        <v>132</v>
      </c>
      <c r="BI383">
        <v>1.0</v>
      </c>
      <c r="BJ383" t="s">
        <v>8197</v>
      </c>
      <c r="BK383">
        <v>3.0</v>
      </c>
      <c r="BL383">
        <v>2.0</v>
      </c>
      <c r="BM383" t="s">
        <v>8198</v>
      </c>
      <c r="BN383">
        <v>1.0</v>
      </c>
      <c r="BO383">
        <v>5.0</v>
      </c>
      <c r="BP383" t="s">
        <v>8199</v>
      </c>
      <c r="BQ383" t="s">
        <v>8200</v>
      </c>
      <c r="BR383" t="s">
        <v>8201</v>
      </c>
      <c r="BS383" t="s">
        <v>8202</v>
      </c>
      <c r="BU383" t="s">
        <v>8203</v>
      </c>
      <c r="BV383" s="3" t="str">
        <f>HYPERLINK("https://api.typeform.com/responses/files/6040bde7afbcb5d999db68fc11e239620a63dc83f91ed9dab914a5fff73b61f9/LUIS_RODRIGUEZ___SPEAKHIRE_2021___Parent_Consent_Form.docx")</f>
        <v>https://api.typeform.com/responses/files/6040bde7afbcb5d999db68fc11e239620a63dc83f91ed9dab914a5fff73b61f9/LUIS_RODRIGUEZ___SPEAKHIRE_2021___Parent_Consent_Form.docx</v>
      </c>
      <c r="BW383" t="b">
        <v>1</v>
      </c>
      <c r="BX383" t="s">
        <v>1394</v>
      </c>
      <c r="BY383" t="s">
        <v>140</v>
      </c>
      <c r="CA383" t="s">
        <v>1395</v>
      </c>
      <c r="CD383">
        <v>0.0</v>
      </c>
      <c r="CF383" t="b">
        <v>1</v>
      </c>
      <c r="CG383" t="b">
        <v>1</v>
      </c>
      <c r="CH383" t="s">
        <v>366</v>
      </c>
      <c r="CJ383" t="b">
        <v>1</v>
      </c>
      <c r="CK383" t="b">
        <v>1</v>
      </c>
      <c r="CL383" t="s">
        <v>2301</v>
      </c>
      <c r="CO383" t="s">
        <v>1635</v>
      </c>
      <c r="CR383" t="b">
        <v>1</v>
      </c>
      <c r="CT383">
        <v>1.0</v>
      </c>
      <c r="CU383">
        <v>0.0</v>
      </c>
      <c r="CX383" s="4" t="s">
        <v>2914</v>
      </c>
      <c r="CZ383" s="5">
        <v>44547.17752314815</v>
      </c>
      <c r="DA383" t="s">
        <v>8204</v>
      </c>
    </row>
    <row r="384">
      <c r="A384" t="s">
        <v>98</v>
      </c>
      <c r="D384" t="s">
        <v>8205</v>
      </c>
      <c r="E384" t="s">
        <v>8206</v>
      </c>
      <c r="F384" s="2">
        <v>38190.0</v>
      </c>
      <c r="G384" t="s">
        <v>1360</v>
      </c>
      <c r="I384" s="3" t="str">
        <f>HYPERLINK("https://api.typeform.com/responses/files/c6920aeccd7ccee5e91559f17bb4f749056398a994e63d271c15e71adfccb487/60AC4EAB_7845_44A7_B5CB_A40F2B49B58C.jpeg")</f>
        <v>https://api.typeform.com/responses/files/c6920aeccd7ccee5e91559f17bb4f749056398a994e63d271c15e71adfccb487/60AC4EAB_7845_44A7_B5CB_A40F2B49B58C.jpeg</v>
      </c>
      <c r="J384" t="s">
        <v>8207</v>
      </c>
      <c r="K384" t="b">
        <v>1</v>
      </c>
      <c r="L384" s="4" t="s">
        <v>8208</v>
      </c>
      <c r="M384" t="s">
        <v>8209</v>
      </c>
      <c r="N384" t="s">
        <v>255</v>
      </c>
      <c r="P384" t="s">
        <v>8210</v>
      </c>
      <c r="Q384" t="s">
        <v>189</v>
      </c>
      <c r="R384" t="s">
        <v>8211</v>
      </c>
      <c r="S384" t="s">
        <v>8212</v>
      </c>
      <c r="T384" s="4" t="s">
        <v>8213</v>
      </c>
      <c r="U384" t="s">
        <v>7489</v>
      </c>
      <c r="V384" t="s">
        <v>8214</v>
      </c>
      <c r="W384" t="s">
        <v>261</v>
      </c>
      <c r="Y384" t="s">
        <v>158</v>
      </c>
      <c r="Z384" t="s">
        <v>262</v>
      </c>
      <c r="AC384" s="3" t="str">
        <f>HYPERLINK("https://api.typeform.com/responses/files/3e65b110f4558363ced9febe3039ef53b183f2bc5ae208dd0227f15707680a40/57557F12_7C18_4A43_9B23_79B584F61416.png")</f>
        <v>https://api.typeform.com/responses/files/3e65b110f4558363ced9febe3039ef53b183f2bc5ae208dd0227f15707680a40/57557F12_7C18_4A43_9B23_79B584F61416.png</v>
      </c>
      <c r="AD384" t="s">
        <v>118</v>
      </c>
      <c r="AE384" t="s">
        <v>729</v>
      </c>
      <c r="AF384" t="s">
        <v>2541</v>
      </c>
      <c r="AG384">
        <v>11.0</v>
      </c>
      <c r="AH384" s="4" t="s">
        <v>8215</v>
      </c>
      <c r="AI384" t="s">
        <v>543</v>
      </c>
      <c r="AL384" t="s">
        <v>7550</v>
      </c>
      <c r="AO384" t="s">
        <v>335</v>
      </c>
      <c r="AP384">
        <v>6.0</v>
      </c>
      <c r="AQ384" t="s">
        <v>1520</v>
      </c>
      <c r="AR384" t="s">
        <v>4222</v>
      </c>
      <c r="AS384" t="b">
        <v>1</v>
      </c>
      <c r="AT384" t="b">
        <v>1</v>
      </c>
      <c r="AV384">
        <v>6.0</v>
      </c>
      <c r="AW384" t="b">
        <v>1</v>
      </c>
      <c r="AX384" t="s">
        <v>2797</v>
      </c>
      <c r="AY384" t="s">
        <v>2597</v>
      </c>
      <c r="AZ384" t="b">
        <v>0</v>
      </c>
      <c r="BA384" t="b">
        <v>0</v>
      </c>
      <c r="BD384" t="s">
        <v>8216</v>
      </c>
      <c r="BH384" t="s">
        <v>132</v>
      </c>
      <c r="BI384">
        <v>5.0</v>
      </c>
      <c r="BJ384" t="s">
        <v>8217</v>
      </c>
      <c r="BK384">
        <v>5.0</v>
      </c>
      <c r="BL384">
        <v>6.0</v>
      </c>
      <c r="BM384" t="s">
        <v>8218</v>
      </c>
      <c r="BN384">
        <v>6.0</v>
      </c>
      <c r="BO384">
        <v>6.0</v>
      </c>
      <c r="BP384" t="s">
        <v>8219</v>
      </c>
      <c r="BQ384" t="s">
        <v>7387</v>
      </c>
      <c r="BR384" t="s">
        <v>8220</v>
      </c>
      <c r="BS384" t="s">
        <v>8221</v>
      </c>
      <c r="BU384" t="s">
        <v>8222</v>
      </c>
      <c r="BV384" s="3" t="str">
        <f>HYPERLINK("https://api.typeform.com/responses/files/cdd63f8b40e5735297304432e3dcb317dd0b5598fc27d9b2722ce656038447d0/8FAD8508_1193_4E14_8221_6DA88BFE421D.png")</f>
        <v>https://api.typeform.com/responses/files/cdd63f8b40e5735297304432e3dcb317dd0b5598fc27d9b2722ce656038447d0/8FAD8508_1193_4E14_8221_6DA88BFE421D.png</v>
      </c>
      <c r="BW384" t="b">
        <v>1</v>
      </c>
      <c r="BX384" t="s">
        <v>1394</v>
      </c>
      <c r="BY384" t="s">
        <v>140</v>
      </c>
      <c r="CA384" t="s">
        <v>1395</v>
      </c>
      <c r="CD384">
        <v>0.0</v>
      </c>
      <c r="CF384" t="b">
        <v>1</v>
      </c>
      <c r="CG384" t="b">
        <v>1</v>
      </c>
      <c r="CH384" t="s">
        <v>705</v>
      </c>
      <c r="CJ384" t="b">
        <v>1</v>
      </c>
      <c r="CK384" t="b">
        <v>1</v>
      </c>
      <c r="CL384" t="s">
        <v>636</v>
      </c>
      <c r="CO384" t="s">
        <v>2554</v>
      </c>
      <c r="CR384" t="b">
        <v>1</v>
      </c>
      <c r="CT384">
        <v>3.0</v>
      </c>
      <c r="CU384">
        <v>2.0</v>
      </c>
      <c r="CX384" s="4" t="s">
        <v>2995</v>
      </c>
      <c r="CZ384" s="5">
        <v>44547.185115740744</v>
      </c>
      <c r="DA384" t="s">
        <v>8223</v>
      </c>
    </row>
    <row r="385">
      <c r="A385" t="s">
        <v>98</v>
      </c>
      <c r="D385" t="s">
        <v>8224</v>
      </c>
      <c r="E385" t="s">
        <v>5240</v>
      </c>
      <c r="F385" s="2">
        <v>38685.0</v>
      </c>
      <c r="G385" t="s">
        <v>1360</v>
      </c>
      <c r="I385" s="3" t="str">
        <f>HYPERLINK("https://api.typeform.com/responses/files/fbd862b91dac73ded7d55d832b49f234c53c5daac79a8abd6263ac36f7402036/me_lol.jpg")</f>
        <v>https://api.typeform.com/responses/files/fbd862b91dac73ded7d55d832b49f234c53c5daac79a8abd6263ac36f7402036/me_lol.jpg</v>
      </c>
      <c r="J385" t="s">
        <v>8225</v>
      </c>
      <c r="K385" t="b">
        <v>1</v>
      </c>
      <c r="L385" s="4" t="s">
        <v>8226</v>
      </c>
      <c r="M385" t="s">
        <v>8227</v>
      </c>
      <c r="N385" t="s">
        <v>255</v>
      </c>
      <c r="O385" t="s">
        <v>8228</v>
      </c>
      <c r="P385" t="s">
        <v>8229</v>
      </c>
      <c r="Q385" t="s">
        <v>189</v>
      </c>
      <c r="R385" t="s">
        <v>8230</v>
      </c>
      <c r="S385" t="s">
        <v>8231</v>
      </c>
      <c r="T385" s="4" t="s">
        <v>8232</v>
      </c>
      <c r="U385" t="s">
        <v>8233</v>
      </c>
      <c r="V385" t="s">
        <v>8234</v>
      </c>
      <c r="W385" t="s">
        <v>2290</v>
      </c>
      <c r="Y385" t="s">
        <v>158</v>
      </c>
      <c r="Z385" t="s">
        <v>262</v>
      </c>
      <c r="AC385" s="3" t="str">
        <f>HYPERLINK("https://api.typeform.com/responses/files/c8c9ad1fe19ae95e69ab5686585033d7a5315b8f11784d0869a05f9b5be32646/WhatsApp_Image_2021_12_14_at_11.53.31_AM__1_.jpeg")</f>
        <v>https://api.typeform.com/responses/files/c8c9ad1fe19ae95e69ab5686585033d7a5315b8f11784d0869a05f9b5be32646/WhatsApp_Image_2021_12_14_at_11.53.31_AM__1_.jpeg</v>
      </c>
      <c r="AD385" t="s">
        <v>118</v>
      </c>
      <c r="AE385" t="s">
        <v>729</v>
      </c>
      <c r="AF385" t="s">
        <v>197</v>
      </c>
      <c r="AG385">
        <v>12.0</v>
      </c>
      <c r="AH385" s="4" t="s">
        <v>130</v>
      </c>
      <c r="AI385" t="s">
        <v>543</v>
      </c>
      <c r="AK385" t="s">
        <v>139</v>
      </c>
      <c r="AL385" t="s">
        <v>199</v>
      </c>
      <c r="AO385" t="s">
        <v>335</v>
      </c>
      <c r="AP385">
        <v>7.0</v>
      </c>
      <c r="AQ385" t="s">
        <v>303</v>
      </c>
      <c r="AR385" t="s">
        <v>8235</v>
      </c>
      <c r="AS385" t="b">
        <v>1</v>
      </c>
      <c r="AT385" t="b">
        <v>0</v>
      </c>
      <c r="AV385">
        <v>7.0</v>
      </c>
      <c r="AW385" t="b">
        <v>0</v>
      </c>
      <c r="AZ385" t="b">
        <v>0</v>
      </c>
      <c r="BA385" t="b">
        <v>0</v>
      </c>
      <c r="BD385" t="s">
        <v>8235</v>
      </c>
      <c r="BH385" t="s">
        <v>132</v>
      </c>
      <c r="BI385">
        <v>4.0</v>
      </c>
      <c r="BJ385" t="s">
        <v>8236</v>
      </c>
      <c r="BK385">
        <v>4.0</v>
      </c>
      <c r="BL385">
        <v>7.0</v>
      </c>
      <c r="BM385" t="s">
        <v>8237</v>
      </c>
      <c r="BN385">
        <v>4.0</v>
      </c>
      <c r="BO385">
        <v>4.0</v>
      </c>
      <c r="BP385" t="s">
        <v>8238</v>
      </c>
      <c r="BQ385" t="s">
        <v>945</v>
      </c>
      <c r="BR385" t="s">
        <v>8239</v>
      </c>
      <c r="BS385" t="s">
        <v>8240</v>
      </c>
      <c r="BU385" t="s">
        <v>8241</v>
      </c>
      <c r="BV385" s="3" t="str">
        <f>HYPERLINK("https://api.typeform.com/responses/files/1a1ae78d4179bb4e0237eb0ee89ccb6ef708f780e81d3ae2d0bfd9025b4e2f6d/SPEAKHIRE_Parent.Guardian_Consent_Form.pdf")</f>
        <v>https://api.typeform.com/responses/files/1a1ae78d4179bb4e0237eb0ee89ccb6ef708f780e81d3ae2d0bfd9025b4e2f6d/SPEAKHIRE_Parent.Guardian_Consent_Form.pdf</v>
      </c>
      <c r="BW385" t="b">
        <v>1</v>
      </c>
      <c r="BX385" t="s">
        <v>1394</v>
      </c>
      <c r="BY385" t="s">
        <v>140</v>
      </c>
      <c r="CA385" t="s">
        <v>1395</v>
      </c>
      <c r="CD385">
        <v>0.0</v>
      </c>
      <c r="CF385" t="b">
        <v>1</v>
      </c>
      <c r="CG385" t="b">
        <v>1</v>
      </c>
      <c r="CH385" t="s">
        <v>1935</v>
      </c>
      <c r="CJ385" t="b">
        <v>1</v>
      </c>
      <c r="CK385" t="b">
        <v>1</v>
      </c>
      <c r="CL385" t="s">
        <v>198</v>
      </c>
      <c r="CM385" t="s">
        <v>198</v>
      </c>
      <c r="CO385" t="s">
        <v>1635</v>
      </c>
      <c r="CR385" t="b">
        <v>1</v>
      </c>
      <c r="CT385">
        <v>2.0</v>
      </c>
      <c r="CU385">
        <v>0.0</v>
      </c>
      <c r="CX385" s="4" t="s">
        <v>3882</v>
      </c>
      <c r="CZ385" s="5">
        <v>44547.22534722222</v>
      </c>
      <c r="DA385" t="s">
        <v>8242</v>
      </c>
    </row>
    <row r="386">
      <c r="A386" t="s">
        <v>98</v>
      </c>
      <c r="D386" t="s">
        <v>8243</v>
      </c>
      <c r="E386" t="s">
        <v>7132</v>
      </c>
      <c r="F386" s="2">
        <v>38540.0</v>
      </c>
      <c r="G386" t="s">
        <v>1466</v>
      </c>
      <c r="I386" s="3" t="str">
        <f>HYPERLINK("https://api.typeform.com/responses/files/7da94350fd2d8e0649ea062c80a35d4b95cda06562f831160df319114ebf6300/download.jfif")</f>
        <v>https://api.typeform.com/responses/files/7da94350fd2d8e0649ea062c80a35d4b95cda06562f831160df319114ebf6300/download.jfif</v>
      </c>
      <c r="J386" t="s">
        <v>8244</v>
      </c>
      <c r="K386" t="b">
        <v>1</v>
      </c>
      <c r="L386" s="4" t="s">
        <v>8245</v>
      </c>
      <c r="M386" t="s">
        <v>8246</v>
      </c>
      <c r="N386" t="s">
        <v>255</v>
      </c>
      <c r="P386" t="s">
        <v>8247</v>
      </c>
      <c r="Q386" t="s">
        <v>152</v>
      </c>
      <c r="R386" t="s">
        <v>8248</v>
      </c>
      <c r="S386" t="s">
        <v>8246</v>
      </c>
      <c r="T386" s="4" t="s">
        <v>8249</v>
      </c>
      <c r="U386" t="s">
        <v>8100</v>
      </c>
      <c r="V386" t="s">
        <v>8250</v>
      </c>
      <c r="W386" t="s">
        <v>1412</v>
      </c>
      <c r="Y386" t="s">
        <v>158</v>
      </c>
      <c r="Z386" t="s">
        <v>384</v>
      </c>
      <c r="AC386" s="3" t="str">
        <f>HYPERLINK("https://api.typeform.com/responses/files/9396c5742fca7e076bb1a0d61666545f1c461a965b028f4089589a238fa27436/R.jfif")</f>
        <v>https://api.typeform.com/responses/files/9396c5742fca7e076bb1a0d61666545f1c461a965b028f4089589a238fa27436/R.jfif</v>
      </c>
      <c r="AD386" t="s">
        <v>118</v>
      </c>
      <c r="AE386" t="s">
        <v>729</v>
      </c>
      <c r="AF386" t="s">
        <v>5263</v>
      </c>
      <c r="AG386">
        <v>15.0</v>
      </c>
      <c r="AH386" s="4" t="s">
        <v>339</v>
      </c>
      <c r="AI386" t="s">
        <v>162</v>
      </c>
      <c r="AK386" t="s">
        <v>8251</v>
      </c>
      <c r="AL386" t="s">
        <v>8252</v>
      </c>
      <c r="AO386" t="s">
        <v>125</v>
      </c>
      <c r="AP386">
        <v>4.0</v>
      </c>
      <c r="AQ386" t="s">
        <v>126</v>
      </c>
      <c r="AR386" t="s">
        <v>8253</v>
      </c>
      <c r="AS386" t="b">
        <v>0</v>
      </c>
      <c r="AV386">
        <v>6.0</v>
      </c>
      <c r="AW386" t="b">
        <v>0</v>
      </c>
      <c r="AZ386" t="b">
        <v>0</v>
      </c>
      <c r="BA386" t="b">
        <v>1</v>
      </c>
      <c r="BB386" t="b">
        <v>0</v>
      </c>
      <c r="BC386" t="s">
        <v>8254</v>
      </c>
      <c r="BH386" t="s">
        <v>132</v>
      </c>
      <c r="BI386">
        <v>7.0</v>
      </c>
      <c r="BJ386" t="s">
        <v>8255</v>
      </c>
      <c r="BK386">
        <v>6.0</v>
      </c>
      <c r="BL386">
        <v>6.0</v>
      </c>
      <c r="BM386" t="s">
        <v>8256</v>
      </c>
      <c r="BN386">
        <v>5.0</v>
      </c>
      <c r="BO386">
        <v>7.0</v>
      </c>
      <c r="BP386" t="s">
        <v>8257</v>
      </c>
      <c r="BQ386" t="s">
        <v>8258</v>
      </c>
      <c r="BR386" t="s">
        <v>8259</v>
      </c>
      <c r="BS386" t="s">
        <v>8260</v>
      </c>
      <c r="BU386" t="s">
        <v>8261</v>
      </c>
      <c r="BV386" s="3" t="str">
        <f>HYPERLINK("https://api.typeform.com/responses/files/137b944deabba609d2383cd2b165048f2305ba69a5c49fb5f66607ba877baa55/R.jfif")</f>
        <v>https://api.typeform.com/responses/files/137b944deabba609d2383cd2b165048f2305ba69a5c49fb5f66607ba877baa55/R.jfif</v>
      </c>
      <c r="BW386" t="b">
        <v>1</v>
      </c>
      <c r="BX386" t="s">
        <v>1394</v>
      </c>
      <c r="BY386" t="s">
        <v>140</v>
      </c>
      <c r="CA386" t="s">
        <v>1395</v>
      </c>
      <c r="CD386">
        <v>0.0</v>
      </c>
      <c r="CF386" t="b">
        <v>1</v>
      </c>
      <c r="CG386" t="b">
        <v>1</v>
      </c>
      <c r="CH386" t="s">
        <v>1935</v>
      </c>
      <c r="CJ386" t="b">
        <v>1</v>
      </c>
      <c r="CK386" t="b">
        <v>1</v>
      </c>
      <c r="CL386" t="s">
        <v>163</v>
      </c>
      <c r="CM386" t="s">
        <v>163</v>
      </c>
      <c r="CO386" t="s">
        <v>124</v>
      </c>
      <c r="CQ386" t="s">
        <v>163</v>
      </c>
      <c r="CR386" t="b">
        <v>1</v>
      </c>
      <c r="CT386">
        <v>7.0</v>
      </c>
      <c r="CU386">
        <v>5.0</v>
      </c>
      <c r="CX386" s="4" t="s">
        <v>8262</v>
      </c>
      <c r="CZ386" s="5">
        <v>44547.53121527778</v>
      </c>
      <c r="DA386" t="s">
        <v>8263</v>
      </c>
    </row>
    <row r="387">
      <c r="A387" t="s">
        <v>98</v>
      </c>
      <c r="D387" t="s">
        <v>8264</v>
      </c>
      <c r="E387" t="s">
        <v>667</v>
      </c>
      <c r="F387" s="2">
        <v>38602.0</v>
      </c>
      <c r="G387" t="s">
        <v>1360</v>
      </c>
      <c r="I387" s="3" t="str">
        <f>HYPERLINK("https://api.typeform.com/responses/files/3c51979f03ca833dc640e2a804db420e82102fca0955692ac363197b35c21e49/unnamed.png")</f>
        <v>https://api.typeform.com/responses/files/3c51979f03ca833dc640e2a804db420e82102fca0955692ac363197b35c21e49/unnamed.png</v>
      </c>
      <c r="J387" t="s">
        <v>8265</v>
      </c>
      <c r="K387" t="b">
        <v>1</v>
      </c>
      <c r="L387" s="4" t="s">
        <v>8266</v>
      </c>
      <c r="M387" t="s">
        <v>8267</v>
      </c>
      <c r="N387" t="s">
        <v>149</v>
      </c>
      <c r="O387" t="s">
        <v>8268</v>
      </c>
      <c r="P387" t="s">
        <v>8269</v>
      </c>
      <c r="Q387" t="s">
        <v>189</v>
      </c>
      <c r="R387" t="s">
        <v>8270</v>
      </c>
      <c r="S387" t="s">
        <v>8271</v>
      </c>
      <c r="T387" s="4" t="s">
        <v>8272</v>
      </c>
      <c r="U387" t="s">
        <v>8273</v>
      </c>
      <c r="V387" t="s">
        <v>8274</v>
      </c>
      <c r="W387" t="s">
        <v>261</v>
      </c>
      <c r="Y387" t="s">
        <v>158</v>
      </c>
      <c r="Z387" t="s">
        <v>262</v>
      </c>
      <c r="AC387" s="3" t="str">
        <f>HYPERLINK("https://api.typeform.com/responses/files/6b06549eb26dec72ec4ab6fd47ee322298876d417f85ebc41223042fa2ed6eb1/Rising_11th_graders_transcripts__dragged_.pdf")</f>
        <v>https://api.typeform.com/responses/files/6b06549eb26dec72ec4ab6fd47ee322298876d417f85ebc41223042fa2ed6eb1/Rising_11th_graders_transcripts__dragged_.pdf</v>
      </c>
      <c r="AD387" t="s">
        <v>118</v>
      </c>
      <c r="AE387" t="s">
        <v>729</v>
      </c>
      <c r="AF387" t="s">
        <v>197</v>
      </c>
      <c r="AG387">
        <v>14.0</v>
      </c>
      <c r="AH387" t="s">
        <v>5093</v>
      </c>
      <c r="AI387" t="s">
        <v>162</v>
      </c>
      <c r="AL387" t="s">
        <v>967</v>
      </c>
      <c r="AO387" t="s">
        <v>335</v>
      </c>
      <c r="AP387">
        <v>5.0</v>
      </c>
      <c r="AQ387" t="s">
        <v>126</v>
      </c>
      <c r="AR387" t="s">
        <v>8275</v>
      </c>
      <c r="AS387" t="b">
        <v>1</v>
      </c>
      <c r="AT387" t="b">
        <v>0</v>
      </c>
      <c r="AV387">
        <v>5.0</v>
      </c>
      <c r="AW387" t="b">
        <v>0</v>
      </c>
      <c r="AZ387" t="b">
        <v>0</v>
      </c>
      <c r="BA387" t="b">
        <v>0</v>
      </c>
      <c r="BD387" t="s">
        <v>8276</v>
      </c>
      <c r="BH387" t="s">
        <v>132</v>
      </c>
      <c r="BI387">
        <v>1.0</v>
      </c>
      <c r="BJ387" t="s">
        <v>8277</v>
      </c>
      <c r="BK387">
        <v>3.0</v>
      </c>
      <c r="BL387">
        <v>3.0</v>
      </c>
      <c r="BM387" t="s">
        <v>8278</v>
      </c>
      <c r="BN387">
        <v>1.0</v>
      </c>
      <c r="BO387">
        <v>2.0</v>
      </c>
      <c r="BP387" t="s">
        <v>8279</v>
      </c>
      <c r="BQ387" t="s">
        <v>1050</v>
      </c>
      <c r="BR387" t="s">
        <v>8280</v>
      </c>
      <c r="BS387" t="s">
        <v>8281</v>
      </c>
      <c r="BU387" t="s">
        <v>8282</v>
      </c>
      <c r="BV387" s="3" t="str">
        <f>HYPERLINK("https://api.typeform.com/responses/files/26a750eef9c974f812e3749a28207cf297729b3903fcbe4a3ac40d392e0ee5b4/Rising_11th_graders_transcripts__dragged_.pdf")</f>
        <v>https://api.typeform.com/responses/files/26a750eef9c974f812e3749a28207cf297729b3903fcbe4a3ac40d392e0ee5b4/Rising_11th_graders_transcripts__dragged_.pdf</v>
      </c>
      <c r="BW387" t="b">
        <v>1</v>
      </c>
      <c r="BX387" t="s">
        <v>1394</v>
      </c>
      <c r="BY387" t="s">
        <v>140</v>
      </c>
      <c r="CA387" t="s">
        <v>1395</v>
      </c>
      <c r="CD387">
        <v>0.0</v>
      </c>
      <c r="CF387" t="b">
        <v>1</v>
      </c>
      <c r="CG387" t="b">
        <v>0</v>
      </c>
      <c r="CH387" t="s">
        <v>128</v>
      </c>
      <c r="CJ387" t="b">
        <v>0</v>
      </c>
      <c r="CK387" t="b">
        <v>0</v>
      </c>
      <c r="CL387" t="s">
        <v>198</v>
      </c>
      <c r="CO387" t="s">
        <v>1635</v>
      </c>
      <c r="CR387" t="b">
        <v>1</v>
      </c>
      <c r="CT387">
        <v>0.0</v>
      </c>
      <c r="CU387">
        <v>2.0</v>
      </c>
      <c r="CX387" s="4" t="s">
        <v>8283</v>
      </c>
      <c r="CZ387" s="5">
        <v>44547.81065972222</v>
      </c>
      <c r="DA387" t="s">
        <v>8284</v>
      </c>
    </row>
    <row r="388">
      <c r="A388" t="s">
        <v>98</v>
      </c>
      <c r="D388" t="s">
        <v>8285</v>
      </c>
      <c r="E388" t="s">
        <v>8286</v>
      </c>
      <c r="F388" s="2">
        <v>38191.0</v>
      </c>
      <c r="G388" t="s">
        <v>1466</v>
      </c>
      <c r="I388" s="3" t="str">
        <f>HYPERLINK("https://api.typeform.com/responses/files/6a4b672477cc5c7b6d5adc658e810ff39d5f1f44674f548d09876940ee85f045/20211217_142431.jpg")</f>
        <v>https://api.typeform.com/responses/files/6a4b672477cc5c7b6d5adc658e810ff39d5f1f44674f548d09876940ee85f045/20211217_142431.jpg</v>
      </c>
      <c r="J388" t="s">
        <v>8287</v>
      </c>
      <c r="K388" t="b">
        <v>1</v>
      </c>
      <c r="L388" s="4" t="s">
        <v>8288</v>
      </c>
      <c r="M388" t="s">
        <v>8289</v>
      </c>
      <c r="N388" t="s">
        <v>149</v>
      </c>
      <c r="P388" t="s">
        <v>8290</v>
      </c>
      <c r="Q388" t="s">
        <v>152</v>
      </c>
      <c r="R388" t="s">
        <v>8291</v>
      </c>
      <c r="S388" t="s">
        <v>8292</v>
      </c>
      <c r="T388" s="4" t="s">
        <v>8293</v>
      </c>
      <c r="U388" t="s">
        <v>8273</v>
      </c>
      <c r="V388" t="s">
        <v>8294</v>
      </c>
      <c r="W388" t="s">
        <v>261</v>
      </c>
      <c r="Y388" t="s">
        <v>158</v>
      </c>
      <c r="Z388" t="s">
        <v>262</v>
      </c>
      <c r="AC388" s="3" t="str">
        <f>HYPERLINK("https://api.typeform.com/responses/files/a7b69df03ced3042c0d3391ec4d2845279f00fcaa7f725d07d990df168f160f1/Rising_11th_graders_transcripts__dragged_.pdf")</f>
        <v>https://api.typeform.com/responses/files/a7b69df03ced3042c0d3391ec4d2845279f00fcaa7f725d07d990df168f160f1/Rising_11th_graders_transcripts__dragged_.pdf</v>
      </c>
      <c r="AD388" t="s">
        <v>118</v>
      </c>
      <c r="AE388" t="s">
        <v>729</v>
      </c>
      <c r="AF388" t="s">
        <v>459</v>
      </c>
      <c r="AG388">
        <v>15.0</v>
      </c>
      <c r="AH388" s="4" t="s">
        <v>273</v>
      </c>
      <c r="AI388" t="s">
        <v>162</v>
      </c>
      <c r="AK388" t="s">
        <v>460</v>
      </c>
      <c r="AL388" t="s">
        <v>460</v>
      </c>
      <c r="AO388" t="s">
        <v>335</v>
      </c>
      <c r="AP388">
        <v>7.0</v>
      </c>
      <c r="AQ388" t="s">
        <v>2240</v>
      </c>
      <c r="AR388" t="s">
        <v>8295</v>
      </c>
      <c r="AS388" t="b">
        <v>1</v>
      </c>
      <c r="AT388" t="b">
        <v>0</v>
      </c>
      <c r="AV388">
        <v>4.0</v>
      </c>
      <c r="AW388" t="b">
        <v>0</v>
      </c>
      <c r="AZ388" t="b">
        <v>0</v>
      </c>
      <c r="BA388" t="b">
        <v>0</v>
      </c>
      <c r="BD388" t="s">
        <v>8295</v>
      </c>
      <c r="BH388" t="s">
        <v>132</v>
      </c>
      <c r="BI388">
        <v>5.0</v>
      </c>
      <c r="BJ388" t="s">
        <v>8296</v>
      </c>
      <c r="BK388">
        <v>6.0</v>
      </c>
      <c r="BL388">
        <v>7.0</v>
      </c>
      <c r="BM388" t="s">
        <v>8297</v>
      </c>
      <c r="BN388">
        <v>6.0</v>
      </c>
      <c r="BO388">
        <v>6.0</v>
      </c>
      <c r="BP388" t="s">
        <v>8298</v>
      </c>
      <c r="BQ388" t="s">
        <v>1003</v>
      </c>
      <c r="BR388" t="s">
        <v>8299</v>
      </c>
      <c r="BS388" t="s">
        <v>8300</v>
      </c>
      <c r="BU388" t="s">
        <v>8301</v>
      </c>
      <c r="BV388" s="3" t="str">
        <f>HYPERLINK("https://api.typeform.com/responses/files/5a6da377da42bdfbd389dba5db03da0dc4251af6a8aa9cadcb079c47117e5198/Rising_11th_graders_transcripts__dragged_.pdf")</f>
        <v>https://api.typeform.com/responses/files/5a6da377da42bdfbd389dba5db03da0dc4251af6a8aa9cadcb079c47117e5198/Rising_11th_graders_transcripts__dragged_.pdf</v>
      </c>
      <c r="BW388" t="b">
        <v>1</v>
      </c>
      <c r="BX388" t="s">
        <v>1394</v>
      </c>
      <c r="BY388" t="s">
        <v>140</v>
      </c>
      <c r="CA388" t="s">
        <v>1395</v>
      </c>
      <c r="CD388">
        <v>0.0</v>
      </c>
      <c r="CF388" t="b">
        <v>0</v>
      </c>
      <c r="CG388" t="b">
        <v>0</v>
      </c>
      <c r="CH388" t="s">
        <v>8302</v>
      </c>
      <c r="CJ388" t="b">
        <v>0</v>
      </c>
      <c r="CK388" t="b">
        <v>0</v>
      </c>
      <c r="CL388" t="s">
        <v>362</v>
      </c>
      <c r="CO388" t="s">
        <v>388</v>
      </c>
      <c r="CR388" t="b">
        <v>1</v>
      </c>
      <c r="CT388">
        <v>0.0</v>
      </c>
      <c r="CU388">
        <v>0.0</v>
      </c>
      <c r="CX388" s="4" t="s">
        <v>8303</v>
      </c>
      <c r="CZ388" s="5">
        <v>44547.81351851852</v>
      </c>
      <c r="DA388" t="s">
        <v>8304</v>
      </c>
    </row>
    <row r="389">
      <c r="A389" t="s">
        <v>98</v>
      </c>
      <c r="D389" t="s">
        <v>7895</v>
      </c>
      <c r="E389" t="s">
        <v>8305</v>
      </c>
      <c r="F389" s="2">
        <v>38817.0</v>
      </c>
      <c r="G389" t="s">
        <v>1360</v>
      </c>
      <c r="I389" s="3" t="str">
        <f>HYPERLINK("https://api.typeform.com/responses/files/9118bb7197b1a6476103a96ba1b3fd2b4b0ec989abfde329efe87ff2705245c7/IMG_1557.jpg")</f>
        <v>https://api.typeform.com/responses/files/9118bb7197b1a6476103a96ba1b3fd2b4b0ec989abfde329efe87ff2705245c7/IMG_1557.jpg</v>
      </c>
      <c r="J389" t="s">
        <v>8306</v>
      </c>
      <c r="K389" t="b">
        <v>1</v>
      </c>
      <c r="L389" s="4" t="s">
        <v>8307</v>
      </c>
      <c r="M389" t="s">
        <v>8308</v>
      </c>
      <c r="N389" t="s">
        <v>149</v>
      </c>
      <c r="O389" t="s">
        <v>8309</v>
      </c>
      <c r="P389" t="s">
        <v>8310</v>
      </c>
      <c r="Q389" t="s">
        <v>189</v>
      </c>
      <c r="R389" t="s">
        <v>8306</v>
      </c>
      <c r="S389" t="s">
        <v>8311</v>
      </c>
      <c r="T389" s="4" t="s">
        <v>8312</v>
      </c>
      <c r="U389" t="s">
        <v>8313</v>
      </c>
      <c r="V389" t="s">
        <v>7401</v>
      </c>
      <c r="W389" t="s">
        <v>1412</v>
      </c>
      <c r="Y389" t="s">
        <v>158</v>
      </c>
      <c r="Z389" t="s">
        <v>262</v>
      </c>
      <c r="AC389" s="3" t="str">
        <f>HYPERLINK("https://api.typeform.com/responses/files/2ef91d15cc1c84b060e8c2475ad558050d28e837cf532aa2545902814d1c73da/IMG_7611.PNG")</f>
        <v>https://api.typeform.com/responses/files/2ef91d15cc1c84b060e8c2475ad558050d28e837cf532aa2545902814d1c73da/IMG_7611.PNG</v>
      </c>
      <c r="AD389" t="s">
        <v>118</v>
      </c>
      <c r="AE389" t="s">
        <v>729</v>
      </c>
      <c r="AF389" t="s">
        <v>197</v>
      </c>
      <c r="AG389">
        <v>11.0</v>
      </c>
      <c r="AH389" t="s">
        <v>8314</v>
      </c>
      <c r="AI389" t="s">
        <v>162</v>
      </c>
      <c r="AK389" t="s">
        <v>139</v>
      </c>
      <c r="AL389" t="s">
        <v>1043</v>
      </c>
      <c r="AO389" t="s">
        <v>335</v>
      </c>
      <c r="AP389">
        <v>5.0</v>
      </c>
      <c r="AQ389" t="s">
        <v>461</v>
      </c>
      <c r="AR389" t="s">
        <v>8315</v>
      </c>
      <c r="AS389" t="b">
        <v>1</v>
      </c>
      <c r="AT389" t="b">
        <v>0</v>
      </c>
      <c r="AV389">
        <v>5.0</v>
      </c>
      <c r="AW389" t="b">
        <v>1</v>
      </c>
      <c r="AX389" s="4" t="s">
        <v>130</v>
      </c>
      <c r="AY389" s="4" t="s">
        <v>170</v>
      </c>
      <c r="AZ389" t="b">
        <v>0</v>
      </c>
      <c r="BA389" t="b">
        <v>1</v>
      </c>
      <c r="BB389" t="b">
        <v>0</v>
      </c>
      <c r="BC389" t="s">
        <v>8316</v>
      </c>
      <c r="BH389" t="s">
        <v>132</v>
      </c>
      <c r="BI389">
        <v>1.0</v>
      </c>
      <c r="BJ389" t="s">
        <v>8317</v>
      </c>
      <c r="BK389">
        <v>4.0</v>
      </c>
      <c r="BL389">
        <v>4.0</v>
      </c>
      <c r="BM389" t="s">
        <v>8318</v>
      </c>
      <c r="BN389">
        <v>4.0</v>
      </c>
      <c r="BO389">
        <v>4.0</v>
      </c>
      <c r="BP389" t="s">
        <v>8319</v>
      </c>
      <c r="BQ389" t="s">
        <v>8320</v>
      </c>
      <c r="BR389" t="s">
        <v>8321</v>
      </c>
      <c r="BS389" t="s">
        <v>8322</v>
      </c>
      <c r="BU389" t="s">
        <v>8323</v>
      </c>
      <c r="BV389" s="3" t="str">
        <f>HYPERLINK("https://api.typeform.com/responses/files/8e92822f23363bfedd3a3ce38412d21c5ab998fcbdb50e82dadeed9184768d71/Rising_11th_graders_transcripts__dragged___1_.pdf")</f>
        <v>https://api.typeform.com/responses/files/8e92822f23363bfedd3a3ce38412d21c5ab998fcbdb50e82dadeed9184768d71/Rising_11th_graders_transcripts__dragged___1_.pdf</v>
      </c>
      <c r="BW389" t="b">
        <v>1</v>
      </c>
      <c r="BX389" t="s">
        <v>1394</v>
      </c>
      <c r="BY389" t="s">
        <v>140</v>
      </c>
      <c r="CA389" t="s">
        <v>1395</v>
      </c>
      <c r="CD389">
        <v>0.0</v>
      </c>
      <c r="CF389" t="b">
        <v>1</v>
      </c>
      <c r="CG389" t="b">
        <v>0</v>
      </c>
      <c r="CH389" t="s">
        <v>8324</v>
      </c>
      <c r="CJ389" t="b">
        <v>0</v>
      </c>
      <c r="CK389" t="b">
        <v>0</v>
      </c>
      <c r="CL389" t="s">
        <v>198</v>
      </c>
      <c r="CM389" t="s">
        <v>198</v>
      </c>
      <c r="CO389" t="s">
        <v>200</v>
      </c>
      <c r="CQ389" t="s">
        <v>198</v>
      </c>
      <c r="CR389" t="b">
        <v>1</v>
      </c>
      <c r="CT389">
        <v>0.0</v>
      </c>
      <c r="CU389">
        <v>10.0</v>
      </c>
      <c r="CX389" s="4" t="s">
        <v>8325</v>
      </c>
      <c r="CZ389" s="5">
        <v>44547.8259837963</v>
      </c>
      <c r="DA389" t="s">
        <v>8326</v>
      </c>
    </row>
    <row r="390">
      <c r="A390" t="s">
        <v>98</v>
      </c>
      <c r="D390" t="s">
        <v>8327</v>
      </c>
      <c r="E390" t="s">
        <v>8328</v>
      </c>
      <c r="F390" s="2">
        <v>38268.0</v>
      </c>
      <c r="G390" t="s">
        <v>1360</v>
      </c>
      <c r="I390" s="3" t="str">
        <f>HYPERLINK("https://api.typeform.com/responses/files/59bf20d0b69f5ddc9828fbc3bf4ba0bd8d8126f0daa3f435113fea94884699c4/image.jpeg")</f>
        <v>https://api.typeform.com/responses/files/59bf20d0b69f5ddc9828fbc3bf4ba0bd8d8126f0daa3f435113fea94884699c4/image.jpeg</v>
      </c>
      <c r="J390" t="s">
        <v>8329</v>
      </c>
      <c r="K390" t="b">
        <v>1</v>
      </c>
      <c r="L390" s="4" t="s">
        <v>8330</v>
      </c>
      <c r="M390" t="s">
        <v>8331</v>
      </c>
      <c r="N390" t="s">
        <v>255</v>
      </c>
      <c r="O390" t="s">
        <v>8332</v>
      </c>
      <c r="P390" t="s">
        <v>8333</v>
      </c>
      <c r="Q390" t="s">
        <v>152</v>
      </c>
      <c r="R390" t="s">
        <v>8334</v>
      </c>
      <c r="S390" t="s">
        <v>8331</v>
      </c>
      <c r="T390" s="4" t="s">
        <v>8335</v>
      </c>
      <c r="U390" t="s">
        <v>8273</v>
      </c>
      <c r="V390" t="s">
        <v>8336</v>
      </c>
      <c r="W390" t="s">
        <v>261</v>
      </c>
      <c r="Y390" t="s">
        <v>158</v>
      </c>
      <c r="Z390" t="s">
        <v>262</v>
      </c>
      <c r="AC390" s="3" t="str">
        <f>HYPERLINK("https://api.typeform.com/responses/files/451f103d0cbc70363d4332eec0ac5cbf48ec1a09011db1c57bfba55c4ca02072/Rising_11th_graders_transcripts__dragged_.pdf")</f>
        <v>https://api.typeform.com/responses/files/451f103d0cbc70363d4332eec0ac5cbf48ec1a09011db1c57bfba55c4ca02072/Rising_11th_graders_transcripts__dragged_.pdf</v>
      </c>
      <c r="AD390" t="s">
        <v>118</v>
      </c>
      <c r="AE390" t="s">
        <v>729</v>
      </c>
      <c r="AF390" t="s">
        <v>3817</v>
      </c>
      <c r="AG390">
        <v>14.0</v>
      </c>
      <c r="AH390" t="s">
        <v>8337</v>
      </c>
      <c r="AI390" t="s">
        <v>121</v>
      </c>
      <c r="AK390" t="s">
        <v>8338</v>
      </c>
      <c r="AL390" t="s">
        <v>8339</v>
      </c>
      <c r="AO390" t="s">
        <v>335</v>
      </c>
      <c r="AP390">
        <v>6.0</v>
      </c>
      <c r="AQ390" t="s">
        <v>303</v>
      </c>
      <c r="AR390" t="s">
        <v>4722</v>
      </c>
      <c r="AS390" t="b">
        <v>1</v>
      </c>
      <c r="AT390" t="b">
        <v>1</v>
      </c>
      <c r="AV390">
        <v>7.0</v>
      </c>
      <c r="AW390" t="b">
        <v>1</v>
      </c>
      <c r="AX390" t="s">
        <v>2797</v>
      </c>
      <c r="AY390" t="s">
        <v>2464</v>
      </c>
      <c r="AZ390" t="b">
        <v>0</v>
      </c>
      <c r="BA390" t="b">
        <v>1</v>
      </c>
      <c r="BB390" t="b">
        <v>0</v>
      </c>
      <c r="BC390" t="s">
        <v>8340</v>
      </c>
      <c r="BH390" t="s">
        <v>132</v>
      </c>
      <c r="BI390">
        <v>6.0</v>
      </c>
      <c r="BJ390" t="s">
        <v>8341</v>
      </c>
      <c r="BK390">
        <v>6.0</v>
      </c>
      <c r="BL390">
        <v>6.0</v>
      </c>
      <c r="BM390" t="s">
        <v>8342</v>
      </c>
      <c r="BN390">
        <v>6.0</v>
      </c>
      <c r="BO390">
        <v>6.0</v>
      </c>
      <c r="BP390" t="s">
        <v>8343</v>
      </c>
      <c r="BQ390" t="s">
        <v>8344</v>
      </c>
      <c r="BR390" t="s">
        <v>8345</v>
      </c>
      <c r="BS390" t="s">
        <v>8346</v>
      </c>
      <c r="BU390" t="s">
        <v>8347</v>
      </c>
      <c r="BV390" s="3" t="str">
        <f>HYPERLINK("https://api.typeform.com/responses/files/cb80392b5cbbfe1de769875714342514c34816b33cec8da64e26eb00af069007/Rising_11th_graders_transcripts__dragged_.pdf")</f>
        <v>https://api.typeform.com/responses/files/cb80392b5cbbfe1de769875714342514c34816b33cec8da64e26eb00af069007/Rising_11th_graders_transcripts__dragged_.pdf</v>
      </c>
      <c r="BW390" t="b">
        <v>1</v>
      </c>
      <c r="BX390" t="s">
        <v>1394</v>
      </c>
      <c r="BY390" t="s">
        <v>140</v>
      </c>
      <c r="CA390" t="s">
        <v>1395</v>
      </c>
      <c r="CD390">
        <v>0.0</v>
      </c>
      <c r="CF390" t="b">
        <v>1</v>
      </c>
      <c r="CG390" t="b">
        <v>1</v>
      </c>
      <c r="CH390" t="s">
        <v>5565</v>
      </c>
      <c r="CJ390" t="b">
        <v>1</v>
      </c>
      <c r="CK390" t="b">
        <v>1</v>
      </c>
      <c r="CL390" t="s">
        <v>300</v>
      </c>
      <c r="CO390" t="s">
        <v>124</v>
      </c>
      <c r="CR390" t="b">
        <v>1</v>
      </c>
      <c r="CT390">
        <v>2.0</v>
      </c>
      <c r="CU390">
        <v>1.0</v>
      </c>
      <c r="CX390" s="4" t="s">
        <v>8348</v>
      </c>
      <c r="CZ390" s="5">
        <v>44547.83181712963</v>
      </c>
      <c r="DA390" t="s">
        <v>8349</v>
      </c>
    </row>
    <row r="391">
      <c r="A391" t="s">
        <v>98</v>
      </c>
      <c r="D391" t="s">
        <v>8350</v>
      </c>
      <c r="E391" t="s">
        <v>8351</v>
      </c>
      <c r="F391" s="2">
        <v>37928.0</v>
      </c>
      <c r="G391" t="s">
        <v>1466</v>
      </c>
      <c r="I391" s="3" t="str">
        <f>HYPERLINK("https://api.typeform.com/responses/files/802537d7209ef37c1c4238a59c8e27c151194635ead0fbf3678a3dcca3e788da/mmexport1639772499373.jpg")</f>
        <v>https://api.typeform.com/responses/files/802537d7209ef37c1c4238a59c8e27c151194635ead0fbf3678a3dcca3e788da/mmexport1639772499373.jpg</v>
      </c>
      <c r="J391" t="s">
        <v>8352</v>
      </c>
      <c r="K391" t="b">
        <v>1</v>
      </c>
      <c r="L391" s="4" t="s">
        <v>8353</v>
      </c>
      <c r="M391" t="s">
        <v>8354</v>
      </c>
      <c r="N391" t="s">
        <v>354</v>
      </c>
      <c r="P391" t="s">
        <v>8355</v>
      </c>
      <c r="Q391" t="s">
        <v>108</v>
      </c>
      <c r="R391" t="s">
        <v>8356</v>
      </c>
      <c r="S391" t="s">
        <v>8354</v>
      </c>
      <c r="T391" s="4" t="s">
        <v>8357</v>
      </c>
      <c r="U391" t="s">
        <v>8358</v>
      </c>
      <c r="V391" t="s">
        <v>8359</v>
      </c>
      <c r="W391" t="s">
        <v>261</v>
      </c>
      <c r="Y391" t="s">
        <v>158</v>
      </c>
      <c r="Z391" t="s">
        <v>262</v>
      </c>
      <c r="AC391" s="3" t="str">
        <f>HYPERLINK("https://api.typeform.com/responses/files/9b60ec4114c15f6680d09741aa548d249bc0c8cec4cc644983c3a08f9a3b8e91/Rising_11th_graders_transcripts__dragged__2.pdf")</f>
        <v>https://api.typeform.com/responses/files/9b60ec4114c15f6680d09741aa548d249bc0c8cec4cc644983c3a08f9a3b8e91/Rising_11th_graders_transcripts__dragged__2.pdf</v>
      </c>
      <c r="AD391" t="s">
        <v>118</v>
      </c>
      <c r="AE391" t="s">
        <v>729</v>
      </c>
      <c r="AF391" t="s">
        <v>459</v>
      </c>
      <c r="AG391">
        <v>16.0</v>
      </c>
      <c r="AH391" t="s">
        <v>8360</v>
      </c>
      <c r="AI391" t="s">
        <v>162</v>
      </c>
      <c r="AK391" t="s">
        <v>8361</v>
      </c>
      <c r="AL391" t="s">
        <v>460</v>
      </c>
      <c r="AO391" t="s">
        <v>335</v>
      </c>
      <c r="AP391">
        <v>7.0</v>
      </c>
      <c r="AQ391" t="s">
        <v>2240</v>
      </c>
      <c r="AR391" t="s">
        <v>8362</v>
      </c>
      <c r="AS391" t="b">
        <v>0</v>
      </c>
      <c r="AV391">
        <v>5.0</v>
      </c>
      <c r="AW391" t="b">
        <v>0</v>
      </c>
      <c r="AZ391" t="b">
        <v>0</v>
      </c>
      <c r="BA391" t="b">
        <v>1</v>
      </c>
      <c r="BB391" t="b">
        <v>0</v>
      </c>
      <c r="BC391" t="s">
        <v>8363</v>
      </c>
      <c r="BH391" t="s">
        <v>132</v>
      </c>
      <c r="BI391">
        <v>5.0</v>
      </c>
      <c r="BJ391" t="s">
        <v>8364</v>
      </c>
      <c r="BK391">
        <v>5.0</v>
      </c>
      <c r="BL391">
        <v>5.0</v>
      </c>
      <c r="BM391" t="s">
        <v>8365</v>
      </c>
      <c r="BN391">
        <v>5.0</v>
      </c>
      <c r="BO391">
        <v>5.0</v>
      </c>
      <c r="BP391" t="s">
        <v>8366</v>
      </c>
      <c r="BQ391" t="s">
        <v>8367</v>
      </c>
      <c r="BR391" t="s">
        <v>8368</v>
      </c>
      <c r="BS391" t="s">
        <v>8369</v>
      </c>
      <c r="BU391" t="s">
        <v>8370</v>
      </c>
      <c r="BV391" s="3" t="str">
        <f>HYPERLINK("https://api.typeform.com/responses/files/b0cec0f5d95e6e19c064e652ebabaaae7ee6462a4457a33f739c4d756573a978/Rising_11th_graders_transcripts__dragged__2.pdf")</f>
        <v>https://api.typeform.com/responses/files/b0cec0f5d95e6e19c064e652ebabaaae7ee6462a4457a33f739c4d756573a978/Rising_11th_graders_transcripts__dragged__2.pdf</v>
      </c>
      <c r="BW391" t="b">
        <v>1</v>
      </c>
      <c r="BX391" t="s">
        <v>1394</v>
      </c>
      <c r="BY391" t="s">
        <v>140</v>
      </c>
      <c r="CA391" t="s">
        <v>1395</v>
      </c>
      <c r="CD391">
        <v>0.0</v>
      </c>
      <c r="CF391" t="b">
        <v>0</v>
      </c>
      <c r="CG391" t="b">
        <v>0</v>
      </c>
      <c r="CH391" t="s">
        <v>168</v>
      </c>
      <c r="CJ391" t="b">
        <v>0</v>
      </c>
      <c r="CK391" t="b">
        <v>0</v>
      </c>
      <c r="CL391" t="s">
        <v>362</v>
      </c>
      <c r="CO391" t="s">
        <v>388</v>
      </c>
      <c r="CR391" t="b">
        <v>1</v>
      </c>
      <c r="CT391">
        <v>0.0</v>
      </c>
      <c r="CU391">
        <v>0.0</v>
      </c>
      <c r="CX391" s="4" t="s">
        <v>8371</v>
      </c>
      <c r="CZ391" s="5">
        <v>44547.849652777775</v>
      </c>
      <c r="DA391" t="s">
        <v>8372</v>
      </c>
    </row>
    <row r="392">
      <c r="A392" t="s">
        <v>98</v>
      </c>
      <c r="D392" t="s">
        <v>8373</v>
      </c>
      <c r="E392" t="s">
        <v>8374</v>
      </c>
      <c r="F392" s="2">
        <v>38607.0</v>
      </c>
      <c r="G392" t="s">
        <v>1466</v>
      </c>
      <c r="I392" s="3" t="str">
        <f>HYPERLINK("https://api.typeform.com/responses/files/e37e6ab6b598df765fdaafc01863a280241e7ec87c1bd06bf5e24cf90ac6b4bf/unnamed.jpg")</f>
        <v>https://api.typeform.com/responses/files/e37e6ab6b598df765fdaafc01863a280241e7ec87c1bd06bf5e24cf90ac6b4bf/unnamed.jpg</v>
      </c>
      <c r="J392" t="s">
        <v>8375</v>
      </c>
      <c r="K392" t="b">
        <v>1</v>
      </c>
      <c r="L392" s="4" t="s">
        <v>8376</v>
      </c>
      <c r="M392" t="s">
        <v>8377</v>
      </c>
      <c r="N392" t="s">
        <v>255</v>
      </c>
      <c r="O392" t="s">
        <v>8378</v>
      </c>
      <c r="P392" t="s">
        <v>8379</v>
      </c>
      <c r="Q392" t="s">
        <v>152</v>
      </c>
      <c r="R392" t="s">
        <v>8380</v>
      </c>
      <c r="S392" t="s">
        <v>8381</v>
      </c>
      <c r="T392" s="4" t="s">
        <v>8382</v>
      </c>
      <c r="U392" t="s">
        <v>8273</v>
      </c>
      <c r="V392" t="s">
        <v>8383</v>
      </c>
      <c r="W392" t="s">
        <v>1412</v>
      </c>
      <c r="Y392" t="s">
        <v>158</v>
      </c>
      <c r="Z392" t="s">
        <v>262</v>
      </c>
      <c r="AC392" s="3" t="str">
        <f>HYPERLINK("https://api.typeform.com/responses/files/02f76e07469227c0ab8bede0217e4a94166199fd76861253bb45c9cd816e3a53/IMG_2679.jpg")</f>
        <v>https://api.typeform.com/responses/files/02f76e07469227c0ab8bede0217e4a94166199fd76861253bb45c9cd816e3a53/IMG_2679.jpg</v>
      </c>
      <c r="AD392" t="s">
        <v>118</v>
      </c>
      <c r="AE392" t="s">
        <v>729</v>
      </c>
      <c r="AF392" t="s">
        <v>540</v>
      </c>
      <c r="AG392">
        <v>12.0</v>
      </c>
      <c r="AH392" t="s">
        <v>3275</v>
      </c>
      <c r="AI392" t="s">
        <v>162</v>
      </c>
      <c r="AK392" t="s">
        <v>8384</v>
      </c>
      <c r="AL392" t="s">
        <v>8385</v>
      </c>
      <c r="AO392" t="s">
        <v>125</v>
      </c>
      <c r="AP392">
        <v>5.0</v>
      </c>
      <c r="AQ392" t="s">
        <v>303</v>
      </c>
      <c r="AR392" t="s">
        <v>8386</v>
      </c>
      <c r="AS392" t="b">
        <v>0</v>
      </c>
      <c r="AV392">
        <v>7.0</v>
      </c>
      <c r="AW392" t="b">
        <v>0</v>
      </c>
      <c r="AZ392" t="b">
        <v>0</v>
      </c>
      <c r="BA392" t="b">
        <v>0</v>
      </c>
      <c r="BD392" t="s">
        <v>8387</v>
      </c>
      <c r="BH392" t="s">
        <v>132</v>
      </c>
      <c r="BI392">
        <v>1.0</v>
      </c>
      <c r="BJ392" t="s">
        <v>8388</v>
      </c>
      <c r="BK392">
        <v>1.0</v>
      </c>
      <c r="BL392">
        <v>1.0</v>
      </c>
      <c r="BM392" t="s">
        <v>8388</v>
      </c>
      <c r="BN392">
        <v>1.0</v>
      </c>
      <c r="BO392">
        <v>3.0</v>
      </c>
      <c r="BP392" t="s">
        <v>8389</v>
      </c>
      <c r="BQ392" t="s">
        <v>1003</v>
      </c>
      <c r="BR392" t="s">
        <v>8390</v>
      </c>
      <c r="BS392" t="s">
        <v>8391</v>
      </c>
      <c r="BU392" t="s">
        <v>139</v>
      </c>
      <c r="BV392" s="3" t="str">
        <f>HYPERLINK("https://api.typeform.com/responses/files/b8fb747e3b448d9f91010f8c1f06978e2aa0a310bea485d8c03a614d60392bbb/Rising_11th_graders_transcripts__dragged__2.pdf")</f>
        <v>https://api.typeform.com/responses/files/b8fb747e3b448d9f91010f8c1f06978e2aa0a310bea485d8c03a614d60392bbb/Rising_11th_graders_transcripts__dragged__2.pdf</v>
      </c>
      <c r="BW392" t="b">
        <v>1</v>
      </c>
      <c r="BX392" t="s">
        <v>1394</v>
      </c>
      <c r="BY392" t="s">
        <v>140</v>
      </c>
      <c r="CA392" t="s">
        <v>1395</v>
      </c>
      <c r="CD392">
        <v>0.0</v>
      </c>
      <c r="CF392" t="b">
        <v>0</v>
      </c>
      <c r="CG392" t="b">
        <v>0</v>
      </c>
      <c r="CH392" t="s">
        <v>8392</v>
      </c>
      <c r="CJ392" t="b">
        <v>1</v>
      </c>
      <c r="CK392" t="b">
        <v>0</v>
      </c>
      <c r="CL392" t="s">
        <v>265</v>
      </c>
      <c r="CM392" t="s">
        <v>265</v>
      </c>
      <c r="CO392" t="s">
        <v>1635</v>
      </c>
      <c r="CQ392" t="s">
        <v>265</v>
      </c>
      <c r="CR392" t="b">
        <v>1</v>
      </c>
      <c r="CT392">
        <v>0.0</v>
      </c>
      <c r="CU392">
        <v>0.0</v>
      </c>
      <c r="CX392" s="4" t="s">
        <v>8393</v>
      </c>
      <c r="CZ392" s="5">
        <v>44547.852638888886</v>
      </c>
      <c r="DA392" t="s">
        <v>8394</v>
      </c>
    </row>
    <row r="393">
      <c r="A393" t="s">
        <v>98</v>
      </c>
      <c r="D393" t="s">
        <v>8395</v>
      </c>
      <c r="E393" t="s">
        <v>4011</v>
      </c>
      <c r="F393" s="2">
        <v>37588.0</v>
      </c>
      <c r="G393" t="s">
        <v>1360</v>
      </c>
      <c r="I393" s="3" t="str">
        <f>HYPERLINK("https://api.typeform.com/responses/files/30dc1aeffd384ce704b1fcf17ca57c013abb77c4ec36e8c8972ecfeac37c7905/unnamed.jpg")</f>
        <v>https://api.typeform.com/responses/files/30dc1aeffd384ce704b1fcf17ca57c013abb77c4ec36e8c8972ecfeac37c7905/unnamed.jpg</v>
      </c>
      <c r="J393" t="s">
        <v>8396</v>
      </c>
      <c r="K393" t="b">
        <v>1</v>
      </c>
      <c r="L393" s="4" t="s">
        <v>8397</v>
      </c>
      <c r="M393" t="s">
        <v>8398</v>
      </c>
      <c r="N393" t="s">
        <v>354</v>
      </c>
      <c r="O393" t="s">
        <v>479</v>
      </c>
      <c r="P393" t="s">
        <v>1265</v>
      </c>
      <c r="Q393" t="s">
        <v>189</v>
      </c>
      <c r="R393" t="s">
        <v>8399</v>
      </c>
      <c r="S393" t="s">
        <v>8398</v>
      </c>
      <c r="T393" s="4" t="s">
        <v>8400</v>
      </c>
      <c r="U393" t="s">
        <v>8273</v>
      </c>
      <c r="V393" t="s">
        <v>8336</v>
      </c>
      <c r="W393" t="s">
        <v>261</v>
      </c>
      <c r="Y393" t="s">
        <v>158</v>
      </c>
      <c r="Z393" t="s">
        <v>262</v>
      </c>
      <c r="AC393" s="3" t="str">
        <f>HYPERLINK("https://api.typeform.com/responses/files/6f5863f21ed936b2a92f6a01377dc0d669b468b78d4cf77fd9d5df51a838eef3/Rising_11th_graders_transcripts__dragged_.pdf")</f>
        <v>https://api.typeform.com/responses/files/6f5863f21ed936b2a92f6a01377dc0d669b468b78d4cf77fd9d5df51a838eef3/Rising_11th_graders_transcripts__dragged_.pdf</v>
      </c>
      <c r="AD393" t="s">
        <v>118</v>
      </c>
      <c r="AE393" t="s">
        <v>729</v>
      </c>
      <c r="AF393" t="s">
        <v>1019</v>
      </c>
      <c r="AG393">
        <v>16.0</v>
      </c>
      <c r="AH393" t="s">
        <v>3387</v>
      </c>
      <c r="AI393" t="s">
        <v>386</v>
      </c>
      <c r="AK393" t="s">
        <v>179</v>
      </c>
      <c r="AL393" t="s">
        <v>1043</v>
      </c>
      <c r="AO393" t="s">
        <v>125</v>
      </c>
      <c r="AP393">
        <v>1.0</v>
      </c>
      <c r="AQ393" t="s">
        <v>126</v>
      </c>
      <c r="AR393" t="s">
        <v>8401</v>
      </c>
      <c r="AS393" t="b">
        <v>0</v>
      </c>
      <c r="AV393">
        <v>5.0</v>
      </c>
      <c r="AW393" t="b">
        <v>0</v>
      </c>
      <c r="AZ393" t="b">
        <v>0</v>
      </c>
      <c r="BA393" t="b">
        <v>0</v>
      </c>
      <c r="BD393" t="s">
        <v>8401</v>
      </c>
      <c r="BH393" t="s">
        <v>132</v>
      </c>
      <c r="BI393">
        <v>1.0</v>
      </c>
      <c r="BJ393" t="s">
        <v>164</v>
      </c>
      <c r="BK393">
        <v>4.0</v>
      </c>
      <c r="BL393">
        <v>1.0</v>
      </c>
      <c r="BM393" t="s">
        <v>8402</v>
      </c>
      <c r="BN393">
        <v>1.0</v>
      </c>
      <c r="BO393">
        <v>7.0</v>
      </c>
      <c r="BP393" t="s">
        <v>8403</v>
      </c>
      <c r="BQ393" t="s">
        <v>8404</v>
      </c>
      <c r="BR393" t="s">
        <v>8405</v>
      </c>
      <c r="BS393" t="s">
        <v>8406</v>
      </c>
      <c r="BU393" t="s">
        <v>8407</v>
      </c>
      <c r="BV393" s="3" t="str">
        <f>HYPERLINK("https://api.typeform.com/responses/files/53ae764b6d7908536d352627de4cfa608a3c07e690881da80272957ba8487aa2/IMG_2253.jpg")</f>
        <v>https://api.typeform.com/responses/files/53ae764b6d7908536d352627de4cfa608a3c07e690881da80272957ba8487aa2/IMG_2253.jpg</v>
      </c>
      <c r="BW393" t="b">
        <v>1</v>
      </c>
      <c r="BX393" t="s">
        <v>1394</v>
      </c>
      <c r="BY393" t="s">
        <v>140</v>
      </c>
      <c r="CA393" t="s">
        <v>1395</v>
      </c>
      <c r="CD393">
        <v>0.0</v>
      </c>
      <c r="CF393" t="b">
        <v>1</v>
      </c>
      <c r="CG393" t="b">
        <v>1</v>
      </c>
      <c r="CH393" t="s">
        <v>4913</v>
      </c>
      <c r="CJ393" t="b">
        <v>1</v>
      </c>
      <c r="CK393" t="b">
        <v>1</v>
      </c>
      <c r="CL393" t="s">
        <v>387</v>
      </c>
      <c r="CM393" t="s">
        <v>387</v>
      </c>
      <c r="CO393" t="s">
        <v>200</v>
      </c>
      <c r="CQ393" t="s">
        <v>387</v>
      </c>
      <c r="CR393" t="b">
        <v>1</v>
      </c>
      <c r="CT393">
        <v>0.0</v>
      </c>
      <c r="CU393">
        <v>0.0</v>
      </c>
      <c r="CX393" s="4" t="s">
        <v>8408</v>
      </c>
      <c r="CZ393" s="5">
        <v>44547.85271990741</v>
      </c>
      <c r="DA393" t="s">
        <v>8409</v>
      </c>
    </row>
    <row r="394">
      <c r="A394" t="s">
        <v>98</v>
      </c>
      <c r="D394" t="s">
        <v>8410</v>
      </c>
      <c r="E394" t="s">
        <v>8411</v>
      </c>
      <c r="F394" s="2">
        <v>37884.0</v>
      </c>
      <c r="G394" t="s">
        <v>1360</v>
      </c>
      <c r="I394" s="3" t="str">
        <f>HYPERLINK("https://api.typeform.com/responses/files/de651b1fba8ac20dfc0033e43598d40847a27890f2d51b6b739e38dfca7d7a58/6007D71F_53C4_4A52_A6C9_26D09F877241.jpeg")</f>
        <v>https://api.typeform.com/responses/files/de651b1fba8ac20dfc0033e43598d40847a27890f2d51b6b739e38dfca7d7a58/6007D71F_53C4_4A52_A6C9_26D09F877241.jpeg</v>
      </c>
      <c r="J394" t="s">
        <v>8412</v>
      </c>
      <c r="K394" t="b">
        <v>1</v>
      </c>
      <c r="L394" s="4" t="s">
        <v>8413</v>
      </c>
      <c r="M394" t="s">
        <v>8414</v>
      </c>
      <c r="N394" t="s">
        <v>105</v>
      </c>
      <c r="P394" t="s">
        <v>8415</v>
      </c>
      <c r="Q394" t="s">
        <v>189</v>
      </c>
      <c r="R394" t="s">
        <v>8416</v>
      </c>
      <c r="S394" t="s">
        <v>8414</v>
      </c>
      <c r="T394" s="4" t="s">
        <v>8417</v>
      </c>
      <c r="U394" t="s">
        <v>835</v>
      </c>
      <c r="V394" t="s">
        <v>836</v>
      </c>
      <c r="W394" t="s">
        <v>194</v>
      </c>
      <c r="Y394" t="s">
        <v>158</v>
      </c>
      <c r="Z394" t="s">
        <v>159</v>
      </c>
      <c r="AC394" s="3" t="str">
        <f>HYPERLINK("https://api.typeform.com/responses/files/fe1bd13a2af98b0c73b62a61dbb8d84c128110d1d736cb1f89a73fdca4331295/M.S.Transcript.pdf")</f>
        <v>https://api.typeform.com/responses/files/fe1bd13a2af98b0c73b62a61dbb8d84c128110d1d736cb1f89a73fdca4331295/M.S.Transcript.pdf</v>
      </c>
      <c r="AD394" t="s">
        <v>758</v>
      </c>
      <c r="AE394" t="s">
        <v>729</v>
      </c>
      <c r="AF394" t="s">
        <v>8418</v>
      </c>
      <c r="AG394">
        <v>2.0</v>
      </c>
      <c r="AH394" s="4" t="s">
        <v>5053</v>
      </c>
      <c r="AI394" t="s">
        <v>162</v>
      </c>
      <c r="AK394" t="s">
        <v>8419</v>
      </c>
      <c r="AL394" t="s">
        <v>8420</v>
      </c>
      <c r="AO394" t="s">
        <v>335</v>
      </c>
      <c r="AP394">
        <v>6.0</v>
      </c>
      <c r="AQ394" t="s">
        <v>201</v>
      </c>
      <c r="AR394" t="s">
        <v>8421</v>
      </c>
      <c r="AS394" t="b">
        <v>1</v>
      </c>
      <c r="AT394" t="b">
        <v>1</v>
      </c>
      <c r="AV394">
        <v>5.0</v>
      </c>
      <c r="AW394" t="b">
        <v>1</v>
      </c>
      <c r="AX394" t="s">
        <v>1450</v>
      </c>
      <c r="AY394" t="s">
        <v>8422</v>
      </c>
      <c r="AZ394" t="b">
        <v>0</v>
      </c>
      <c r="BA394" t="b">
        <v>1</v>
      </c>
      <c r="BB394" t="b">
        <v>0</v>
      </c>
      <c r="BC394" t="s">
        <v>8423</v>
      </c>
      <c r="BH394" t="s">
        <v>132</v>
      </c>
      <c r="BI394">
        <v>5.0</v>
      </c>
      <c r="BJ394" t="s">
        <v>8424</v>
      </c>
      <c r="BK394">
        <v>6.0</v>
      </c>
      <c r="BL394">
        <v>5.0</v>
      </c>
      <c r="BM394" t="s">
        <v>8425</v>
      </c>
      <c r="BN394">
        <v>4.0</v>
      </c>
      <c r="BO394">
        <v>6.0</v>
      </c>
      <c r="BP394" t="s">
        <v>8426</v>
      </c>
      <c r="BQ394" t="s">
        <v>3930</v>
      </c>
      <c r="BR394" t="s">
        <v>8427</v>
      </c>
      <c r="BS394" t="s">
        <v>8428</v>
      </c>
      <c r="BU394" t="s">
        <v>179</v>
      </c>
      <c r="BV394" s="3" t="str">
        <f>HYPERLINK("https://api.typeform.com/responses/files/51852bb9c6d10e958ae04938d03e90a3acb3f311815ba20f12c164490b7d35a5/SPEAKHIRE_Parent.Guardian_Consent_Form.pdf")</f>
        <v>https://api.typeform.com/responses/files/51852bb9c6d10e958ae04938d03e90a3acb3f311815ba20f12c164490b7d35a5/SPEAKHIRE_Parent.Guardian_Consent_Form.pdf</v>
      </c>
      <c r="BW394" t="b">
        <v>1</v>
      </c>
      <c r="BX394" t="s">
        <v>1394</v>
      </c>
      <c r="BY394" t="s">
        <v>140</v>
      </c>
      <c r="CA394" t="s">
        <v>1395</v>
      </c>
      <c r="CD394">
        <v>0.0</v>
      </c>
      <c r="CF394" t="b">
        <v>0</v>
      </c>
      <c r="CG394" t="b">
        <v>1</v>
      </c>
      <c r="CH394" t="s">
        <v>705</v>
      </c>
      <c r="CJ394" t="b">
        <v>1</v>
      </c>
      <c r="CK394" t="b">
        <v>0</v>
      </c>
      <c r="CL394" t="s">
        <v>163</v>
      </c>
      <c r="CO394" t="s">
        <v>124</v>
      </c>
      <c r="CR394" t="b">
        <v>1</v>
      </c>
      <c r="CT394">
        <v>0.0</v>
      </c>
      <c r="CU394">
        <v>0.0</v>
      </c>
      <c r="CX394" s="4" t="s">
        <v>8429</v>
      </c>
      <c r="CZ394" s="5">
        <v>44547.85364583333</v>
      </c>
      <c r="DA394" t="s">
        <v>8430</v>
      </c>
    </row>
    <row r="395">
      <c r="A395" t="s">
        <v>98</v>
      </c>
      <c r="D395" t="s">
        <v>8431</v>
      </c>
      <c r="E395" t="s">
        <v>5155</v>
      </c>
      <c r="F395" s="2">
        <v>39080.0</v>
      </c>
      <c r="G395" t="s">
        <v>1466</v>
      </c>
      <c r="I395" s="3" t="str">
        <f>HYPERLINK("https://api.typeform.com/responses/files/91cd8e2c42569e9978311548a46e043a7ac059c12972044bc8bd782d83d414b3/IMG_0727.jpg")</f>
        <v>https://api.typeform.com/responses/files/91cd8e2c42569e9978311548a46e043a7ac059c12972044bc8bd782d83d414b3/IMG_0727.jpg</v>
      </c>
      <c r="J395" t="s">
        <v>8432</v>
      </c>
      <c r="K395" t="b">
        <v>1</v>
      </c>
      <c r="L395" s="4" t="s">
        <v>8433</v>
      </c>
      <c r="M395" t="s">
        <v>8434</v>
      </c>
      <c r="N395" t="s">
        <v>255</v>
      </c>
      <c r="P395" t="s">
        <v>8435</v>
      </c>
      <c r="Q395" t="s">
        <v>189</v>
      </c>
      <c r="R395" t="s">
        <v>8436</v>
      </c>
      <c r="S395" t="s">
        <v>8434</v>
      </c>
      <c r="T395" s="4" t="s">
        <v>8437</v>
      </c>
      <c r="U395" t="s">
        <v>8154</v>
      </c>
      <c r="V395" t="s">
        <v>8438</v>
      </c>
      <c r="W395" t="s">
        <v>261</v>
      </c>
      <c r="Y395" t="s">
        <v>158</v>
      </c>
      <c r="Z395" t="s">
        <v>195</v>
      </c>
      <c r="AC395" s="3" t="str">
        <f>HYPERLINK("https://api.typeform.com/responses/files/d7d59a1e49f4054d098698e318e39a3710080bdfa7d409a6fea43eb54c7135c9/Samuel_Rodriguez_transcript.pdf")</f>
        <v>https://api.typeform.com/responses/files/d7d59a1e49f4054d098698e318e39a3710080bdfa7d409a6fea43eb54c7135c9/Samuel_Rodriguez_transcript.pdf</v>
      </c>
      <c r="AD395" t="s">
        <v>118</v>
      </c>
      <c r="AE395" t="s">
        <v>1220</v>
      </c>
      <c r="AF395" t="s">
        <v>197</v>
      </c>
      <c r="AG395">
        <v>0.0</v>
      </c>
      <c r="AH395" s="4" t="s">
        <v>5803</v>
      </c>
      <c r="AI395" t="s">
        <v>121</v>
      </c>
      <c r="AL395" t="s">
        <v>967</v>
      </c>
      <c r="AO395" t="s">
        <v>335</v>
      </c>
      <c r="AP395">
        <v>7.0</v>
      </c>
      <c r="AQ395" t="s">
        <v>2240</v>
      </c>
      <c r="AR395" t="s">
        <v>8439</v>
      </c>
      <c r="AS395" t="b">
        <v>1</v>
      </c>
      <c r="AT395" t="b">
        <v>0</v>
      </c>
      <c r="AV395">
        <v>6.0</v>
      </c>
      <c r="AW395" t="b">
        <v>1</v>
      </c>
      <c r="AX395" s="4" t="s">
        <v>130</v>
      </c>
      <c r="AY395" t="s">
        <v>706</v>
      </c>
      <c r="AZ395" t="b">
        <v>0</v>
      </c>
      <c r="BA395" t="b">
        <v>1</v>
      </c>
      <c r="BB395" t="b">
        <v>0</v>
      </c>
      <c r="BC395" t="s">
        <v>8440</v>
      </c>
      <c r="BH395" t="s">
        <v>132</v>
      </c>
      <c r="BI395">
        <v>3.0</v>
      </c>
      <c r="BJ395" t="s">
        <v>8441</v>
      </c>
      <c r="BK395">
        <v>4.0</v>
      </c>
      <c r="BL395">
        <v>4.0</v>
      </c>
      <c r="BM395" t="s">
        <v>8442</v>
      </c>
      <c r="BN395">
        <v>4.0</v>
      </c>
      <c r="BO395">
        <v>6.0</v>
      </c>
      <c r="BP395" t="s">
        <v>8443</v>
      </c>
      <c r="BQ395" t="s">
        <v>4026</v>
      </c>
      <c r="BR395" t="s">
        <v>8444</v>
      </c>
      <c r="BS395" t="s">
        <v>8445</v>
      </c>
      <c r="BU395" t="s">
        <v>8446</v>
      </c>
      <c r="BV395" s="3" t="str">
        <f>HYPERLINK("https://api.typeform.com/responses/files/c8a17ba3b14779ee13552392fbd759f297517bc99d3d16e4c71eedfa08c94f31/SPEAKHIRE_Parent.Guardian_Consent_Form.pdf")</f>
        <v>https://api.typeform.com/responses/files/c8a17ba3b14779ee13552392fbd759f297517bc99d3d16e4c71eedfa08c94f31/SPEAKHIRE_Parent.Guardian_Consent_Form.pdf</v>
      </c>
      <c r="BW395" t="b">
        <v>1</v>
      </c>
      <c r="BX395" t="s">
        <v>1394</v>
      </c>
      <c r="BY395" t="s">
        <v>140</v>
      </c>
      <c r="CA395" t="s">
        <v>1395</v>
      </c>
      <c r="CD395">
        <v>0.0</v>
      </c>
      <c r="CF395" t="b">
        <v>1</v>
      </c>
      <c r="CG395" t="b">
        <v>0</v>
      </c>
      <c r="CH395" t="s">
        <v>705</v>
      </c>
      <c r="CJ395" t="b">
        <v>1</v>
      </c>
      <c r="CK395" t="b">
        <v>0</v>
      </c>
      <c r="CL395" t="s">
        <v>541</v>
      </c>
      <c r="CO395" t="s">
        <v>200</v>
      </c>
      <c r="CR395" t="b">
        <v>1</v>
      </c>
      <c r="CT395">
        <v>0.0</v>
      </c>
      <c r="CU395">
        <v>0.0</v>
      </c>
      <c r="CX395" s="4" t="s">
        <v>8447</v>
      </c>
      <c r="CZ395" s="5">
        <v>44547.97855324074</v>
      </c>
      <c r="DA395" t="s">
        <v>8448</v>
      </c>
    </row>
    <row r="396">
      <c r="A396" t="s">
        <v>98</v>
      </c>
      <c r="D396" t="s">
        <v>8449</v>
      </c>
      <c r="E396" t="s">
        <v>5044</v>
      </c>
      <c r="F396" s="2">
        <v>38591.0</v>
      </c>
      <c r="G396" t="s">
        <v>1360</v>
      </c>
      <c r="I396" s="3" t="str">
        <f>HYPERLINK("https://api.typeform.com/responses/files/4c3b3da4cb547399149aafc33200f7e5e491450af12c006e274772d6157eeb77/mi.jpg")</f>
        <v>https://api.typeform.com/responses/files/4c3b3da4cb547399149aafc33200f7e5e491450af12c006e274772d6157eeb77/mi.jpg</v>
      </c>
      <c r="J396" t="s">
        <v>8450</v>
      </c>
      <c r="K396" t="b">
        <v>1</v>
      </c>
      <c r="L396" s="4" t="s">
        <v>8451</v>
      </c>
      <c r="M396" t="s">
        <v>8452</v>
      </c>
      <c r="N396" t="s">
        <v>255</v>
      </c>
      <c r="O396" t="s">
        <v>8453</v>
      </c>
      <c r="P396" t="s">
        <v>8454</v>
      </c>
      <c r="Q396" t="s">
        <v>152</v>
      </c>
      <c r="R396" t="s">
        <v>8455</v>
      </c>
      <c r="S396" t="s">
        <v>8452</v>
      </c>
      <c r="T396" s="4" t="s">
        <v>8456</v>
      </c>
      <c r="U396" t="s">
        <v>8457</v>
      </c>
      <c r="V396" t="s">
        <v>7425</v>
      </c>
      <c r="W396" t="s">
        <v>2290</v>
      </c>
      <c r="Y396" t="s">
        <v>158</v>
      </c>
      <c r="Z396" t="s">
        <v>262</v>
      </c>
      <c r="AC396" s="3" t="str">
        <f>HYPERLINK("https://api.typeform.com/responses/files/acbbbb39aa53c455930467c856dbdc77d3f01d4df777bef5898c30bb4aafbcd1/tra.jpg")</f>
        <v>https://api.typeform.com/responses/files/acbbbb39aa53c455930467c856dbdc77d3f01d4df777bef5898c30bb4aafbcd1/tra.jpg</v>
      </c>
      <c r="AD396" t="s">
        <v>118</v>
      </c>
      <c r="AE396" t="s">
        <v>1220</v>
      </c>
      <c r="AF396" t="s">
        <v>4374</v>
      </c>
      <c r="AG396">
        <v>2.0</v>
      </c>
      <c r="AH396" s="4" t="s">
        <v>8458</v>
      </c>
      <c r="AI396" t="s">
        <v>121</v>
      </c>
      <c r="AK396" t="s">
        <v>2624</v>
      </c>
      <c r="AL396" t="s">
        <v>199</v>
      </c>
      <c r="AO396" t="s">
        <v>125</v>
      </c>
      <c r="AP396">
        <v>7.0</v>
      </c>
      <c r="AQ396" t="s">
        <v>6146</v>
      </c>
      <c r="AR396" t="s">
        <v>8459</v>
      </c>
      <c r="AS396" t="b">
        <v>1</v>
      </c>
      <c r="AT396" t="b">
        <v>1</v>
      </c>
      <c r="AV396">
        <v>5.0</v>
      </c>
      <c r="AW396" t="b">
        <v>0</v>
      </c>
      <c r="AZ396" t="b">
        <v>0</v>
      </c>
      <c r="BA396" t="b">
        <v>1</v>
      </c>
      <c r="BB396" t="b">
        <v>1</v>
      </c>
      <c r="BC396" t="s">
        <v>8460</v>
      </c>
      <c r="BH396" t="s">
        <v>132</v>
      </c>
      <c r="BI396">
        <v>1.0</v>
      </c>
      <c r="BJ396" t="s">
        <v>4667</v>
      </c>
      <c r="BK396">
        <v>2.0</v>
      </c>
      <c r="BL396">
        <v>3.0</v>
      </c>
      <c r="BM396" t="s">
        <v>8461</v>
      </c>
      <c r="BN396">
        <v>3.0</v>
      </c>
      <c r="BO396">
        <v>2.0</v>
      </c>
      <c r="BP396" t="s">
        <v>8462</v>
      </c>
      <c r="BQ396" t="s">
        <v>1258</v>
      </c>
      <c r="BR396" t="s">
        <v>8463</v>
      </c>
      <c r="BS396" t="s">
        <v>8464</v>
      </c>
      <c r="BU396" t="s">
        <v>8465</v>
      </c>
      <c r="BV396" s="3" t="str">
        <f>HYPERLINK("https://api.typeform.com/responses/files/ea0e584341b08b83edba8b69b791f9527b82ec0118dbdb50933d51e601045625/STEPHANIE_VAZQUEZ_MENDOZA___SPEAKHIRE_2021___Parent_Consent_Form.pdf")</f>
        <v>https://api.typeform.com/responses/files/ea0e584341b08b83edba8b69b791f9527b82ec0118dbdb50933d51e601045625/STEPHANIE_VAZQUEZ_MENDOZA___SPEAKHIRE_2021___Parent_Consent_Form.pdf</v>
      </c>
      <c r="BW396" t="b">
        <v>1</v>
      </c>
      <c r="BX396" t="s">
        <v>1394</v>
      </c>
      <c r="BY396" t="s">
        <v>140</v>
      </c>
      <c r="CA396" t="s">
        <v>1395</v>
      </c>
      <c r="CD396">
        <v>0.0</v>
      </c>
      <c r="CF396" t="b">
        <v>1</v>
      </c>
      <c r="CG396" t="b">
        <v>1</v>
      </c>
      <c r="CH396" t="s">
        <v>2553</v>
      </c>
      <c r="CJ396" t="b">
        <v>1</v>
      </c>
      <c r="CK396" t="b">
        <v>1</v>
      </c>
      <c r="CL396" t="s">
        <v>541</v>
      </c>
      <c r="CO396" t="s">
        <v>2500</v>
      </c>
      <c r="CR396" t="b">
        <v>1</v>
      </c>
      <c r="CT396">
        <v>1.0</v>
      </c>
      <c r="CU396">
        <v>0.0</v>
      </c>
      <c r="CX396" s="4" t="s">
        <v>2914</v>
      </c>
      <c r="CZ396" s="5">
        <v>44549.200833333336</v>
      </c>
      <c r="DA396" t="s">
        <v>8466</v>
      </c>
    </row>
    <row r="397">
      <c r="A397" t="s">
        <v>98</v>
      </c>
      <c r="D397" t="s">
        <v>8467</v>
      </c>
      <c r="E397" t="s">
        <v>8468</v>
      </c>
      <c r="F397" s="2">
        <v>38594.0</v>
      </c>
      <c r="G397" t="s">
        <v>1466</v>
      </c>
      <c r="I397" s="3" t="str">
        <f>HYPERLINK("https://api.typeform.com/responses/files/b5b9c55bb57bbe914356239bbdc12aa219cd45113850ecc949873eee6c0de993/IMG_6424.heic")</f>
        <v>https://api.typeform.com/responses/files/b5b9c55bb57bbe914356239bbdc12aa219cd45113850ecc949873eee6c0de993/IMG_6424.heic</v>
      </c>
      <c r="J397" t="s">
        <v>8469</v>
      </c>
      <c r="K397" t="b">
        <v>1</v>
      </c>
      <c r="L397" s="4" t="s">
        <v>8470</v>
      </c>
      <c r="M397" t="s">
        <v>8471</v>
      </c>
      <c r="N397" t="s">
        <v>105</v>
      </c>
      <c r="P397" t="s">
        <v>8472</v>
      </c>
      <c r="Q397" t="s">
        <v>152</v>
      </c>
      <c r="R397" t="s">
        <v>8473</v>
      </c>
      <c r="S397" t="s">
        <v>8474</v>
      </c>
      <c r="T397" s="4" t="s">
        <v>8475</v>
      </c>
      <c r="U397" t="s">
        <v>8476</v>
      </c>
      <c r="V397" t="s">
        <v>8477</v>
      </c>
      <c r="W397" t="s">
        <v>261</v>
      </c>
      <c r="Y397" t="s">
        <v>158</v>
      </c>
      <c r="Z397" t="s">
        <v>195</v>
      </c>
      <c r="AC397" s="3" t="str">
        <f>HYPERLINK("https://api.typeform.com/responses/files/6e7022f1e8616a293297baae33f657ab36343325acc092fe1fc19e109428a1f0/IMG_6425.PNG")</f>
        <v>https://api.typeform.com/responses/files/6e7022f1e8616a293297baae33f657ab36343325acc092fe1fc19e109428a1f0/IMG_6425.PNG</v>
      </c>
      <c r="AD397" t="s">
        <v>118</v>
      </c>
      <c r="AE397" t="s">
        <v>1220</v>
      </c>
      <c r="AF397" t="s">
        <v>197</v>
      </c>
      <c r="AG397">
        <v>0.0</v>
      </c>
      <c r="AH397" s="4" t="s">
        <v>4946</v>
      </c>
      <c r="AI397" t="s">
        <v>121</v>
      </c>
      <c r="AK397" t="s">
        <v>8478</v>
      </c>
      <c r="AL397" t="s">
        <v>1043</v>
      </c>
      <c r="AO397" t="s">
        <v>486</v>
      </c>
      <c r="AP397">
        <v>7.0</v>
      </c>
      <c r="AQ397" t="s">
        <v>126</v>
      </c>
      <c r="AR397" t="s">
        <v>8479</v>
      </c>
      <c r="AS397" t="b">
        <v>1</v>
      </c>
      <c r="AT397" t="b">
        <v>1</v>
      </c>
      <c r="AV397">
        <v>7.0</v>
      </c>
      <c r="AW397" t="b">
        <v>0</v>
      </c>
      <c r="AZ397" t="b">
        <v>0</v>
      </c>
      <c r="BA397" t="b">
        <v>1</v>
      </c>
      <c r="BB397" t="b">
        <v>0</v>
      </c>
      <c r="BC397" t="s">
        <v>8480</v>
      </c>
      <c r="BH397" t="s">
        <v>132</v>
      </c>
      <c r="BI397">
        <v>1.0</v>
      </c>
      <c r="BJ397" t="s">
        <v>3585</v>
      </c>
      <c r="BK397">
        <v>7.0</v>
      </c>
      <c r="BL397">
        <v>7.0</v>
      </c>
      <c r="BM397" t="s">
        <v>8481</v>
      </c>
      <c r="BN397">
        <v>5.0</v>
      </c>
      <c r="BO397">
        <v>4.0</v>
      </c>
      <c r="BP397" t="s">
        <v>8482</v>
      </c>
      <c r="BQ397" t="s">
        <v>6813</v>
      </c>
      <c r="BR397" t="s">
        <v>8483</v>
      </c>
      <c r="BS397" t="s">
        <v>8484</v>
      </c>
      <c r="BU397" t="s">
        <v>8485</v>
      </c>
      <c r="BV397" s="3" t="str">
        <f>HYPERLINK("https://api.typeform.com/responses/files/78bc4d76fc69b3cad04549fc2e4660a230b04374baccf3838440ff87d0f64685/Copy_of_SPEAKHIRE_Parent.Guardian_Consent_Form.pdf")</f>
        <v>https://api.typeform.com/responses/files/78bc4d76fc69b3cad04549fc2e4660a230b04374baccf3838440ff87d0f64685/Copy_of_SPEAKHIRE_Parent.Guardian_Consent_Form.pdf</v>
      </c>
      <c r="BW397" t="b">
        <v>1</v>
      </c>
      <c r="BX397" t="s">
        <v>1394</v>
      </c>
      <c r="BY397" t="s">
        <v>140</v>
      </c>
      <c r="CA397" t="s">
        <v>1395</v>
      </c>
      <c r="CD397">
        <v>0.0</v>
      </c>
      <c r="CF397" t="b">
        <v>0</v>
      </c>
      <c r="CG397" t="b">
        <v>0</v>
      </c>
      <c r="CH397" t="s">
        <v>1935</v>
      </c>
      <c r="CJ397" t="b">
        <v>1</v>
      </c>
      <c r="CK397" t="b">
        <v>0</v>
      </c>
      <c r="CL397" t="s">
        <v>198</v>
      </c>
      <c r="CM397" t="s">
        <v>541</v>
      </c>
      <c r="CO397" t="s">
        <v>3451</v>
      </c>
      <c r="CR397" t="b">
        <v>1</v>
      </c>
      <c r="CT397">
        <v>0.0</v>
      </c>
      <c r="CU397">
        <v>3.0</v>
      </c>
      <c r="CX397" s="4" t="s">
        <v>734</v>
      </c>
      <c r="CZ397" s="5">
        <v>44550.08096064815</v>
      </c>
      <c r="DA397" t="s">
        <v>8486</v>
      </c>
    </row>
    <row r="398">
      <c r="A398" t="s">
        <v>98</v>
      </c>
      <c r="D398" t="s">
        <v>8487</v>
      </c>
      <c r="E398" t="s">
        <v>8488</v>
      </c>
      <c r="F398" s="2">
        <v>37889.0</v>
      </c>
      <c r="G398" t="s">
        <v>1360</v>
      </c>
      <c r="I398" s="3" t="str">
        <f>HYPERLINK("https://api.typeform.com/responses/files/e261d1c87c36397784c78c69ce11d585c4363b11f6805f0945c45c32b17a438c/17B58ADA_F6CB_4152_A8F3_0B4F818D88A2.jpg")</f>
        <v>https://api.typeform.com/responses/files/e261d1c87c36397784c78c69ce11d585c4363b11f6805f0945c45c32b17a438c/17B58ADA_F6CB_4152_A8F3_0B4F818D88A2.jpg</v>
      </c>
      <c r="J398" t="s">
        <v>8489</v>
      </c>
      <c r="K398" t="b">
        <v>1</v>
      </c>
      <c r="L398" s="4" t="s">
        <v>8490</v>
      </c>
      <c r="M398" t="s">
        <v>8491</v>
      </c>
      <c r="N398" t="s">
        <v>149</v>
      </c>
      <c r="O398" t="s">
        <v>8487</v>
      </c>
      <c r="P398" t="s">
        <v>8492</v>
      </c>
      <c r="Q398" t="s">
        <v>189</v>
      </c>
      <c r="R398" t="s">
        <v>8493</v>
      </c>
      <c r="S398" t="s">
        <v>8494</v>
      </c>
      <c r="T398" s="4" t="s">
        <v>8495</v>
      </c>
      <c r="U398" t="s">
        <v>8496</v>
      </c>
      <c r="V398" t="s">
        <v>8497</v>
      </c>
      <c r="W398" t="s">
        <v>261</v>
      </c>
      <c r="Y398" t="s">
        <v>158</v>
      </c>
      <c r="Z398" t="s">
        <v>262</v>
      </c>
      <c r="AC398" s="3" t="str">
        <f>HYPERLINK("https://api.typeform.com/responses/files/786fd464d2464efa59254b4efe46c77e15927ed2abea3d936bfd642e2f335ff8/Rising_11th_graders_transcripts__dragged__2.pdf")</f>
        <v>https://api.typeform.com/responses/files/786fd464d2464efa59254b4efe46c77e15927ed2abea3d936bfd642e2f335ff8/Rising_11th_graders_transcripts__dragged__2.pdf</v>
      </c>
      <c r="AD398" t="s">
        <v>118</v>
      </c>
      <c r="AE398" t="s">
        <v>729</v>
      </c>
      <c r="AF398" t="s">
        <v>2651</v>
      </c>
      <c r="AG398">
        <v>16.0</v>
      </c>
      <c r="AH398" s="4" t="s">
        <v>882</v>
      </c>
      <c r="AI398" t="s">
        <v>162</v>
      </c>
      <c r="AL398" s="4" t="s">
        <v>339</v>
      </c>
      <c r="AO398" t="s">
        <v>335</v>
      </c>
      <c r="AP398">
        <v>2.0</v>
      </c>
      <c r="AQ398" t="s">
        <v>2625</v>
      </c>
      <c r="AR398" t="s">
        <v>8498</v>
      </c>
      <c r="AS398" t="b">
        <v>0</v>
      </c>
      <c r="AV398">
        <v>3.0</v>
      </c>
      <c r="AW398" t="b">
        <v>0</v>
      </c>
      <c r="AZ398" t="b">
        <v>0</v>
      </c>
      <c r="BA398" t="b">
        <v>1</v>
      </c>
      <c r="BB398" t="b">
        <v>0</v>
      </c>
      <c r="BC398" t="s">
        <v>4825</v>
      </c>
      <c r="BH398" t="s">
        <v>132</v>
      </c>
      <c r="BI398">
        <v>3.0</v>
      </c>
      <c r="BJ398" t="s">
        <v>8499</v>
      </c>
      <c r="BK398">
        <v>1.0</v>
      </c>
      <c r="BL398">
        <v>2.0</v>
      </c>
      <c r="BM398" t="s">
        <v>8500</v>
      </c>
      <c r="BN398">
        <v>1.0</v>
      </c>
      <c r="BO398">
        <v>3.0</v>
      </c>
      <c r="BP398" t="s">
        <v>8501</v>
      </c>
      <c r="BQ398" t="s">
        <v>8502</v>
      </c>
      <c r="BR398" t="s">
        <v>8503</v>
      </c>
      <c r="BS398" t="s">
        <v>8504</v>
      </c>
      <c r="BU398" t="s">
        <v>139</v>
      </c>
      <c r="BV398" s="3" t="str">
        <f>HYPERLINK("https://api.typeform.com/responses/files/d2cf140c3f8c2c44b62e4ef4d3c239d418d526d04708137e66bd71637bd52490/IMG_0007.jpg")</f>
        <v>https://api.typeform.com/responses/files/d2cf140c3f8c2c44b62e4ef4d3c239d418d526d04708137e66bd71637bd52490/IMG_0007.jpg</v>
      </c>
      <c r="BW398" t="b">
        <v>1</v>
      </c>
      <c r="BX398" t="s">
        <v>1394</v>
      </c>
      <c r="BY398" t="s">
        <v>140</v>
      </c>
      <c r="CA398" t="s">
        <v>1395</v>
      </c>
      <c r="CD398">
        <v>0.0</v>
      </c>
      <c r="CF398" t="b">
        <v>0</v>
      </c>
      <c r="CG398" t="b">
        <v>0</v>
      </c>
      <c r="CH398" t="s">
        <v>4188</v>
      </c>
      <c r="CJ398" t="b">
        <v>0</v>
      </c>
      <c r="CK398" t="b">
        <v>0</v>
      </c>
      <c r="CL398" t="s">
        <v>2301</v>
      </c>
      <c r="CM398" t="s">
        <v>2301</v>
      </c>
      <c r="CO398" t="s">
        <v>2888</v>
      </c>
      <c r="CQ398" t="s">
        <v>2301</v>
      </c>
      <c r="CR398" t="b">
        <v>1</v>
      </c>
      <c r="CT398">
        <v>0.0</v>
      </c>
      <c r="CU398">
        <v>0.0</v>
      </c>
      <c r="CX398" s="4" t="s">
        <v>8505</v>
      </c>
      <c r="CZ398" s="5">
        <v>44550.60668981481</v>
      </c>
      <c r="DA398" t="s">
        <v>8506</v>
      </c>
    </row>
    <row r="399">
      <c r="A399" t="s">
        <v>98</v>
      </c>
      <c r="D399" t="s">
        <v>8507</v>
      </c>
      <c r="E399" t="s">
        <v>8508</v>
      </c>
      <c r="F399" s="2">
        <v>37896.0</v>
      </c>
      <c r="G399" t="s">
        <v>1360</v>
      </c>
      <c r="I399" s="3" t="str">
        <f>HYPERLINK("https://api.typeform.com/responses/files/d9ece233968a864667f4a95c5609b882c437e8cbb5ec01228d15f31282894aef/IMG_1134.jpg")</f>
        <v>https://api.typeform.com/responses/files/d9ece233968a864667f4a95c5609b882c437e8cbb5ec01228d15f31282894aef/IMG_1134.jpg</v>
      </c>
      <c r="J399" t="s">
        <v>8509</v>
      </c>
      <c r="K399" t="b">
        <v>1</v>
      </c>
      <c r="L399" s="4" t="s">
        <v>8510</v>
      </c>
      <c r="M399" t="s">
        <v>8511</v>
      </c>
      <c r="N399" t="s">
        <v>255</v>
      </c>
      <c r="O399" t="s">
        <v>8512</v>
      </c>
      <c r="P399" t="s">
        <v>8513</v>
      </c>
      <c r="Q399" t="s">
        <v>189</v>
      </c>
      <c r="R399" t="s">
        <v>8514</v>
      </c>
      <c r="S399" t="s">
        <v>8515</v>
      </c>
      <c r="T399" s="4" t="s">
        <v>8516</v>
      </c>
      <c r="U399" t="s">
        <v>7424</v>
      </c>
      <c r="V399" t="s">
        <v>8517</v>
      </c>
      <c r="W399" t="s">
        <v>2290</v>
      </c>
      <c r="Y399" t="s">
        <v>158</v>
      </c>
      <c r="Z399" t="s">
        <v>262</v>
      </c>
      <c r="AC399" s="3" t="str">
        <f>HYPERLINK("https://api.typeform.com/responses/files/865b5f051bd3a11a305f2e7cacd22ce93f672c4dc520b4edd179924a3a798938/report_card_grades.JPG")</f>
        <v>https://api.typeform.com/responses/files/865b5f051bd3a11a305f2e7cacd22ce93f672c4dc520b4edd179924a3a798938/report_card_grades.JPG</v>
      </c>
      <c r="AD399" t="s">
        <v>118</v>
      </c>
      <c r="AE399" t="s">
        <v>729</v>
      </c>
      <c r="AF399" t="s">
        <v>197</v>
      </c>
      <c r="AG399">
        <v>15.0</v>
      </c>
      <c r="AH399" s="4" t="s">
        <v>130</v>
      </c>
      <c r="AI399" t="s">
        <v>543</v>
      </c>
      <c r="AL399" t="s">
        <v>199</v>
      </c>
      <c r="AO399" t="s">
        <v>335</v>
      </c>
      <c r="AP399">
        <v>7.0</v>
      </c>
      <c r="AQ399" t="s">
        <v>126</v>
      </c>
      <c r="AR399" t="s">
        <v>8518</v>
      </c>
      <c r="AS399" t="b">
        <v>1</v>
      </c>
      <c r="AT399" t="b">
        <v>0</v>
      </c>
      <c r="AV399">
        <v>6.0</v>
      </c>
      <c r="AW399" t="b">
        <v>0</v>
      </c>
      <c r="AZ399" t="b">
        <v>0</v>
      </c>
      <c r="BA399" t="b">
        <v>1</v>
      </c>
      <c r="BB399" t="b">
        <v>0</v>
      </c>
      <c r="BC399" t="s">
        <v>8519</v>
      </c>
      <c r="BH399" t="s">
        <v>132</v>
      </c>
      <c r="BI399">
        <v>4.0</v>
      </c>
      <c r="BJ399" t="s">
        <v>1951</v>
      </c>
      <c r="BK399">
        <v>5.0</v>
      </c>
      <c r="BL399">
        <v>7.0</v>
      </c>
      <c r="BM399" t="s">
        <v>8518</v>
      </c>
      <c r="BN399">
        <v>7.0</v>
      </c>
      <c r="BO399">
        <v>6.0</v>
      </c>
      <c r="BP399" t="s">
        <v>8520</v>
      </c>
      <c r="BQ399" t="s">
        <v>945</v>
      </c>
      <c r="BR399" t="s">
        <v>8521</v>
      </c>
      <c r="BS399" t="s">
        <v>8522</v>
      </c>
      <c r="BU399" t="s">
        <v>8523</v>
      </c>
      <c r="BV399" s="3" t="str">
        <f>HYPERLINK("https://api.typeform.com/responses/files/199fbe05a160368c626d271c2ce79e294c52aef70fa151353a8ea9f5a69fb96f/RASSIEL_MUNOZ___SPEAKHIRE_2021___Parent_Consent_Form.pdf")</f>
        <v>https://api.typeform.com/responses/files/199fbe05a160368c626d271c2ce79e294c52aef70fa151353a8ea9f5a69fb96f/RASSIEL_MUNOZ___SPEAKHIRE_2021___Parent_Consent_Form.pdf</v>
      </c>
      <c r="BW399" t="b">
        <v>1</v>
      </c>
      <c r="BX399" t="s">
        <v>1394</v>
      </c>
      <c r="BY399" t="s">
        <v>140</v>
      </c>
      <c r="CA399" t="s">
        <v>1395</v>
      </c>
      <c r="CD399">
        <v>0.0</v>
      </c>
      <c r="CF399" t="b">
        <v>1</v>
      </c>
      <c r="CG399" t="b">
        <v>1</v>
      </c>
      <c r="CH399" t="s">
        <v>168</v>
      </c>
      <c r="CJ399" t="b">
        <v>1</v>
      </c>
      <c r="CK399" t="b">
        <v>1</v>
      </c>
      <c r="CL399" t="s">
        <v>198</v>
      </c>
      <c r="CO399" t="s">
        <v>1688</v>
      </c>
      <c r="CR399" t="b">
        <v>1</v>
      </c>
      <c r="CT399">
        <v>1.0</v>
      </c>
      <c r="CU399">
        <v>0.0</v>
      </c>
      <c r="CX399" s="4" t="s">
        <v>2995</v>
      </c>
      <c r="CZ399" s="5">
        <v>44550.60686342593</v>
      </c>
      <c r="DA399" t="s">
        <v>8524</v>
      </c>
    </row>
    <row r="400">
      <c r="A400" t="s">
        <v>98</v>
      </c>
      <c r="D400" t="s">
        <v>8525</v>
      </c>
      <c r="E400" t="s">
        <v>8526</v>
      </c>
      <c r="F400" s="2">
        <v>37681.0</v>
      </c>
      <c r="G400" t="s">
        <v>1466</v>
      </c>
      <c r="I400" s="3" t="str">
        <f>HYPERLINK("https://api.typeform.com/responses/files/5b47c80f44abb65dbd5957d64843f74d6b30ed034c1d2998bcc5f5040ca676ca/B8CB9C36_1592_4D80_8497_D5077B25DDB7.jpeg")</f>
        <v>https://api.typeform.com/responses/files/5b47c80f44abb65dbd5957d64843f74d6b30ed034c1d2998bcc5f5040ca676ca/B8CB9C36_1592_4D80_8497_D5077B25DDB7.jpeg</v>
      </c>
      <c r="J400" t="s">
        <v>8527</v>
      </c>
      <c r="K400" t="b">
        <v>1</v>
      </c>
      <c r="L400" s="4" t="s">
        <v>8528</v>
      </c>
      <c r="M400" t="s">
        <v>8529</v>
      </c>
      <c r="N400" t="s">
        <v>354</v>
      </c>
      <c r="O400" t="s">
        <v>8530</v>
      </c>
      <c r="P400" t="s">
        <v>8531</v>
      </c>
      <c r="Q400" t="s">
        <v>189</v>
      </c>
      <c r="R400" t="s">
        <v>8532</v>
      </c>
      <c r="S400" t="s">
        <v>8533</v>
      </c>
      <c r="T400" s="4" t="s">
        <v>8534</v>
      </c>
      <c r="U400" t="s">
        <v>8535</v>
      </c>
      <c r="V400" t="s">
        <v>8536</v>
      </c>
      <c r="W400" t="s">
        <v>261</v>
      </c>
      <c r="Y400" t="s">
        <v>158</v>
      </c>
      <c r="Z400" t="s">
        <v>262</v>
      </c>
      <c r="AC400" s="3" t="str">
        <f>HYPERLINK("https://api.typeform.com/responses/files/f73d09479fbb73bd7d8984f241aed163cf767e9ed61a693660d5ee9af1712ca7/Rising_11th_graders_transcripts__dragged__2.pdf")</f>
        <v>https://api.typeform.com/responses/files/f73d09479fbb73bd7d8984f241aed163cf767e9ed61a693660d5ee9af1712ca7/Rising_11th_graders_transcripts__dragged__2.pdf</v>
      </c>
      <c r="AD400" t="s">
        <v>118</v>
      </c>
      <c r="AE400" t="s">
        <v>729</v>
      </c>
      <c r="AF400" t="s">
        <v>2651</v>
      </c>
      <c r="AG400">
        <v>16.0</v>
      </c>
      <c r="AH400" s="4" t="s">
        <v>1414</v>
      </c>
      <c r="AI400" t="s">
        <v>386</v>
      </c>
      <c r="AK400" t="s">
        <v>8537</v>
      </c>
      <c r="AL400" t="s">
        <v>199</v>
      </c>
      <c r="AO400" t="s">
        <v>335</v>
      </c>
      <c r="AP400">
        <v>6.0</v>
      </c>
      <c r="AQ400" t="s">
        <v>303</v>
      </c>
      <c r="AR400" t="s">
        <v>8538</v>
      </c>
      <c r="AS400" t="b">
        <v>1</v>
      </c>
      <c r="AT400" t="b">
        <v>0</v>
      </c>
      <c r="AV400">
        <v>7.0</v>
      </c>
      <c r="AW400" t="b">
        <v>0</v>
      </c>
      <c r="AZ400" t="b">
        <v>0</v>
      </c>
      <c r="BA400" t="b">
        <v>0</v>
      </c>
      <c r="BD400" t="s">
        <v>8539</v>
      </c>
      <c r="BH400" t="s">
        <v>132</v>
      </c>
      <c r="BI400">
        <v>2.0</v>
      </c>
      <c r="BJ400" t="s">
        <v>8540</v>
      </c>
      <c r="BK400">
        <v>3.0</v>
      </c>
      <c r="BL400">
        <v>6.0</v>
      </c>
      <c r="BM400" t="s">
        <v>8541</v>
      </c>
      <c r="BN400">
        <v>5.0</v>
      </c>
      <c r="BO400">
        <v>6.0</v>
      </c>
      <c r="BP400" t="s">
        <v>8542</v>
      </c>
      <c r="BQ400" t="s">
        <v>8543</v>
      </c>
      <c r="BR400" t="s">
        <v>8544</v>
      </c>
      <c r="BS400" t="s">
        <v>8545</v>
      </c>
      <c r="BU400" t="s">
        <v>8546</v>
      </c>
      <c r="BV400" s="3" t="str">
        <f>HYPERLINK("https://api.typeform.com/responses/files/6c6a2e531a9209f1469842d2567ecd7fc4b7df6d9be534b2684d6c02863e8b9e/Scannable_Document_on_Dec_20__2021_at_10_45_29.pdf")</f>
        <v>https://api.typeform.com/responses/files/6c6a2e531a9209f1469842d2567ecd7fc4b7df6d9be534b2684d6c02863e8b9e/Scannable_Document_on_Dec_20__2021_at_10_45_29.pdf</v>
      </c>
      <c r="BW400" t="b">
        <v>1</v>
      </c>
      <c r="BX400" t="s">
        <v>1394</v>
      </c>
      <c r="BY400" t="s">
        <v>140</v>
      </c>
      <c r="CA400" t="s">
        <v>1395</v>
      </c>
      <c r="CD400">
        <v>0.0</v>
      </c>
      <c r="CF400" t="b">
        <v>1</v>
      </c>
      <c r="CG400" t="b">
        <v>1</v>
      </c>
      <c r="CH400" t="s">
        <v>1935</v>
      </c>
      <c r="CJ400" t="b">
        <v>1</v>
      </c>
      <c r="CK400" t="b">
        <v>1</v>
      </c>
      <c r="CL400" t="s">
        <v>2301</v>
      </c>
      <c r="CM400" t="s">
        <v>2301</v>
      </c>
      <c r="CO400" t="s">
        <v>2888</v>
      </c>
      <c r="CQ400" t="s">
        <v>2301</v>
      </c>
      <c r="CR400" t="b">
        <v>1</v>
      </c>
      <c r="CT400">
        <v>0.0</v>
      </c>
      <c r="CU400">
        <v>0.0</v>
      </c>
      <c r="CX400" s="4" t="s">
        <v>8547</v>
      </c>
      <c r="CZ400" s="5">
        <v>44550.65894675926</v>
      </c>
      <c r="DA400" t="s">
        <v>8548</v>
      </c>
    </row>
    <row r="401">
      <c r="A401" t="s">
        <v>98</v>
      </c>
      <c r="D401" t="s">
        <v>8549</v>
      </c>
      <c r="E401" t="s">
        <v>4327</v>
      </c>
      <c r="F401" s="2">
        <v>38595.0</v>
      </c>
      <c r="G401" t="s">
        <v>1466</v>
      </c>
      <c r="I401" s="3" t="str">
        <f>HYPERLINK("https://api.typeform.com/responses/files/56c125288fc0d9a4717d08de6cc74c042aab2f539fe009f7536bd3c6cac2291d/IMG_0979.jpg")</f>
        <v>https://api.typeform.com/responses/files/56c125288fc0d9a4717d08de6cc74c042aab2f539fe009f7536bd3c6cac2291d/IMG_0979.jpg</v>
      </c>
      <c r="J401" t="s">
        <v>8550</v>
      </c>
      <c r="K401" t="b">
        <v>1</v>
      </c>
      <c r="L401" s="4" t="s">
        <v>8551</v>
      </c>
      <c r="M401" t="s">
        <v>8552</v>
      </c>
      <c r="N401" t="s">
        <v>149</v>
      </c>
      <c r="O401" t="s">
        <v>8553</v>
      </c>
      <c r="P401" t="s">
        <v>8554</v>
      </c>
      <c r="Q401" t="s">
        <v>189</v>
      </c>
      <c r="R401" t="s">
        <v>8550</v>
      </c>
      <c r="S401" t="s">
        <v>8555</v>
      </c>
      <c r="T401" s="4" t="s">
        <v>8551</v>
      </c>
      <c r="U401" t="s">
        <v>8556</v>
      </c>
      <c r="V401" t="s">
        <v>8557</v>
      </c>
      <c r="W401" t="s">
        <v>2290</v>
      </c>
      <c r="Y401" t="s">
        <v>158</v>
      </c>
      <c r="Z401" t="s">
        <v>262</v>
      </c>
      <c r="AC401" s="3" t="str">
        <f>HYPERLINK("https://api.typeform.com/responses/files/c6efe013a1ec055042a6115d6b13c6573c242262b493ebeb890905517133a399/IMG_0918.jpeg")</f>
        <v>https://api.typeform.com/responses/files/c6efe013a1ec055042a6115d6b13c6573c242262b493ebeb890905517133a399/IMG_0918.jpeg</v>
      </c>
      <c r="AD401" t="s">
        <v>118</v>
      </c>
      <c r="AE401" t="s">
        <v>729</v>
      </c>
      <c r="AF401" t="s">
        <v>197</v>
      </c>
      <c r="AG401">
        <v>12.0</v>
      </c>
      <c r="AH401" t="s">
        <v>546</v>
      </c>
      <c r="AI401" t="s">
        <v>205</v>
      </c>
      <c r="AL401" t="s">
        <v>199</v>
      </c>
      <c r="AO401" t="s">
        <v>335</v>
      </c>
      <c r="AP401">
        <v>3.0</v>
      </c>
      <c r="AQ401" t="s">
        <v>303</v>
      </c>
      <c r="AR401" t="s">
        <v>8558</v>
      </c>
      <c r="AS401" t="b">
        <v>0</v>
      </c>
      <c r="AV401">
        <v>3.0</v>
      </c>
      <c r="AW401" t="b">
        <v>0</v>
      </c>
      <c r="AZ401" t="b">
        <v>0</v>
      </c>
      <c r="BA401" t="b">
        <v>1</v>
      </c>
      <c r="BB401" t="b">
        <v>0</v>
      </c>
      <c r="BC401" t="s">
        <v>8559</v>
      </c>
      <c r="BH401" t="s">
        <v>132</v>
      </c>
      <c r="BI401">
        <v>2.0</v>
      </c>
      <c r="BJ401" t="s">
        <v>546</v>
      </c>
      <c r="BK401">
        <v>3.0</v>
      </c>
      <c r="BL401">
        <v>2.0</v>
      </c>
      <c r="BM401" t="s">
        <v>8560</v>
      </c>
      <c r="BN401">
        <v>2.0</v>
      </c>
      <c r="BO401">
        <v>4.0</v>
      </c>
      <c r="BP401" t="s">
        <v>8561</v>
      </c>
      <c r="BQ401" t="s">
        <v>1050</v>
      </c>
      <c r="BR401" t="s">
        <v>8562</v>
      </c>
      <c r="BS401" t="s">
        <v>8563</v>
      </c>
      <c r="BU401" t="s">
        <v>8564</v>
      </c>
      <c r="BV401" s="3" t="str">
        <f>HYPERLINK("https://api.typeform.com/responses/files/4f9a218315ea72ddd3c69deee48b183112c45a7e472b4a718a4d6830a646d95b/Screenshot_2021_12_20_11.56.56_AM.png")</f>
        <v>https://api.typeform.com/responses/files/4f9a218315ea72ddd3c69deee48b183112c45a7e472b4a718a4d6830a646d95b/Screenshot_2021_12_20_11.56.56_AM.png</v>
      </c>
      <c r="BW401" t="b">
        <v>1</v>
      </c>
      <c r="BX401" t="s">
        <v>1394</v>
      </c>
      <c r="BY401" t="s">
        <v>140</v>
      </c>
      <c r="CA401" t="s">
        <v>1395</v>
      </c>
      <c r="CD401">
        <v>0.0</v>
      </c>
      <c r="CF401" t="b">
        <v>0</v>
      </c>
      <c r="CG401" t="b">
        <v>0</v>
      </c>
      <c r="CH401" t="s">
        <v>128</v>
      </c>
      <c r="CJ401" t="b">
        <v>1</v>
      </c>
      <c r="CK401" t="b">
        <v>1</v>
      </c>
      <c r="CL401" t="s">
        <v>541</v>
      </c>
      <c r="CO401" t="s">
        <v>388</v>
      </c>
      <c r="CR401" t="b">
        <v>1</v>
      </c>
      <c r="CT401">
        <v>0.0</v>
      </c>
      <c r="CU401">
        <v>0.0</v>
      </c>
      <c r="CX401" s="4" t="s">
        <v>8565</v>
      </c>
      <c r="CZ401" s="5">
        <v>44550.707037037035</v>
      </c>
      <c r="DA401" t="s">
        <v>8566</v>
      </c>
    </row>
    <row r="402">
      <c r="A402" t="s">
        <v>98</v>
      </c>
      <c r="D402" t="s">
        <v>8567</v>
      </c>
      <c r="E402" t="s">
        <v>4209</v>
      </c>
      <c r="F402" s="2">
        <v>38493.0</v>
      </c>
      <c r="G402" t="s">
        <v>1360</v>
      </c>
      <c r="I402" s="3" t="str">
        <f>HYPERLINK("https://api.typeform.com/responses/files/58cff4a59388e95bf94282be2064f04b904619b6329e99c2280b69a31ea01600/C5C5BFB4_A057_47A8_A7B3_3086E95A5181.jpeg")</f>
        <v>https://api.typeform.com/responses/files/58cff4a59388e95bf94282be2064f04b904619b6329e99c2280b69a31ea01600/C5C5BFB4_A057_47A8_A7B3_3086E95A5181.jpeg</v>
      </c>
      <c r="J402" t="s">
        <v>8568</v>
      </c>
      <c r="K402" t="b">
        <v>1</v>
      </c>
      <c r="L402" s="4" t="s">
        <v>8569</v>
      </c>
      <c r="M402" t="s">
        <v>8570</v>
      </c>
      <c r="N402" t="s">
        <v>149</v>
      </c>
      <c r="P402" t="s">
        <v>8571</v>
      </c>
      <c r="Q402" t="s">
        <v>189</v>
      </c>
      <c r="R402" t="s">
        <v>8572</v>
      </c>
      <c r="S402" t="s">
        <v>8573</v>
      </c>
      <c r="T402" s="4" t="s">
        <v>8574</v>
      </c>
      <c r="U402" t="s">
        <v>8575</v>
      </c>
      <c r="V402" t="s">
        <v>8336</v>
      </c>
      <c r="W402" t="s">
        <v>261</v>
      </c>
      <c r="Y402" t="s">
        <v>114</v>
      </c>
      <c r="Z402" t="s">
        <v>262</v>
      </c>
      <c r="AC402" s="3" t="str">
        <f>HYPERLINK("https://api.typeform.com/responses/files/bee33d2114d3ffc0df9cf882ed4720a3e67e4b08cd3c87e15ecb23b3f6ec6d5b/Rising_11th_graders_transcripts__dragged__2.pdf")</f>
        <v>https://api.typeform.com/responses/files/bee33d2114d3ffc0df9cf882ed4720a3e67e4b08cd3c87e15ecb23b3f6ec6d5b/Rising_11th_graders_transcripts__dragged__2.pdf</v>
      </c>
      <c r="AD402" t="s">
        <v>118</v>
      </c>
      <c r="AE402" t="s">
        <v>729</v>
      </c>
      <c r="AF402" t="s">
        <v>965</v>
      </c>
      <c r="AG402">
        <v>12.0</v>
      </c>
      <c r="AH402" t="s">
        <v>8576</v>
      </c>
      <c r="AI402" t="s">
        <v>162</v>
      </c>
      <c r="AL402" t="s">
        <v>199</v>
      </c>
      <c r="AO402" t="s">
        <v>335</v>
      </c>
      <c r="AP402">
        <v>7.0</v>
      </c>
      <c r="AQ402" t="s">
        <v>2240</v>
      </c>
      <c r="AR402" t="s">
        <v>8577</v>
      </c>
      <c r="AS402" t="b">
        <v>1</v>
      </c>
      <c r="AT402" t="b">
        <v>1</v>
      </c>
      <c r="AV402">
        <v>7.0</v>
      </c>
      <c r="AW402" t="b">
        <v>0</v>
      </c>
      <c r="AZ402" t="b">
        <v>0</v>
      </c>
      <c r="BA402" t="b">
        <v>0</v>
      </c>
      <c r="BD402" t="s">
        <v>8578</v>
      </c>
      <c r="BH402" t="s">
        <v>132</v>
      </c>
      <c r="BI402">
        <v>5.0</v>
      </c>
      <c r="BJ402" t="s">
        <v>8579</v>
      </c>
      <c r="BK402">
        <v>7.0</v>
      </c>
      <c r="BL402">
        <v>7.0</v>
      </c>
      <c r="BM402" t="s">
        <v>8580</v>
      </c>
      <c r="BN402">
        <v>6.0</v>
      </c>
      <c r="BO402">
        <v>7.0</v>
      </c>
      <c r="BP402" t="s">
        <v>8581</v>
      </c>
      <c r="BQ402" t="s">
        <v>1179</v>
      </c>
      <c r="BR402" t="s">
        <v>8582</v>
      </c>
      <c r="BS402" t="s">
        <v>8583</v>
      </c>
      <c r="BU402" t="s">
        <v>528</v>
      </c>
      <c r="BV402" s="3" t="str">
        <f>HYPERLINK("https://api.typeform.com/responses/files/8466e978a80951dad2aff38dcc3ff1eef6576302bee0cec8fbcdfe29ae1ab795/Rising_11th_graders_transcripts__dragged__2.pdf")</f>
        <v>https://api.typeform.com/responses/files/8466e978a80951dad2aff38dcc3ff1eef6576302bee0cec8fbcdfe29ae1ab795/Rising_11th_graders_transcripts__dragged__2.pdf</v>
      </c>
      <c r="BW402" t="b">
        <v>1</v>
      </c>
      <c r="BX402" t="s">
        <v>1394</v>
      </c>
      <c r="BY402" t="s">
        <v>140</v>
      </c>
      <c r="CA402" t="s">
        <v>1395</v>
      </c>
      <c r="CD402">
        <v>0.0</v>
      </c>
      <c r="CF402" t="b">
        <v>1</v>
      </c>
      <c r="CG402" t="b">
        <v>1</v>
      </c>
      <c r="CH402" t="s">
        <v>4913</v>
      </c>
      <c r="CJ402" t="b">
        <v>1</v>
      </c>
      <c r="CK402" t="b">
        <v>1</v>
      </c>
      <c r="CL402" t="s">
        <v>198</v>
      </c>
      <c r="CO402" t="s">
        <v>4986</v>
      </c>
      <c r="CR402" t="b">
        <v>1</v>
      </c>
      <c r="CT402">
        <v>0.0</v>
      </c>
      <c r="CU402">
        <v>0.0</v>
      </c>
      <c r="CX402" s="4" t="s">
        <v>8584</v>
      </c>
      <c r="CZ402" s="5">
        <v>44550.75059027778</v>
      </c>
      <c r="DA402" t="s">
        <v>8585</v>
      </c>
    </row>
    <row r="403">
      <c r="A403" t="s">
        <v>98</v>
      </c>
      <c r="D403" t="s">
        <v>8586</v>
      </c>
      <c r="E403" t="s">
        <v>8587</v>
      </c>
      <c r="F403" s="2">
        <v>38217.0</v>
      </c>
      <c r="G403" t="s">
        <v>1466</v>
      </c>
      <c r="I403" s="3" t="str">
        <f>HYPERLINK("https://api.typeform.com/responses/files/23387811c1108f7ab427d0b6f9c031a2eaed02ad632cd2d29f951d9497eff89d/IMG_2875.jpg")</f>
        <v>https://api.typeform.com/responses/files/23387811c1108f7ab427d0b6f9c031a2eaed02ad632cd2d29f951d9497eff89d/IMG_2875.jpg</v>
      </c>
      <c r="J403" t="s">
        <v>8588</v>
      </c>
      <c r="K403" t="b">
        <v>1</v>
      </c>
      <c r="L403" s="4" t="s">
        <v>8589</v>
      </c>
      <c r="M403" t="s">
        <v>8590</v>
      </c>
      <c r="N403" t="s">
        <v>255</v>
      </c>
      <c r="O403" t="s">
        <v>8591</v>
      </c>
      <c r="P403" t="s">
        <v>8592</v>
      </c>
      <c r="Q403" t="s">
        <v>108</v>
      </c>
      <c r="R403" t="s">
        <v>8593</v>
      </c>
      <c r="S403" t="s">
        <v>8590</v>
      </c>
      <c r="T403" s="4" t="s">
        <v>8594</v>
      </c>
      <c r="U403" t="s">
        <v>8273</v>
      </c>
      <c r="V403" t="s">
        <v>8595</v>
      </c>
      <c r="W403" t="s">
        <v>261</v>
      </c>
      <c r="Y403" t="s">
        <v>158</v>
      </c>
      <c r="Z403" t="s">
        <v>262</v>
      </c>
      <c r="AC403" s="3" t="str">
        <f>HYPERLINK("https://api.typeform.com/responses/files/b31277fbe9f22467efe32fc1e70025353e509d303c7a1b16caecfe1bac5eccd5/Rising_11th_graders_transcripts__dragged_.pdf")</f>
        <v>https://api.typeform.com/responses/files/b31277fbe9f22467efe32fc1e70025353e509d303c7a1b16caecfe1bac5eccd5/Rising_11th_graders_transcripts__dragged_.pdf</v>
      </c>
      <c r="AD403" t="s">
        <v>118</v>
      </c>
      <c r="AE403" t="s">
        <v>729</v>
      </c>
      <c r="AF403" t="s">
        <v>1731</v>
      </c>
      <c r="AG403">
        <v>15.0</v>
      </c>
      <c r="AH403" s="4" t="s">
        <v>1521</v>
      </c>
      <c r="AI403" t="s">
        <v>162</v>
      </c>
      <c r="AK403" t="s">
        <v>179</v>
      </c>
      <c r="AL403" t="s">
        <v>8596</v>
      </c>
      <c r="AO403" t="s">
        <v>125</v>
      </c>
      <c r="AP403">
        <v>6.0</v>
      </c>
      <c r="AQ403" t="s">
        <v>126</v>
      </c>
      <c r="AR403" t="s">
        <v>8597</v>
      </c>
      <c r="AS403" t="b">
        <v>1</v>
      </c>
      <c r="AT403" t="b">
        <v>0</v>
      </c>
      <c r="AV403">
        <v>6.0</v>
      </c>
      <c r="AW403" t="b">
        <v>1</v>
      </c>
      <c r="AX403" t="s">
        <v>1902</v>
      </c>
      <c r="AY403" s="4" t="s">
        <v>170</v>
      </c>
      <c r="AZ403" t="b">
        <v>0</v>
      </c>
      <c r="BA403" t="b">
        <v>1</v>
      </c>
      <c r="BB403" t="b">
        <v>0</v>
      </c>
      <c r="BC403" t="s">
        <v>8598</v>
      </c>
      <c r="BH403" t="s">
        <v>132</v>
      </c>
      <c r="BI403">
        <v>3.0</v>
      </c>
      <c r="BJ403" t="s">
        <v>8599</v>
      </c>
      <c r="BK403">
        <v>2.0</v>
      </c>
      <c r="BL403">
        <v>6.0</v>
      </c>
      <c r="BM403" t="s">
        <v>8600</v>
      </c>
      <c r="BN403">
        <v>3.0</v>
      </c>
      <c r="BO403">
        <v>5.0</v>
      </c>
      <c r="BP403" t="s">
        <v>8601</v>
      </c>
      <c r="BQ403" t="s">
        <v>8602</v>
      </c>
      <c r="BR403" t="s">
        <v>8603</v>
      </c>
      <c r="BS403" t="s">
        <v>8604</v>
      </c>
      <c r="BU403" t="s">
        <v>8605</v>
      </c>
      <c r="BV403" s="3" t="str">
        <f>HYPERLINK("https://api.typeform.com/responses/files/be11a865e399633e030a56eab787ecca3ef0029fe4555e155a1b4e7dd2fa25a0/IMG_3281.jpg")</f>
        <v>https://api.typeform.com/responses/files/be11a865e399633e030a56eab787ecca3ef0029fe4555e155a1b4e7dd2fa25a0/IMG_3281.jpg</v>
      </c>
      <c r="BW403" t="b">
        <v>1</v>
      </c>
      <c r="BX403" t="s">
        <v>1394</v>
      </c>
      <c r="BY403" t="s">
        <v>140</v>
      </c>
      <c r="CA403" t="s">
        <v>1395</v>
      </c>
      <c r="CD403">
        <v>0.0</v>
      </c>
      <c r="CF403" t="b">
        <v>0</v>
      </c>
      <c r="CG403" t="b">
        <v>1</v>
      </c>
      <c r="CH403" t="s">
        <v>8606</v>
      </c>
      <c r="CJ403" t="b">
        <v>1</v>
      </c>
      <c r="CK403" t="b">
        <v>1</v>
      </c>
      <c r="CL403" t="s">
        <v>636</v>
      </c>
      <c r="CO403" t="s">
        <v>124</v>
      </c>
      <c r="CR403" t="b">
        <v>1</v>
      </c>
      <c r="CT403">
        <v>0.0</v>
      </c>
      <c r="CU403">
        <v>2.0</v>
      </c>
      <c r="CX403" s="4" t="s">
        <v>2995</v>
      </c>
      <c r="CZ403" s="5">
        <v>44550.75497685185</v>
      </c>
      <c r="DA403" t="s">
        <v>8607</v>
      </c>
    </row>
    <row r="404">
      <c r="A404" t="s">
        <v>98</v>
      </c>
      <c r="D404" t="s">
        <v>8608</v>
      </c>
      <c r="E404" t="s">
        <v>8609</v>
      </c>
      <c r="F404" s="2">
        <v>38295.0</v>
      </c>
      <c r="G404" t="s">
        <v>1360</v>
      </c>
      <c r="I404" s="3" t="str">
        <f>HYPERLINK("https://api.typeform.com/responses/files/a97db6bbfacf4a856074dc7c5961bd6e17a4ebfcbfa5be761bdda9f526ff0527/5E27B694_4D94_4DBF_A0D7_0A8DB1A5415B.JPG")</f>
        <v>https://api.typeform.com/responses/files/a97db6bbfacf4a856074dc7c5961bd6e17a4ebfcbfa5be761bdda9f526ff0527/5E27B694_4D94_4DBF_A0D7_0A8DB1A5415B.JPG</v>
      </c>
      <c r="J404" t="s">
        <v>8610</v>
      </c>
      <c r="K404" t="b">
        <v>1</v>
      </c>
      <c r="L404" s="4" t="s">
        <v>8611</v>
      </c>
      <c r="M404" t="s">
        <v>8612</v>
      </c>
      <c r="N404" t="s">
        <v>149</v>
      </c>
      <c r="O404" t="s">
        <v>8613</v>
      </c>
      <c r="P404" t="s">
        <v>8614</v>
      </c>
      <c r="Q404" t="s">
        <v>189</v>
      </c>
      <c r="R404" t="s">
        <v>8615</v>
      </c>
      <c r="S404" t="s">
        <v>8616</v>
      </c>
      <c r="T404" s="4" t="s">
        <v>8617</v>
      </c>
      <c r="U404" t="s">
        <v>8273</v>
      </c>
      <c r="V404" t="s">
        <v>8336</v>
      </c>
      <c r="W404" t="s">
        <v>261</v>
      </c>
      <c r="Y404" t="s">
        <v>158</v>
      </c>
      <c r="Z404" t="s">
        <v>262</v>
      </c>
      <c r="AC404" s="3" t="str">
        <f>HYPERLINK("https://api.typeform.com/responses/files/ceaf0db2a3332ee2deca3c9b61d862672df424490cb2d8e0c031f334c70fd969/Rising_11th_graders_transcripts__dragged__3__1_.pdf")</f>
        <v>https://api.typeform.com/responses/files/ceaf0db2a3332ee2deca3c9b61d862672df424490cb2d8e0c031f334c70fd969/Rising_11th_graders_transcripts__dragged__3__1_.pdf</v>
      </c>
      <c r="AD404" t="s">
        <v>118</v>
      </c>
      <c r="AE404" t="s">
        <v>1220</v>
      </c>
      <c r="AF404" t="s">
        <v>3201</v>
      </c>
      <c r="AG404">
        <v>14.0</v>
      </c>
      <c r="AH404" t="s">
        <v>8618</v>
      </c>
      <c r="AI404" t="s">
        <v>543</v>
      </c>
      <c r="AK404" t="s">
        <v>528</v>
      </c>
      <c r="AL404" t="s">
        <v>199</v>
      </c>
      <c r="AO404" t="s">
        <v>335</v>
      </c>
      <c r="AP404">
        <v>2.0</v>
      </c>
      <c r="AQ404" t="s">
        <v>6146</v>
      </c>
      <c r="AR404" t="s">
        <v>1877</v>
      </c>
      <c r="AS404" t="b">
        <v>1</v>
      </c>
      <c r="AT404" t="b">
        <v>0</v>
      </c>
      <c r="AV404">
        <v>6.0</v>
      </c>
      <c r="AW404" t="b">
        <v>0</v>
      </c>
      <c r="AZ404" t="b">
        <v>1</v>
      </c>
      <c r="BA404" t="b">
        <v>1</v>
      </c>
      <c r="BB404" t="b">
        <v>1</v>
      </c>
      <c r="BC404" t="s">
        <v>8619</v>
      </c>
      <c r="BH404" t="s">
        <v>132</v>
      </c>
      <c r="BI404">
        <v>2.0</v>
      </c>
      <c r="BJ404" t="s">
        <v>8620</v>
      </c>
      <c r="BK404">
        <v>4.0</v>
      </c>
      <c r="BL404">
        <v>4.0</v>
      </c>
      <c r="BM404" t="s">
        <v>8621</v>
      </c>
      <c r="BN404">
        <v>4.0</v>
      </c>
      <c r="BO404">
        <v>5.0</v>
      </c>
      <c r="BP404" t="s">
        <v>8622</v>
      </c>
      <c r="BQ404" t="s">
        <v>8623</v>
      </c>
      <c r="BR404" t="s">
        <v>8624</v>
      </c>
      <c r="BS404" t="s">
        <v>8625</v>
      </c>
      <c r="BU404" t="s">
        <v>179</v>
      </c>
      <c r="BV404" s="3" t="str">
        <f>HYPERLINK("https://api.typeform.com/responses/files/1004b045f77f891707259f877a7c24962d1ae79ab36a1477105c8ef84967f76e/Rising_11th_graders_transcripts__dragged__3__1_.pdf")</f>
        <v>https://api.typeform.com/responses/files/1004b045f77f891707259f877a7c24962d1ae79ab36a1477105c8ef84967f76e/Rising_11th_graders_transcripts__dragged__3__1_.pdf</v>
      </c>
      <c r="BW404" t="b">
        <v>1</v>
      </c>
      <c r="BX404" t="s">
        <v>1394</v>
      </c>
      <c r="BY404" t="s">
        <v>140</v>
      </c>
      <c r="CA404" t="s">
        <v>1395</v>
      </c>
      <c r="CD404">
        <v>0.0</v>
      </c>
      <c r="CF404" t="b">
        <v>1</v>
      </c>
      <c r="CG404" t="b">
        <v>1</v>
      </c>
      <c r="CH404" t="s">
        <v>4913</v>
      </c>
      <c r="CJ404" t="b">
        <v>1</v>
      </c>
      <c r="CK404" t="b">
        <v>1</v>
      </c>
      <c r="CL404" t="s">
        <v>2301</v>
      </c>
      <c r="CM404" t="s">
        <v>2301</v>
      </c>
      <c r="CN404" t="s">
        <v>8626</v>
      </c>
      <c r="CO404" t="s">
        <v>4605</v>
      </c>
      <c r="CQ404" t="s">
        <v>2301</v>
      </c>
      <c r="CR404" t="b">
        <v>1</v>
      </c>
      <c r="CT404">
        <v>0.0</v>
      </c>
      <c r="CU404">
        <v>0.0</v>
      </c>
      <c r="CX404" s="4" t="s">
        <v>8627</v>
      </c>
      <c r="CZ404" s="5">
        <v>44550.75550925926</v>
      </c>
      <c r="DA404" t="s">
        <v>8628</v>
      </c>
    </row>
    <row r="405">
      <c r="A405" t="s">
        <v>98</v>
      </c>
      <c r="D405" t="s">
        <v>8629</v>
      </c>
      <c r="E405" t="s">
        <v>8630</v>
      </c>
      <c r="F405" s="2">
        <v>38194.0</v>
      </c>
      <c r="G405" t="s">
        <v>1466</v>
      </c>
      <c r="I405" s="3" t="str">
        <f>HYPERLINK("https://api.typeform.com/responses/files/1eb665897c1420e8edb2f846583803403db0ba5290a17d259615c729be4411c0/87D623BC_940A_401C_A9C6_5A0F4231649A.jpeg")</f>
        <v>https://api.typeform.com/responses/files/1eb665897c1420e8edb2f846583803403db0ba5290a17d259615c729be4411c0/87D623BC_940A_401C_A9C6_5A0F4231649A.jpeg</v>
      </c>
      <c r="J405" t="s">
        <v>8631</v>
      </c>
      <c r="K405" t="b">
        <v>1</v>
      </c>
      <c r="L405" s="4" t="s">
        <v>8632</v>
      </c>
      <c r="M405" t="s">
        <v>8633</v>
      </c>
      <c r="N405" t="s">
        <v>149</v>
      </c>
      <c r="O405" t="s">
        <v>8634</v>
      </c>
      <c r="P405" t="s">
        <v>8635</v>
      </c>
      <c r="Q405" t="s">
        <v>189</v>
      </c>
      <c r="R405" t="s">
        <v>8636</v>
      </c>
      <c r="S405" t="s">
        <v>8633</v>
      </c>
      <c r="T405" s="4" t="s">
        <v>8637</v>
      </c>
      <c r="U405" t="s">
        <v>8273</v>
      </c>
      <c r="V405" t="s">
        <v>8359</v>
      </c>
      <c r="W405" t="s">
        <v>1412</v>
      </c>
      <c r="Y405" t="s">
        <v>158</v>
      </c>
      <c r="Z405" t="s">
        <v>262</v>
      </c>
      <c r="AC405" s="3" t="str">
        <f>HYPERLINK("https://api.typeform.com/responses/files/1f8cf51c5fdf5c3f213f64b75d634801083a99a8d93c07b7b54be23061e39d36/Rising_11th_graders_transcripts__dragged__2.pdf")</f>
        <v>https://api.typeform.com/responses/files/1f8cf51c5fdf5c3f213f64b75d634801083a99a8d93c07b7b54be23061e39d36/Rising_11th_graders_transcripts__dragged__2.pdf</v>
      </c>
      <c r="AD405" t="s">
        <v>118</v>
      </c>
      <c r="AE405" t="s">
        <v>729</v>
      </c>
      <c r="AF405" t="s">
        <v>8638</v>
      </c>
      <c r="AG405">
        <v>13.0</v>
      </c>
      <c r="AH405" t="s">
        <v>8639</v>
      </c>
      <c r="AI405" t="s">
        <v>121</v>
      </c>
      <c r="AK405" t="s">
        <v>179</v>
      </c>
      <c r="AL405" t="s">
        <v>621</v>
      </c>
      <c r="AO405" t="s">
        <v>125</v>
      </c>
      <c r="AP405">
        <v>6.0</v>
      </c>
      <c r="AQ405" t="s">
        <v>2240</v>
      </c>
      <c r="AR405" t="s">
        <v>2907</v>
      </c>
      <c r="AS405" t="b">
        <v>1</v>
      </c>
      <c r="AT405" t="b">
        <v>1</v>
      </c>
      <c r="AV405">
        <v>6.0</v>
      </c>
      <c r="AW405" t="b">
        <v>1</v>
      </c>
      <c r="AX405" t="s">
        <v>1902</v>
      </c>
      <c r="AY405" s="4" t="s">
        <v>518</v>
      </c>
      <c r="AZ405" t="b">
        <v>0</v>
      </c>
      <c r="BA405" t="b">
        <v>1</v>
      </c>
      <c r="BB405" t="b">
        <v>1</v>
      </c>
      <c r="BC405" t="s">
        <v>8640</v>
      </c>
      <c r="BH405" t="s">
        <v>132</v>
      </c>
      <c r="BI405">
        <v>4.0</v>
      </c>
      <c r="BJ405" t="s">
        <v>8641</v>
      </c>
      <c r="BK405">
        <v>3.0</v>
      </c>
      <c r="BL405">
        <v>5.0</v>
      </c>
      <c r="BM405" t="s">
        <v>8642</v>
      </c>
      <c r="BN405">
        <v>4.0</v>
      </c>
      <c r="BO405">
        <v>3.0</v>
      </c>
      <c r="BP405" t="s">
        <v>8643</v>
      </c>
      <c r="BQ405" t="s">
        <v>3036</v>
      </c>
      <c r="BR405" t="s">
        <v>8644</v>
      </c>
      <c r="BS405" t="s">
        <v>8645</v>
      </c>
      <c r="BU405" t="s">
        <v>1182</v>
      </c>
      <c r="BV405" s="3" t="str">
        <f>HYPERLINK("https://api.typeform.com/responses/files/48aca521dd4a51f16dfbd505a4996ddad20356816dc01d51a2135f737a92f07b/Rising_11th_graders_transcripts__dragged_.pdf")</f>
        <v>https://api.typeform.com/responses/files/48aca521dd4a51f16dfbd505a4996ddad20356816dc01d51a2135f737a92f07b/Rising_11th_graders_transcripts__dragged_.pdf</v>
      </c>
      <c r="BW405" t="b">
        <v>1</v>
      </c>
      <c r="BX405" t="s">
        <v>1394</v>
      </c>
      <c r="BY405" t="s">
        <v>140</v>
      </c>
      <c r="CA405" t="s">
        <v>1395</v>
      </c>
      <c r="CD405">
        <v>0.0</v>
      </c>
      <c r="CF405" t="b">
        <v>1</v>
      </c>
      <c r="CG405" t="b">
        <v>1</v>
      </c>
      <c r="CH405" t="s">
        <v>8646</v>
      </c>
      <c r="CJ405" t="b">
        <v>1</v>
      </c>
      <c r="CK405" t="b">
        <v>1</v>
      </c>
      <c r="CL405" t="s">
        <v>2736</v>
      </c>
      <c r="CM405" t="s">
        <v>2736</v>
      </c>
      <c r="CO405" t="s">
        <v>200</v>
      </c>
      <c r="CQ405" t="s">
        <v>2736</v>
      </c>
      <c r="CR405" t="b">
        <v>1</v>
      </c>
      <c r="CT405">
        <v>0.0</v>
      </c>
      <c r="CU405">
        <v>3.0</v>
      </c>
      <c r="CX405" s="4" t="s">
        <v>8647</v>
      </c>
      <c r="CZ405" s="5">
        <v>44550.75677083333</v>
      </c>
      <c r="DA405" t="s">
        <v>8648</v>
      </c>
    </row>
    <row r="406">
      <c r="A406" t="s">
        <v>98</v>
      </c>
      <c r="D406" t="s">
        <v>8649</v>
      </c>
      <c r="E406" t="s">
        <v>8650</v>
      </c>
      <c r="F406" s="2">
        <v>37933.0</v>
      </c>
      <c r="G406" t="s">
        <v>1360</v>
      </c>
      <c r="I406" s="3" t="str">
        <f>HYPERLINK("https://api.typeform.com/responses/files/15828288fb43572fda9dca455cbd6079fcc94bd47048decfad7ec925253b7610/Photo_on_12_20_21_at_12.24_PM.jpg")</f>
        <v>https://api.typeform.com/responses/files/15828288fb43572fda9dca455cbd6079fcc94bd47048decfad7ec925253b7610/Photo_on_12_20_21_at_12.24_PM.jpg</v>
      </c>
      <c r="J406" t="s">
        <v>8651</v>
      </c>
      <c r="K406" t="b">
        <v>1</v>
      </c>
      <c r="L406" s="4" t="s">
        <v>8652</v>
      </c>
      <c r="M406" t="s">
        <v>8653</v>
      </c>
      <c r="N406" t="s">
        <v>354</v>
      </c>
      <c r="O406" t="s">
        <v>8654</v>
      </c>
      <c r="P406" t="s">
        <v>8655</v>
      </c>
      <c r="Q406" t="s">
        <v>152</v>
      </c>
      <c r="R406" t="s">
        <v>8656</v>
      </c>
      <c r="S406" t="s">
        <v>8657</v>
      </c>
      <c r="T406" s="4" t="s">
        <v>8658</v>
      </c>
      <c r="U406" t="s">
        <v>8273</v>
      </c>
      <c r="V406" t="s">
        <v>8359</v>
      </c>
      <c r="W406" t="s">
        <v>261</v>
      </c>
      <c r="Y406" t="s">
        <v>158</v>
      </c>
      <c r="Z406" t="s">
        <v>262</v>
      </c>
      <c r="AC406" s="3" t="str">
        <f>HYPERLINK("https://api.typeform.com/responses/files/bacdeede3c0169275a307ad1451472fedafd12a187b34a01f46ce60b13c39dd2/Rising_11th_graders_transcripts__dragged__2.pdf")</f>
        <v>https://api.typeform.com/responses/files/bacdeede3c0169275a307ad1451472fedafd12a187b34a01f46ce60b13c39dd2/Rising_11th_graders_transcripts__dragged__2.pdf</v>
      </c>
      <c r="AD406" t="s">
        <v>118</v>
      </c>
      <c r="AE406" t="s">
        <v>729</v>
      </c>
      <c r="AF406" t="s">
        <v>3549</v>
      </c>
      <c r="AG406">
        <v>16.0</v>
      </c>
      <c r="AH406" t="s">
        <v>8659</v>
      </c>
      <c r="AI406" t="s">
        <v>121</v>
      </c>
      <c r="AK406" t="s">
        <v>179</v>
      </c>
      <c r="AL406" t="s">
        <v>3552</v>
      </c>
      <c r="AO406" t="s">
        <v>125</v>
      </c>
      <c r="AP406">
        <v>6.0</v>
      </c>
      <c r="AQ406" t="s">
        <v>1520</v>
      </c>
      <c r="AR406" t="s">
        <v>8660</v>
      </c>
      <c r="AS406" t="b">
        <v>1</v>
      </c>
      <c r="AT406" t="b">
        <v>1</v>
      </c>
      <c r="AV406">
        <v>5.0</v>
      </c>
      <c r="AW406" t="b">
        <v>0</v>
      </c>
      <c r="AZ406" t="b">
        <v>0</v>
      </c>
      <c r="BA406" t="b">
        <v>0</v>
      </c>
      <c r="BD406" t="s">
        <v>8660</v>
      </c>
      <c r="BH406" t="s">
        <v>132</v>
      </c>
      <c r="BI406">
        <v>5.0</v>
      </c>
      <c r="BJ406" t="s">
        <v>1951</v>
      </c>
      <c r="BK406">
        <v>3.0</v>
      </c>
      <c r="BL406">
        <v>6.0</v>
      </c>
      <c r="BM406" t="s">
        <v>8661</v>
      </c>
      <c r="BN406">
        <v>3.0</v>
      </c>
      <c r="BO406">
        <v>4.0</v>
      </c>
      <c r="BP406" t="s">
        <v>8662</v>
      </c>
      <c r="BQ406" t="s">
        <v>8663</v>
      </c>
      <c r="BR406" t="s">
        <v>8664</v>
      </c>
      <c r="BS406" t="s">
        <v>8665</v>
      </c>
      <c r="BU406" t="s">
        <v>179</v>
      </c>
      <c r="BV406" s="3" t="str">
        <f>HYPERLINK("https://api.typeform.com/responses/files/89b811e2bdfbde561329ece20e6f35e1639bfaa37e8ffa3781e7f2c31fe14cc1/Rising_11th_graders_transcripts__dragged__2.pdf")</f>
        <v>https://api.typeform.com/responses/files/89b811e2bdfbde561329ece20e6f35e1639bfaa37e8ffa3781e7f2c31fe14cc1/Rising_11th_graders_transcripts__dragged__2.pdf</v>
      </c>
      <c r="BW406" t="b">
        <v>1</v>
      </c>
      <c r="BX406" t="s">
        <v>1394</v>
      </c>
      <c r="BY406" t="s">
        <v>140</v>
      </c>
      <c r="CA406" t="s">
        <v>1395</v>
      </c>
      <c r="CD406">
        <v>0.0</v>
      </c>
      <c r="CF406" t="b">
        <v>1</v>
      </c>
      <c r="CG406" t="b">
        <v>1</v>
      </c>
      <c r="CH406" t="s">
        <v>1349</v>
      </c>
      <c r="CJ406" t="b">
        <v>1</v>
      </c>
      <c r="CK406" t="b">
        <v>1</v>
      </c>
      <c r="CL406" t="s">
        <v>2736</v>
      </c>
      <c r="CM406" t="s">
        <v>2736</v>
      </c>
      <c r="CO406" t="s">
        <v>2325</v>
      </c>
      <c r="CQ406" t="s">
        <v>2736</v>
      </c>
      <c r="CR406" t="b">
        <v>1</v>
      </c>
      <c r="CT406">
        <v>0.0</v>
      </c>
      <c r="CU406">
        <v>0.0</v>
      </c>
      <c r="CX406" s="4" t="s">
        <v>8666</v>
      </c>
      <c r="CZ406" s="5">
        <v>44550.757372685184</v>
      </c>
      <c r="DA406" t="s">
        <v>8667</v>
      </c>
    </row>
    <row r="407">
      <c r="A407" t="s">
        <v>98</v>
      </c>
      <c r="D407" t="s">
        <v>8668</v>
      </c>
      <c r="E407" t="s">
        <v>5155</v>
      </c>
      <c r="F407" s="2">
        <v>38619.0</v>
      </c>
      <c r="G407" t="s">
        <v>1360</v>
      </c>
      <c r="I407" s="3" t="str">
        <f>HYPERLINK("https://api.typeform.com/responses/files/3c85b1e31cbac6dd0acdd5db7c116eb3638eeeecc79958747c0ee74033f71a3c/IMG_1244.jpg")</f>
        <v>https://api.typeform.com/responses/files/3c85b1e31cbac6dd0acdd5db7c116eb3638eeeecc79958747c0ee74033f71a3c/IMG_1244.jpg</v>
      </c>
      <c r="J407" t="s">
        <v>8669</v>
      </c>
      <c r="K407" t="b">
        <v>1</v>
      </c>
      <c r="L407" s="4" t="s">
        <v>8670</v>
      </c>
      <c r="M407" t="s">
        <v>8671</v>
      </c>
      <c r="N407" t="s">
        <v>149</v>
      </c>
      <c r="P407" t="s">
        <v>8672</v>
      </c>
      <c r="Q407" t="s">
        <v>189</v>
      </c>
      <c r="R407" t="s">
        <v>8673</v>
      </c>
      <c r="S407" t="s">
        <v>8671</v>
      </c>
      <c r="T407" s="4" t="s">
        <v>8674</v>
      </c>
      <c r="U407" t="s">
        <v>8675</v>
      </c>
      <c r="V407" t="s">
        <v>8676</v>
      </c>
      <c r="W407" t="s">
        <v>2290</v>
      </c>
      <c r="Y407" t="s">
        <v>158</v>
      </c>
      <c r="Z407" t="s">
        <v>262</v>
      </c>
      <c r="AC407" s="3" t="str">
        <f>HYPERLINK("https://api.typeform.com/responses/files/44eebb9d90aabb07c1e52df5668a9748e987db62daa2a84e7be35a1ed7f1e103/IMG_1258.jpg")</f>
        <v>https://api.typeform.com/responses/files/44eebb9d90aabb07c1e52df5668a9748e987db62daa2a84e7be35a1ed7f1e103/IMG_1258.jpg</v>
      </c>
      <c r="AD407" t="s">
        <v>118</v>
      </c>
      <c r="AE407" t="s">
        <v>729</v>
      </c>
      <c r="AF407" t="s">
        <v>197</v>
      </c>
      <c r="AG407">
        <v>14.0</v>
      </c>
      <c r="AH407" s="4" t="s">
        <v>273</v>
      </c>
      <c r="AI407" t="s">
        <v>162</v>
      </c>
      <c r="AL407" t="s">
        <v>199</v>
      </c>
      <c r="AO407" t="s">
        <v>335</v>
      </c>
      <c r="AP407">
        <v>2.0</v>
      </c>
      <c r="AQ407" t="s">
        <v>126</v>
      </c>
      <c r="AR407" t="s">
        <v>8677</v>
      </c>
      <c r="AS407" t="b">
        <v>1</v>
      </c>
      <c r="AT407" t="b">
        <v>0</v>
      </c>
      <c r="AV407">
        <v>3.0</v>
      </c>
      <c r="AW407" t="b">
        <v>0</v>
      </c>
      <c r="AZ407" t="b">
        <v>0</v>
      </c>
      <c r="BA407" t="b">
        <v>0</v>
      </c>
      <c r="BD407" t="s">
        <v>8678</v>
      </c>
      <c r="BH407" t="s">
        <v>132</v>
      </c>
      <c r="BI407">
        <v>1.0</v>
      </c>
      <c r="BJ407" t="s">
        <v>8679</v>
      </c>
      <c r="BK407">
        <v>3.0</v>
      </c>
      <c r="BL407">
        <v>1.0</v>
      </c>
      <c r="BM407" t="s">
        <v>8680</v>
      </c>
      <c r="BN407">
        <v>1.0</v>
      </c>
      <c r="BO407">
        <v>2.0</v>
      </c>
      <c r="BP407" t="s">
        <v>8681</v>
      </c>
      <c r="BQ407" t="s">
        <v>176</v>
      </c>
      <c r="BR407" t="s">
        <v>8682</v>
      </c>
      <c r="BS407" t="s">
        <v>8683</v>
      </c>
      <c r="BU407" t="s">
        <v>8684</v>
      </c>
      <c r="BV407" s="3" t="str">
        <f>HYPERLINK("https://api.typeform.com/responses/files/16d68308bdb8f6ede48599dc042044cc481225d5f1bedbf265b58cf3e991af39/AMELIA_RODRIGUEZ___SPEAKHIRE_2021_Parent_Consent_Form___Google_Docs.pdf")</f>
        <v>https://api.typeform.com/responses/files/16d68308bdb8f6ede48599dc042044cc481225d5f1bedbf265b58cf3e991af39/AMELIA_RODRIGUEZ___SPEAKHIRE_2021_Parent_Consent_Form___Google_Docs.pdf</v>
      </c>
      <c r="BW407" t="b">
        <v>1</v>
      </c>
      <c r="BX407" t="s">
        <v>1394</v>
      </c>
      <c r="BY407" t="s">
        <v>140</v>
      </c>
      <c r="CA407" t="s">
        <v>1395</v>
      </c>
      <c r="CD407">
        <v>0.0</v>
      </c>
      <c r="CF407" t="b">
        <v>1</v>
      </c>
      <c r="CG407" t="b">
        <v>1</v>
      </c>
      <c r="CH407" t="s">
        <v>168</v>
      </c>
      <c r="CJ407" t="b">
        <v>1</v>
      </c>
      <c r="CK407" t="b">
        <v>1</v>
      </c>
      <c r="CL407" t="s">
        <v>198</v>
      </c>
      <c r="CO407" t="s">
        <v>1635</v>
      </c>
      <c r="CR407" t="b">
        <v>1</v>
      </c>
      <c r="CT407">
        <v>0.0</v>
      </c>
      <c r="CU407">
        <v>0.0</v>
      </c>
      <c r="CX407" s="4" t="s">
        <v>3042</v>
      </c>
      <c r="CZ407" s="5">
        <v>44550.75859953704</v>
      </c>
      <c r="DA407" t="s">
        <v>8685</v>
      </c>
    </row>
    <row r="408">
      <c r="A408" t="s">
        <v>98</v>
      </c>
      <c r="D408" t="s">
        <v>8686</v>
      </c>
      <c r="E408" t="s">
        <v>5240</v>
      </c>
      <c r="F408" s="2">
        <v>38023.0</v>
      </c>
      <c r="G408" t="s">
        <v>1466</v>
      </c>
      <c r="I408" s="3" t="str">
        <f>HYPERLINK("https://api.typeform.com/responses/files/e78b8933ebd1b7ae7c3abbf23313050a3a4a764969e0129157870a2d3aab9eff/IMG_4123.jpg")</f>
        <v>https://api.typeform.com/responses/files/e78b8933ebd1b7ae7c3abbf23313050a3a4a764969e0129157870a2d3aab9eff/IMG_4123.jpg</v>
      </c>
      <c r="J408" t="s">
        <v>8687</v>
      </c>
      <c r="K408" t="b">
        <v>1</v>
      </c>
      <c r="L408" s="4" t="s">
        <v>8688</v>
      </c>
      <c r="M408" t="s">
        <v>8689</v>
      </c>
      <c r="N408" t="s">
        <v>149</v>
      </c>
      <c r="O408" t="s">
        <v>8690</v>
      </c>
      <c r="P408" t="s">
        <v>8691</v>
      </c>
      <c r="Q408" t="s">
        <v>152</v>
      </c>
      <c r="R408" t="s">
        <v>8692</v>
      </c>
      <c r="S408" t="s">
        <v>8689</v>
      </c>
      <c r="T408" s="4" t="s">
        <v>8693</v>
      </c>
      <c r="U408" t="s">
        <v>7424</v>
      </c>
      <c r="V408" t="s">
        <v>8694</v>
      </c>
      <c r="W408" t="s">
        <v>2290</v>
      </c>
      <c r="Y408" t="s">
        <v>158</v>
      </c>
      <c r="Z408" t="s">
        <v>262</v>
      </c>
      <c r="AC408" s="3" t="str">
        <f>HYPERLINK("https://api.typeform.com/responses/files/4890f4de177f5019807558854af5a38b1e2b2758b31a7427d818ece942e484ce/Screenshot_2021_12_20_2.07.55_PM.png")</f>
        <v>https://api.typeform.com/responses/files/4890f4de177f5019807558854af5a38b1e2b2758b31a7427d818ece942e484ce/Screenshot_2021_12_20_2.07.55_PM.png</v>
      </c>
      <c r="AD408" t="s">
        <v>118</v>
      </c>
      <c r="AE408" t="s">
        <v>4219</v>
      </c>
      <c r="AF408" t="s">
        <v>1019</v>
      </c>
      <c r="AG408">
        <v>15.0</v>
      </c>
      <c r="AH408" t="s">
        <v>139</v>
      </c>
      <c r="AI408" t="s">
        <v>205</v>
      </c>
      <c r="AK408" t="s">
        <v>179</v>
      </c>
      <c r="AL408" t="s">
        <v>199</v>
      </c>
      <c r="AO408" t="s">
        <v>335</v>
      </c>
      <c r="AP408">
        <v>4.0</v>
      </c>
      <c r="AQ408" t="s">
        <v>4222</v>
      </c>
      <c r="AR408" t="s">
        <v>8695</v>
      </c>
      <c r="AS408" t="b">
        <v>1</v>
      </c>
      <c r="AT408" t="b">
        <v>1</v>
      </c>
      <c r="AV408">
        <v>6.0</v>
      </c>
      <c r="AW408" t="b">
        <v>0</v>
      </c>
      <c r="AZ408" t="b">
        <v>0</v>
      </c>
      <c r="BA408" t="b">
        <v>0</v>
      </c>
      <c r="BD408" t="s">
        <v>8696</v>
      </c>
      <c r="BH408" t="s">
        <v>132</v>
      </c>
      <c r="BI408">
        <v>3.0</v>
      </c>
      <c r="BJ408" t="s">
        <v>6515</v>
      </c>
      <c r="BK408">
        <v>3.0</v>
      </c>
      <c r="BL408">
        <v>4.0</v>
      </c>
      <c r="BM408" t="s">
        <v>8697</v>
      </c>
      <c r="BN408">
        <v>4.0</v>
      </c>
      <c r="BO408">
        <v>5.0</v>
      </c>
      <c r="BP408" t="s">
        <v>8698</v>
      </c>
      <c r="BQ408" t="s">
        <v>3464</v>
      </c>
      <c r="BR408" t="s">
        <v>8699</v>
      </c>
      <c r="BS408" t="s">
        <v>8700</v>
      </c>
      <c r="BU408" t="s">
        <v>8701</v>
      </c>
      <c r="BV408" s="3" t="str">
        <f>HYPERLINK("https://api.typeform.com/responses/files/362f4757d4edd746dc950756c87b408bea2d6e64a0728191deab0ebe5edad064/YANQUEL_HERNANDEZ___SPEAKHIRE_2021___Parent_Consent_Form.pdf")</f>
        <v>https://api.typeform.com/responses/files/362f4757d4edd746dc950756c87b408bea2d6e64a0728191deab0ebe5edad064/YANQUEL_HERNANDEZ___SPEAKHIRE_2021___Parent_Consent_Form.pdf</v>
      </c>
      <c r="BW408" t="b">
        <v>1</v>
      </c>
      <c r="BX408" t="s">
        <v>1394</v>
      </c>
      <c r="BY408" t="s">
        <v>140</v>
      </c>
      <c r="CA408" t="s">
        <v>1395</v>
      </c>
      <c r="CD408">
        <v>0.0</v>
      </c>
      <c r="CF408" t="b">
        <v>0</v>
      </c>
      <c r="CG408" t="b">
        <v>1</v>
      </c>
      <c r="CH408" t="s">
        <v>1557</v>
      </c>
      <c r="CJ408" t="b">
        <v>1</v>
      </c>
      <c r="CK408" t="b">
        <v>1</v>
      </c>
      <c r="CL408" t="s">
        <v>387</v>
      </c>
      <c r="CM408" t="s">
        <v>387</v>
      </c>
      <c r="CO408" t="s">
        <v>200</v>
      </c>
      <c r="CQ408" t="s">
        <v>387</v>
      </c>
      <c r="CR408" t="b">
        <v>1</v>
      </c>
      <c r="CT408">
        <v>1.0</v>
      </c>
      <c r="CU408">
        <v>0.0</v>
      </c>
      <c r="CX408" s="4" t="s">
        <v>2914</v>
      </c>
      <c r="CZ408" s="5">
        <v>44550.84197916667</v>
      </c>
      <c r="DA408" t="s">
        <v>8702</v>
      </c>
    </row>
    <row r="409">
      <c r="A409" t="s">
        <v>98</v>
      </c>
      <c r="D409" t="s">
        <v>8703</v>
      </c>
      <c r="E409" t="s">
        <v>8704</v>
      </c>
      <c r="F409" s="2">
        <v>38524.0</v>
      </c>
      <c r="G409" t="s">
        <v>1360</v>
      </c>
      <c r="I409" s="3" t="str">
        <f>HYPERLINK("https://api.typeform.com/responses/files/1346c3f365b235652694b7f8c69b9cc48853103890c10511309ee34e79bb4ba7/063F050F_31B2_4512_951B_ED2AB01D04D5.jpeg")</f>
        <v>https://api.typeform.com/responses/files/1346c3f365b235652694b7f8c69b9cc48853103890c10511309ee34e79bb4ba7/063F050F_31B2_4512_951B_ED2AB01D04D5.jpeg</v>
      </c>
      <c r="J409" t="s">
        <v>8705</v>
      </c>
      <c r="K409" t="b">
        <v>1</v>
      </c>
      <c r="L409" s="4" t="s">
        <v>8706</v>
      </c>
      <c r="M409" t="s">
        <v>8707</v>
      </c>
      <c r="N409" t="s">
        <v>255</v>
      </c>
      <c r="O409" t="s">
        <v>8708</v>
      </c>
      <c r="P409" t="s">
        <v>8709</v>
      </c>
      <c r="Q409" t="s">
        <v>189</v>
      </c>
      <c r="R409" t="s">
        <v>8710</v>
      </c>
      <c r="S409" t="s">
        <v>8707</v>
      </c>
      <c r="T409" s="4" t="s">
        <v>8711</v>
      </c>
      <c r="U409" t="s">
        <v>7687</v>
      </c>
      <c r="V409" t="s">
        <v>8712</v>
      </c>
      <c r="W409" t="s">
        <v>2290</v>
      </c>
      <c r="Y409" t="s">
        <v>158</v>
      </c>
      <c r="Z409" t="s">
        <v>262</v>
      </c>
      <c r="AC409" s="3" t="str">
        <f>HYPERLINK("https://api.typeform.com/responses/files/ff2377488e42e5bfecf8bdabe859d9f45dc499c782b0ffb908090a38cce7e37e/6DCAEB30_86DD_4DCC_B20C_9419BD11169C.jpeg")</f>
        <v>https://api.typeform.com/responses/files/ff2377488e42e5bfecf8bdabe859d9f45dc499c782b0ffb908090a38cce7e37e/6DCAEB30_86DD_4DCC_B20C_9419BD11169C.jpeg</v>
      </c>
      <c r="AD409" t="s">
        <v>118</v>
      </c>
      <c r="AE409" t="s">
        <v>729</v>
      </c>
      <c r="AF409" t="s">
        <v>8713</v>
      </c>
      <c r="AG409">
        <v>13.0</v>
      </c>
      <c r="AH409" s="4" t="s">
        <v>4356</v>
      </c>
      <c r="AI409" t="s">
        <v>543</v>
      </c>
      <c r="AK409" t="s">
        <v>179</v>
      </c>
      <c r="AL409" t="s">
        <v>334</v>
      </c>
      <c r="AO409" t="s">
        <v>125</v>
      </c>
      <c r="AP409">
        <v>5.0</v>
      </c>
      <c r="AQ409" t="s">
        <v>126</v>
      </c>
      <c r="AR409" t="s">
        <v>8714</v>
      </c>
      <c r="AS409" t="b">
        <v>1</v>
      </c>
      <c r="AT409" t="b">
        <v>0</v>
      </c>
      <c r="AV409">
        <v>5.0</v>
      </c>
      <c r="AW409" t="b">
        <v>1</v>
      </c>
      <c r="AX409" t="s">
        <v>1902</v>
      </c>
      <c r="AY409" s="4" t="s">
        <v>518</v>
      </c>
      <c r="AZ409" t="b">
        <v>0</v>
      </c>
      <c r="BA409" t="b">
        <v>1</v>
      </c>
      <c r="BB409" t="b">
        <v>1</v>
      </c>
      <c r="BC409" t="s">
        <v>8715</v>
      </c>
      <c r="BH409" t="s">
        <v>132</v>
      </c>
      <c r="BI409">
        <v>3.0</v>
      </c>
      <c r="BJ409" t="s">
        <v>8716</v>
      </c>
      <c r="BK409">
        <v>4.0</v>
      </c>
      <c r="BL409">
        <v>5.0</v>
      </c>
      <c r="BM409" t="s">
        <v>164</v>
      </c>
      <c r="BN409">
        <v>4.0</v>
      </c>
      <c r="BO409">
        <v>5.0</v>
      </c>
      <c r="BP409" t="s">
        <v>8717</v>
      </c>
      <c r="BQ409" t="s">
        <v>945</v>
      </c>
      <c r="BR409" t="s">
        <v>8718</v>
      </c>
      <c r="BS409" t="s">
        <v>8719</v>
      </c>
      <c r="BU409" t="s">
        <v>8720</v>
      </c>
      <c r="BV409" s="3" t="str">
        <f>HYPERLINK("https://api.typeform.com/responses/files/ea8911e9bc8974686108f30d9f3143fa5ace2753d571e416b3ba4b9cdae8031a/YANNELLE_KUNAKEY___SPEAKHIRE_2021___Parent_Consent_Form.pdf")</f>
        <v>https://api.typeform.com/responses/files/ea8911e9bc8974686108f30d9f3143fa5ace2753d571e416b3ba4b9cdae8031a/YANNELLE_KUNAKEY___SPEAKHIRE_2021___Parent_Consent_Form.pdf</v>
      </c>
      <c r="BW409" t="b">
        <v>1</v>
      </c>
      <c r="BX409" t="s">
        <v>1394</v>
      </c>
      <c r="BY409" t="s">
        <v>822</v>
      </c>
      <c r="BZ409" t="s">
        <v>1419</v>
      </c>
      <c r="CD409">
        <v>0.0</v>
      </c>
      <c r="CF409" t="b">
        <v>1</v>
      </c>
      <c r="CG409" t="b">
        <v>1</v>
      </c>
      <c r="CH409" t="s">
        <v>168</v>
      </c>
      <c r="CJ409" t="b">
        <v>1</v>
      </c>
      <c r="CK409" t="b">
        <v>1</v>
      </c>
      <c r="CL409" t="s">
        <v>300</v>
      </c>
      <c r="CN409" t="s">
        <v>8721</v>
      </c>
      <c r="CO409" t="s">
        <v>200</v>
      </c>
      <c r="CR409" t="b">
        <v>1</v>
      </c>
      <c r="CT409">
        <v>0.0</v>
      </c>
      <c r="CU409">
        <v>0.0</v>
      </c>
      <c r="CX409" t="s">
        <v>8722</v>
      </c>
      <c r="CZ409" s="5">
        <v>44550.94155092593</v>
      </c>
      <c r="DA409" t="s">
        <v>8723</v>
      </c>
    </row>
    <row r="410">
      <c r="A410" t="s">
        <v>98</v>
      </c>
      <c r="D410" t="s">
        <v>8724</v>
      </c>
      <c r="E410" t="s">
        <v>8725</v>
      </c>
      <c r="F410" s="2">
        <v>38890.0</v>
      </c>
      <c r="G410" t="s">
        <v>1466</v>
      </c>
      <c r="I410" s="3" t="str">
        <f>HYPERLINK("https://api.typeform.com/responses/files/c87fa1c3e8a14697756b042871e8f4a09c4306a96d3adf923f51c6cb74703aeb/17F3175D_024C_404D_9C90_225963E7DA2A.jpeg")</f>
        <v>https://api.typeform.com/responses/files/c87fa1c3e8a14697756b042871e8f4a09c4306a96d3adf923f51c6cb74703aeb/17F3175D_024C_404D_9C90_225963E7DA2A.jpeg</v>
      </c>
      <c r="J410" t="s">
        <v>8726</v>
      </c>
      <c r="K410" t="b">
        <v>1</v>
      </c>
      <c r="L410" s="4" t="s">
        <v>8727</v>
      </c>
      <c r="M410" t="s">
        <v>8728</v>
      </c>
      <c r="N410" t="s">
        <v>255</v>
      </c>
      <c r="P410" t="s">
        <v>8729</v>
      </c>
      <c r="Q410" t="s">
        <v>189</v>
      </c>
      <c r="R410" t="s">
        <v>8730</v>
      </c>
      <c r="S410" t="s">
        <v>8728</v>
      </c>
      <c r="T410" s="4" t="s">
        <v>8731</v>
      </c>
      <c r="U410" t="s">
        <v>8154</v>
      </c>
      <c r="V410" t="s">
        <v>8732</v>
      </c>
      <c r="W410" t="s">
        <v>261</v>
      </c>
      <c r="Y410" t="s">
        <v>158</v>
      </c>
      <c r="Z410" t="s">
        <v>195</v>
      </c>
      <c r="AC410" s="3" t="str">
        <f>HYPERLINK("https://api.typeform.com/responses/files/a4940c86c1dcd84b1a57df835c55656348c51176f1ba3311f5384d0772d4aa77/8D3EA1CF_0992_4AAD_A9CC_3162D3EA34BF.jpeg")</f>
        <v>https://api.typeform.com/responses/files/a4940c86c1dcd84b1a57df835c55656348c51176f1ba3311f5384d0772d4aa77/8D3EA1CF_0992_4AAD_A9CC_3162D3EA34BF.jpeg</v>
      </c>
      <c r="AD410" t="s">
        <v>118</v>
      </c>
      <c r="AE410" t="s">
        <v>781</v>
      </c>
      <c r="AF410" t="s">
        <v>161</v>
      </c>
      <c r="AG410">
        <v>0.0</v>
      </c>
      <c r="AH410" t="s">
        <v>1600</v>
      </c>
      <c r="AI410" t="s">
        <v>121</v>
      </c>
      <c r="AK410" t="s">
        <v>179</v>
      </c>
      <c r="AL410" t="s">
        <v>8733</v>
      </c>
      <c r="AO410" t="s">
        <v>335</v>
      </c>
      <c r="AP410">
        <v>6.0</v>
      </c>
      <c r="AQ410" t="s">
        <v>126</v>
      </c>
      <c r="AR410" t="s">
        <v>8734</v>
      </c>
      <c r="AS410" t="b">
        <v>1</v>
      </c>
      <c r="AT410" t="b">
        <v>0</v>
      </c>
      <c r="AV410">
        <v>5.0</v>
      </c>
      <c r="AW410" t="b">
        <v>1</v>
      </c>
      <c r="AX410" t="s">
        <v>1902</v>
      </c>
      <c r="AY410" t="s">
        <v>307</v>
      </c>
      <c r="AZ410" t="b">
        <v>0</v>
      </c>
      <c r="BA410" t="b">
        <v>0</v>
      </c>
      <c r="BD410" t="s">
        <v>8735</v>
      </c>
      <c r="BH410" t="s">
        <v>132</v>
      </c>
      <c r="BI410">
        <v>4.0</v>
      </c>
      <c r="BJ410" t="s">
        <v>8736</v>
      </c>
      <c r="BK410">
        <v>3.0</v>
      </c>
      <c r="BL410">
        <v>6.0</v>
      </c>
      <c r="BM410" t="s">
        <v>8737</v>
      </c>
      <c r="BN410">
        <v>5.0</v>
      </c>
      <c r="BO410">
        <v>3.0</v>
      </c>
      <c r="BP410" t="s">
        <v>8738</v>
      </c>
      <c r="BQ410" t="s">
        <v>7087</v>
      </c>
      <c r="BR410" t="s">
        <v>8739</v>
      </c>
      <c r="BS410" t="s">
        <v>8740</v>
      </c>
      <c r="BU410" t="s">
        <v>179</v>
      </c>
      <c r="BV410" s="3" t="str">
        <f>HYPERLINK("https://api.typeform.com/responses/files/864a01e084d149068a121756826243a7ee24c60616a1bf0b11b061bc8951a034/D8389CCF_FF63_438D_8685_3A63B5FF7FDF.jpeg")</f>
        <v>https://api.typeform.com/responses/files/864a01e084d149068a121756826243a7ee24c60616a1bf0b11b061bc8951a034/D8389CCF_FF63_438D_8685_3A63B5FF7FDF.jpeg</v>
      </c>
      <c r="BW410" t="b">
        <v>1</v>
      </c>
      <c r="BX410" t="s">
        <v>1394</v>
      </c>
      <c r="BY410" t="s">
        <v>140</v>
      </c>
      <c r="CA410" t="s">
        <v>1395</v>
      </c>
      <c r="CD410">
        <v>0.0</v>
      </c>
      <c r="CF410" t="b">
        <v>0</v>
      </c>
      <c r="CG410" t="b">
        <v>0</v>
      </c>
      <c r="CH410" t="s">
        <v>4563</v>
      </c>
      <c r="CJ410" t="b">
        <v>0</v>
      </c>
      <c r="CK410" t="b">
        <v>0</v>
      </c>
      <c r="CL410" t="s">
        <v>163</v>
      </c>
      <c r="CM410" t="s">
        <v>163</v>
      </c>
      <c r="CO410" t="s">
        <v>124</v>
      </c>
      <c r="CQ410" t="s">
        <v>163</v>
      </c>
      <c r="CR410" t="b">
        <v>1</v>
      </c>
      <c r="CT410">
        <v>0.0</v>
      </c>
      <c r="CU410">
        <v>3.0</v>
      </c>
      <c r="CX410" s="4" t="s">
        <v>8741</v>
      </c>
      <c r="CZ410" s="5">
        <v>44551.045266203706</v>
      </c>
      <c r="DA410" t="s">
        <v>8742</v>
      </c>
    </row>
    <row r="411">
      <c r="A411" t="s">
        <v>98</v>
      </c>
      <c r="D411" t="s">
        <v>8743</v>
      </c>
      <c r="E411" t="s">
        <v>8744</v>
      </c>
      <c r="F411" s="2">
        <v>38084.0</v>
      </c>
      <c r="G411" t="s">
        <v>1360</v>
      </c>
      <c r="I411" s="3" t="str">
        <f>HYPERLINK("https://api.typeform.com/responses/files/b1d67deda00f1f6b28905a831daeaf14e53dddade64b959a73405877c5ef3084/B967FDA6_00DC_4B95_AAAB_572236EFA89B.jpeg")</f>
        <v>https://api.typeform.com/responses/files/b1d67deda00f1f6b28905a831daeaf14e53dddade64b959a73405877c5ef3084/B967FDA6_00DC_4B95_AAAB_572236EFA89B.jpeg</v>
      </c>
      <c r="J411" t="s">
        <v>8745</v>
      </c>
      <c r="K411" t="b">
        <v>1</v>
      </c>
      <c r="L411" s="4" t="s">
        <v>8746</v>
      </c>
      <c r="M411" t="s">
        <v>8747</v>
      </c>
      <c r="N411" t="s">
        <v>255</v>
      </c>
      <c r="P411" t="s">
        <v>8748</v>
      </c>
      <c r="Q411" t="s">
        <v>189</v>
      </c>
      <c r="R411" t="s">
        <v>8749</v>
      </c>
      <c r="S411" t="s">
        <v>8747</v>
      </c>
      <c r="T411" s="4" t="s">
        <v>8750</v>
      </c>
      <c r="U411" t="s">
        <v>566</v>
      </c>
      <c r="V411" t="s">
        <v>8751</v>
      </c>
      <c r="W411" t="s">
        <v>194</v>
      </c>
      <c r="Y411" t="s">
        <v>158</v>
      </c>
      <c r="Z411" t="s">
        <v>159</v>
      </c>
      <c r="AC411" s="3" t="str">
        <f>HYPERLINK("https://api.typeform.com/responses/files/6f47930c1c7fae25d3decf0f448aaf11acccc1355dad6ad30f04222f9656a250/8EAB326C_C2B7_437F_BFF9_DFF83D356D48.jpeg")</f>
        <v>https://api.typeform.com/responses/files/6f47930c1c7fae25d3decf0f448aaf11acccc1355dad6ad30f04222f9656a250/8EAB326C_C2B7_437F_BFF9_DFF83D356D48.jpeg</v>
      </c>
      <c r="AD411" t="s">
        <v>118</v>
      </c>
      <c r="AE411" t="s">
        <v>1220</v>
      </c>
      <c r="AF411" t="s">
        <v>8752</v>
      </c>
      <c r="AG411">
        <v>13.0</v>
      </c>
      <c r="AH411" s="4" t="s">
        <v>520</v>
      </c>
      <c r="AI411" t="s">
        <v>121</v>
      </c>
      <c r="AK411" t="s">
        <v>179</v>
      </c>
      <c r="AL411" t="s">
        <v>165</v>
      </c>
      <c r="AO411" t="s">
        <v>335</v>
      </c>
      <c r="AP411">
        <v>6.0</v>
      </c>
      <c r="AQ411" t="s">
        <v>4222</v>
      </c>
      <c r="AR411" t="s">
        <v>8753</v>
      </c>
      <c r="AS411" t="b">
        <v>1</v>
      </c>
      <c r="AT411" t="b">
        <v>0</v>
      </c>
      <c r="AV411">
        <v>5.0</v>
      </c>
      <c r="AW411" t="b">
        <v>1</v>
      </c>
      <c r="AX411" t="s">
        <v>1902</v>
      </c>
      <c r="AY411" t="s">
        <v>2464</v>
      </c>
      <c r="AZ411" t="b">
        <v>0</v>
      </c>
      <c r="BA411" t="b">
        <v>1</v>
      </c>
      <c r="BB411" t="b">
        <v>0</v>
      </c>
      <c r="BC411" t="s">
        <v>8754</v>
      </c>
      <c r="BH411" t="s">
        <v>132</v>
      </c>
      <c r="BI411">
        <v>5.0</v>
      </c>
      <c r="BJ411" t="s">
        <v>8755</v>
      </c>
      <c r="BK411">
        <v>6.0</v>
      </c>
      <c r="BL411">
        <v>6.0</v>
      </c>
      <c r="BM411" t="s">
        <v>8756</v>
      </c>
      <c r="BN411">
        <v>5.0</v>
      </c>
      <c r="BO411">
        <v>6.0</v>
      </c>
      <c r="BP411" t="s">
        <v>8757</v>
      </c>
      <c r="BQ411" t="s">
        <v>1353</v>
      </c>
      <c r="BR411" t="s">
        <v>8758</v>
      </c>
      <c r="BS411" t="s">
        <v>8759</v>
      </c>
      <c r="BU411" t="s">
        <v>179</v>
      </c>
      <c r="BV411" s="3" t="str">
        <f>HYPERLINK("https://api.typeform.com/responses/files/ffe784a1cc203017eb14808f816ed1618c70cc2ad4367aebea2a269d341553b8/E4ABD16B_A332_488C_87B5_9DE34FDB8D35.jpeg")</f>
        <v>https://api.typeform.com/responses/files/ffe784a1cc203017eb14808f816ed1618c70cc2ad4367aebea2a269d341553b8/E4ABD16B_A332_488C_87B5_9DE34FDB8D35.jpeg</v>
      </c>
      <c r="BW411" t="b">
        <v>1</v>
      </c>
      <c r="BX411" t="s">
        <v>1394</v>
      </c>
      <c r="BY411" t="s">
        <v>140</v>
      </c>
      <c r="CA411" t="s">
        <v>1395</v>
      </c>
      <c r="CD411">
        <v>0.0</v>
      </c>
      <c r="CF411" t="b">
        <v>0</v>
      </c>
      <c r="CG411" t="b">
        <v>1</v>
      </c>
      <c r="CH411" t="s">
        <v>8760</v>
      </c>
      <c r="CJ411" t="b">
        <v>1</v>
      </c>
      <c r="CK411" t="b">
        <v>0</v>
      </c>
      <c r="CL411" t="s">
        <v>163</v>
      </c>
      <c r="CO411" t="s">
        <v>124</v>
      </c>
      <c r="CR411" t="b">
        <v>1</v>
      </c>
      <c r="CT411">
        <v>0.0</v>
      </c>
      <c r="CU411">
        <v>0.0</v>
      </c>
      <c r="CX411" s="4" t="s">
        <v>8761</v>
      </c>
      <c r="CZ411" s="5">
        <v>44551.171215277776</v>
      </c>
      <c r="DA411" t="s">
        <v>8762</v>
      </c>
    </row>
    <row r="412">
      <c r="A412" t="s">
        <v>98</v>
      </c>
      <c r="D412" t="s">
        <v>8763</v>
      </c>
      <c r="E412" t="s">
        <v>8764</v>
      </c>
      <c r="F412" s="2">
        <v>38601.0</v>
      </c>
      <c r="G412" t="s">
        <v>1360</v>
      </c>
      <c r="I412" s="3" t="str">
        <f>HYPERLINK("https://api.typeform.com/responses/files/de618a4af08364cc8b3ac69e2391b2d9449b4790a3a5272752f098e94ef18fdd/IMG_5186.heic")</f>
        <v>https://api.typeform.com/responses/files/de618a4af08364cc8b3ac69e2391b2d9449b4790a3a5272752f098e94ef18fdd/IMG_5186.heic</v>
      </c>
      <c r="J412" t="s">
        <v>8765</v>
      </c>
      <c r="K412" t="b">
        <v>1</v>
      </c>
      <c r="L412" s="4" t="s">
        <v>8766</v>
      </c>
      <c r="M412" t="s">
        <v>8767</v>
      </c>
      <c r="N412" t="s">
        <v>255</v>
      </c>
      <c r="O412" t="s">
        <v>8768</v>
      </c>
      <c r="P412" t="s">
        <v>8769</v>
      </c>
      <c r="Q412" t="s">
        <v>152</v>
      </c>
      <c r="R412" t="s">
        <v>8770</v>
      </c>
      <c r="S412" t="s">
        <v>8771</v>
      </c>
      <c r="T412" s="4" t="s">
        <v>8772</v>
      </c>
      <c r="U412" t="s">
        <v>8773</v>
      </c>
      <c r="V412" t="s">
        <v>8214</v>
      </c>
      <c r="W412" t="s">
        <v>2290</v>
      </c>
      <c r="Y412" t="s">
        <v>158</v>
      </c>
      <c r="Z412" t="s">
        <v>262</v>
      </c>
      <c r="AC412" s="3" t="str">
        <f>HYPERLINK("https://api.typeform.com/responses/files/86646661b6c76f8c7e118ec534697c79c200403e0b18b3253dba68737771fb46/Screen_Shot_2021_12_21_at_9.00.38_AM.png")</f>
        <v>https://api.typeform.com/responses/files/86646661b6c76f8c7e118ec534697c79c200403e0b18b3253dba68737771fb46/Screen_Shot_2021_12_21_at_9.00.38_AM.png</v>
      </c>
      <c r="AD412" t="s">
        <v>118</v>
      </c>
      <c r="AE412" t="s">
        <v>729</v>
      </c>
      <c r="AF412" t="s">
        <v>8774</v>
      </c>
      <c r="AG412">
        <v>12.0</v>
      </c>
      <c r="AH412" t="s">
        <v>8775</v>
      </c>
      <c r="AI412" t="s">
        <v>205</v>
      </c>
      <c r="AK412" t="s">
        <v>8776</v>
      </c>
      <c r="AL412" t="s">
        <v>8777</v>
      </c>
      <c r="AO412" t="s">
        <v>125</v>
      </c>
      <c r="AP412">
        <v>5.0</v>
      </c>
      <c r="AQ412" t="s">
        <v>201</v>
      </c>
      <c r="AR412" t="s">
        <v>8778</v>
      </c>
      <c r="AS412" t="b">
        <v>1</v>
      </c>
      <c r="AT412" t="b">
        <v>1</v>
      </c>
      <c r="AV412">
        <v>4.0</v>
      </c>
      <c r="AW412" t="b">
        <v>1</v>
      </c>
      <c r="AX412" s="4" t="s">
        <v>130</v>
      </c>
      <c r="AY412" s="4" t="s">
        <v>518</v>
      </c>
      <c r="AZ412" t="b">
        <v>0</v>
      </c>
      <c r="BA412" t="b">
        <v>0</v>
      </c>
      <c r="BD412" t="s">
        <v>8779</v>
      </c>
      <c r="BH412" t="s">
        <v>132</v>
      </c>
      <c r="BI412">
        <v>5.0</v>
      </c>
      <c r="BJ412" t="s">
        <v>8780</v>
      </c>
      <c r="BK412">
        <v>6.0</v>
      </c>
      <c r="BL412">
        <v>6.0</v>
      </c>
      <c r="BM412" t="s">
        <v>8781</v>
      </c>
      <c r="BN412">
        <v>5.0</v>
      </c>
      <c r="BO412">
        <v>4.0</v>
      </c>
      <c r="BP412" t="s">
        <v>8782</v>
      </c>
      <c r="BQ412" t="s">
        <v>8783</v>
      </c>
      <c r="BR412" t="s">
        <v>8784</v>
      </c>
      <c r="BS412" t="s">
        <v>8785</v>
      </c>
      <c r="BU412" t="s">
        <v>8786</v>
      </c>
      <c r="BV412" s="3" t="str">
        <f>HYPERLINK("https://api.typeform.com/responses/files/64f1a34a5468c9e1f02fb0ff4402b134dc9cf18f646db58e8de61a52d2087c2a/YIENGCHUK_DORJI___SPEAKHIRE_2021___Parent_Consent_Form.pdf")</f>
        <v>https://api.typeform.com/responses/files/64f1a34a5468c9e1f02fb0ff4402b134dc9cf18f646db58e8de61a52d2087c2a/YIENGCHUK_DORJI___SPEAKHIRE_2021___Parent_Consent_Form.pdf</v>
      </c>
      <c r="BW412" t="b">
        <v>1</v>
      </c>
      <c r="BX412" t="s">
        <v>1394</v>
      </c>
      <c r="BY412" t="s">
        <v>140</v>
      </c>
      <c r="CA412" t="s">
        <v>1395</v>
      </c>
      <c r="CD412">
        <v>0.0</v>
      </c>
      <c r="CF412" t="b">
        <v>1</v>
      </c>
      <c r="CG412" t="b">
        <v>1</v>
      </c>
      <c r="CH412" t="s">
        <v>705</v>
      </c>
      <c r="CJ412" t="b">
        <v>1</v>
      </c>
      <c r="CK412" t="b">
        <v>1</v>
      </c>
      <c r="CL412" t="s">
        <v>636</v>
      </c>
      <c r="CM412" t="s">
        <v>636</v>
      </c>
      <c r="CO412" t="s">
        <v>2325</v>
      </c>
      <c r="CQ412" t="s">
        <v>636</v>
      </c>
      <c r="CR412" t="b">
        <v>1</v>
      </c>
      <c r="CT412">
        <v>2.0</v>
      </c>
      <c r="CU412">
        <v>3.0</v>
      </c>
      <c r="CX412" s="4" t="s">
        <v>2914</v>
      </c>
      <c r="CZ412" s="5">
        <v>44551.59509259259</v>
      </c>
      <c r="DA412" t="s">
        <v>8787</v>
      </c>
    </row>
    <row r="413">
      <c r="A413" t="s">
        <v>98</v>
      </c>
      <c r="D413" t="s">
        <v>8788</v>
      </c>
      <c r="E413" t="s">
        <v>8789</v>
      </c>
      <c r="F413" s="2">
        <v>38689.0</v>
      </c>
      <c r="G413" t="s">
        <v>1466</v>
      </c>
      <c r="I413" s="3" t="str">
        <f>HYPERLINK("https://api.typeform.com/responses/files/1f9f4592b42d5960ef48e334512c3b536c1c212556f96c4aa04db0b865d956f0/20211221_090653.jpg")</f>
        <v>https://api.typeform.com/responses/files/1f9f4592b42d5960ef48e334512c3b536c1c212556f96c4aa04db0b865d956f0/20211221_090653.jpg</v>
      </c>
      <c r="J413" t="s">
        <v>8790</v>
      </c>
      <c r="K413" t="b">
        <v>0</v>
      </c>
      <c r="M413" t="s">
        <v>8791</v>
      </c>
      <c r="N413" t="s">
        <v>255</v>
      </c>
      <c r="P413" t="s">
        <v>8792</v>
      </c>
      <c r="Q413" t="s">
        <v>152</v>
      </c>
      <c r="R413" t="s">
        <v>8793</v>
      </c>
      <c r="S413" t="s">
        <v>8794</v>
      </c>
      <c r="T413" s="4" t="s">
        <v>8795</v>
      </c>
      <c r="U413" t="s">
        <v>8796</v>
      </c>
      <c r="V413" t="s">
        <v>8797</v>
      </c>
      <c r="W413" t="s">
        <v>2290</v>
      </c>
      <c r="Y413" t="s">
        <v>158</v>
      </c>
      <c r="Z413" t="s">
        <v>262</v>
      </c>
      <c r="AC413" s="3" t="str">
        <f>HYPERLINK("https://api.typeform.com/responses/files/feb5a88ce20dce882aef2feb7090e791093f34571ce0a1005ba03eef1d377438/Screen_Shot_2021_12_21_at_9.13.33_AM.png")</f>
        <v>https://api.typeform.com/responses/files/feb5a88ce20dce882aef2feb7090e791093f34571ce0a1005ba03eef1d377438/Screen_Shot_2021_12_21_at_9.13.33_AM.png</v>
      </c>
      <c r="AD413" t="s">
        <v>118</v>
      </c>
      <c r="AE413" t="s">
        <v>729</v>
      </c>
      <c r="AF413" t="s">
        <v>8798</v>
      </c>
      <c r="AG413">
        <v>11.0</v>
      </c>
      <c r="AH413" t="s">
        <v>7593</v>
      </c>
      <c r="AI413" t="s">
        <v>205</v>
      </c>
      <c r="AL413" t="s">
        <v>8799</v>
      </c>
      <c r="AO413" t="s">
        <v>335</v>
      </c>
      <c r="AP413">
        <v>5.0</v>
      </c>
      <c r="AQ413" t="s">
        <v>303</v>
      </c>
      <c r="AR413" t="s">
        <v>7201</v>
      </c>
      <c r="AS413" t="b">
        <v>1</v>
      </c>
      <c r="AT413" t="b">
        <v>0</v>
      </c>
      <c r="AV413">
        <v>7.0</v>
      </c>
      <c r="AW413" t="b">
        <v>0</v>
      </c>
      <c r="AZ413" t="b">
        <v>0</v>
      </c>
      <c r="BA413" t="b">
        <v>0</v>
      </c>
      <c r="BD413" t="s">
        <v>8800</v>
      </c>
      <c r="BH413" t="s">
        <v>132</v>
      </c>
      <c r="BI413">
        <v>2.0</v>
      </c>
      <c r="BJ413" t="s">
        <v>4667</v>
      </c>
      <c r="BK413">
        <v>2.0</v>
      </c>
      <c r="BL413">
        <v>2.0</v>
      </c>
      <c r="BM413" t="s">
        <v>8801</v>
      </c>
      <c r="BN413">
        <v>2.0</v>
      </c>
      <c r="BO413">
        <v>2.0</v>
      </c>
      <c r="BP413" t="s">
        <v>8802</v>
      </c>
      <c r="BQ413" t="s">
        <v>1606</v>
      </c>
      <c r="BR413" t="s">
        <v>8803</v>
      </c>
      <c r="BS413" t="s">
        <v>8804</v>
      </c>
      <c r="BU413" t="s">
        <v>8805</v>
      </c>
      <c r="BV413" s="3" t="str">
        <f>HYPERLINK("https://api.typeform.com/responses/files/b9cee68708d31fe49a0b652e59a72391d7a87fe5dbff61469bc27074d9e65386/SUBHAM_SAUD___SPEAKHIRE_2021___Parent_Consent_Form.pdf")</f>
        <v>https://api.typeform.com/responses/files/b9cee68708d31fe49a0b652e59a72391d7a87fe5dbff61469bc27074d9e65386/SUBHAM_SAUD___SPEAKHIRE_2021___Parent_Consent_Form.pdf</v>
      </c>
      <c r="BW413" t="b">
        <v>1</v>
      </c>
      <c r="BX413" t="s">
        <v>1394</v>
      </c>
      <c r="BY413" t="s">
        <v>140</v>
      </c>
      <c r="CA413" t="s">
        <v>1395</v>
      </c>
      <c r="CD413">
        <v>0.0</v>
      </c>
      <c r="CF413" t="b">
        <v>1</v>
      </c>
      <c r="CG413" t="b">
        <v>1</v>
      </c>
      <c r="CH413" t="s">
        <v>1557</v>
      </c>
      <c r="CJ413" t="b">
        <v>1</v>
      </c>
      <c r="CK413" t="b">
        <v>1</v>
      </c>
      <c r="CL413" t="s">
        <v>636</v>
      </c>
      <c r="CO413" t="s">
        <v>8806</v>
      </c>
      <c r="CR413" t="b">
        <v>1</v>
      </c>
      <c r="CT413">
        <v>3.0</v>
      </c>
      <c r="CU413">
        <v>1.0</v>
      </c>
      <c r="CX413" s="4" t="s">
        <v>3933</v>
      </c>
      <c r="CZ413" s="5">
        <v>44551.60506944444</v>
      </c>
      <c r="DA413" t="s">
        <v>8807</v>
      </c>
    </row>
    <row r="414">
      <c r="A414" t="s">
        <v>98</v>
      </c>
      <c r="D414" t="s">
        <v>8808</v>
      </c>
      <c r="E414" t="s">
        <v>4691</v>
      </c>
      <c r="F414" s="2">
        <v>38696.0</v>
      </c>
      <c r="G414" t="s">
        <v>1466</v>
      </c>
      <c r="I414" s="3" t="str">
        <f>HYPERLINK("https://api.typeform.com/responses/files/6719cc4c70cbe7267cc79d8a4e09134f12cb38b268f696bf63c414ad33cf8dc8/Screen_Shot_2021_12_21_at_9.05.24_AM.png")</f>
        <v>https://api.typeform.com/responses/files/6719cc4c70cbe7267cc79d8a4e09134f12cb38b268f696bf63c414ad33cf8dc8/Screen_Shot_2021_12_21_at_9.05.24_AM.png</v>
      </c>
      <c r="J414" t="s">
        <v>8809</v>
      </c>
      <c r="K414" t="b">
        <v>1</v>
      </c>
      <c r="L414" s="4" t="s">
        <v>8810</v>
      </c>
      <c r="M414" t="s">
        <v>8811</v>
      </c>
      <c r="N414" t="s">
        <v>149</v>
      </c>
      <c r="O414" t="s">
        <v>8812</v>
      </c>
      <c r="P414" t="s">
        <v>4696</v>
      </c>
      <c r="Q414" t="s">
        <v>108</v>
      </c>
      <c r="R414" t="s">
        <v>4697</v>
      </c>
      <c r="S414" t="s">
        <v>8811</v>
      </c>
      <c r="T414" s="4" t="s">
        <v>8813</v>
      </c>
      <c r="U414" t="s">
        <v>7424</v>
      </c>
      <c r="V414" t="s">
        <v>8814</v>
      </c>
      <c r="W414" t="s">
        <v>2290</v>
      </c>
      <c r="Y414" t="s">
        <v>158</v>
      </c>
      <c r="Z414" t="s">
        <v>262</v>
      </c>
      <c r="AC414" s="3" t="str">
        <f>HYPERLINK("https://api.typeform.com/responses/files/1e69b513e163f75a7f39d31ede50c3e5d74e32f3a40added14039ea2ca94dd24/Screen_Shot_2021_12_21_at_9.13.57_AM.png")</f>
        <v>https://api.typeform.com/responses/files/1e69b513e163f75a7f39d31ede50c3e5d74e32f3a40added14039ea2ca94dd24/Screen_Shot_2021_12_21_at_9.13.57_AM.png</v>
      </c>
      <c r="AD414" t="s">
        <v>118</v>
      </c>
      <c r="AE414" t="s">
        <v>729</v>
      </c>
      <c r="AF414" t="s">
        <v>2651</v>
      </c>
      <c r="AG414">
        <v>13.0</v>
      </c>
      <c r="AH414" s="4" t="s">
        <v>3871</v>
      </c>
      <c r="AI414" t="s">
        <v>386</v>
      </c>
      <c r="AK414" t="s">
        <v>139</v>
      </c>
      <c r="AL414" t="s">
        <v>199</v>
      </c>
      <c r="AO414" t="s">
        <v>125</v>
      </c>
      <c r="AP414">
        <v>2.0</v>
      </c>
      <c r="AQ414" t="s">
        <v>1480</v>
      </c>
      <c r="AR414" t="s">
        <v>6257</v>
      </c>
      <c r="AS414" t="b">
        <v>0</v>
      </c>
      <c r="AV414">
        <v>2.0</v>
      </c>
      <c r="AW414" t="b">
        <v>0</v>
      </c>
      <c r="AZ414" t="b">
        <v>0</v>
      </c>
      <c r="BA414" t="b">
        <v>1</v>
      </c>
      <c r="BB414" t="b">
        <v>0</v>
      </c>
      <c r="BC414" t="s">
        <v>8815</v>
      </c>
      <c r="BH414" t="s">
        <v>132</v>
      </c>
      <c r="BI414">
        <v>1.0</v>
      </c>
      <c r="BJ414" t="s">
        <v>3585</v>
      </c>
      <c r="BK414">
        <v>3.0</v>
      </c>
      <c r="BL414">
        <v>1.0</v>
      </c>
      <c r="BM414" t="s">
        <v>3585</v>
      </c>
      <c r="BN414">
        <v>4.0</v>
      </c>
      <c r="BO414">
        <v>4.0</v>
      </c>
      <c r="BP414" t="s">
        <v>8816</v>
      </c>
      <c r="BQ414" t="s">
        <v>3728</v>
      </c>
      <c r="BR414" t="s">
        <v>8817</v>
      </c>
      <c r="BS414" t="s">
        <v>8818</v>
      </c>
      <c r="BU414" t="s">
        <v>139</v>
      </c>
      <c r="BV414" s="3" t="str">
        <f>HYPERLINK("https://api.typeform.com/responses/files/d33df6afef38acd7c7e0f8047fd3e885ebda14fe825e82c4233976eba10b12b2/JHON_FILA_QUISHPE___SPEAKHIRE_2021___Parent_Consent_Form.pdf")</f>
        <v>https://api.typeform.com/responses/files/d33df6afef38acd7c7e0f8047fd3e885ebda14fe825e82c4233976eba10b12b2/JHON_FILA_QUISHPE___SPEAKHIRE_2021___Parent_Consent_Form.pdf</v>
      </c>
      <c r="BW414" t="b">
        <v>1</v>
      </c>
      <c r="BX414" t="s">
        <v>1394</v>
      </c>
      <c r="BY414" t="s">
        <v>140</v>
      </c>
      <c r="CA414" t="s">
        <v>1395</v>
      </c>
      <c r="CD414">
        <v>0.0</v>
      </c>
      <c r="CF414" t="b">
        <v>1</v>
      </c>
      <c r="CG414" t="b">
        <v>1</v>
      </c>
      <c r="CH414" t="s">
        <v>4188</v>
      </c>
      <c r="CJ414" t="b">
        <v>1</v>
      </c>
      <c r="CK414" t="b">
        <v>1</v>
      </c>
      <c r="CL414" t="s">
        <v>2301</v>
      </c>
      <c r="CM414" t="s">
        <v>541</v>
      </c>
      <c r="CO414" t="s">
        <v>4914</v>
      </c>
      <c r="CR414" t="b">
        <v>1</v>
      </c>
      <c r="CT414">
        <v>0.0</v>
      </c>
      <c r="CU414">
        <v>0.0</v>
      </c>
      <c r="CX414" t="s">
        <v>8819</v>
      </c>
      <c r="CZ414" s="5">
        <v>44551.61347222222</v>
      </c>
      <c r="DA414" t="s">
        <v>8820</v>
      </c>
    </row>
    <row r="415">
      <c r="A415" t="s">
        <v>98</v>
      </c>
      <c r="D415" t="s">
        <v>8821</v>
      </c>
      <c r="E415" t="s">
        <v>5240</v>
      </c>
      <c r="F415" s="2">
        <v>38249.0</v>
      </c>
      <c r="G415" t="s">
        <v>1360</v>
      </c>
      <c r="I415" s="3" t="str">
        <f>HYPERLINK("https://api.typeform.com/responses/files/b560f234bdffeaabae3c6e229c601d7b6ca0deb28fcfd286ff9320d97d41761b/IMG_20211214_WA0000.jpg")</f>
        <v>https://api.typeform.com/responses/files/b560f234bdffeaabae3c6e229c601d7b6ca0deb28fcfd286ff9320d97d41761b/IMG_20211214_WA0000.jpg</v>
      </c>
      <c r="J415" t="s">
        <v>8822</v>
      </c>
      <c r="K415" t="b">
        <v>1</v>
      </c>
      <c r="L415" s="4" t="s">
        <v>8823</v>
      </c>
      <c r="M415" t="s">
        <v>8824</v>
      </c>
      <c r="N415" t="s">
        <v>149</v>
      </c>
      <c r="O415" t="s">
        <v>1014</v>
      </c>
      <c r="P415" t="s">
        <v>8825</v>
      </c>
      <c r="Q415" t="s">
        <v>189</v>
      </c>
      <c r="R415" t="s">
        <v>8822</v>
      </c>
      <c r="S415" t="s">
        <v>8824</v>
      </c>
      <c r="T415" s="4" t="s">
        <v>8826</v>
      </c>
      <c r="U415" t="s">
        <v>7424</v>
      </c>
      <c r="V415" t="s">
        <v>8827</v>
      </c>
      <c r="W415" t="s">
        <v>2290</v>
      </c>
      <c r="Y415" t="s">
        <v>114</v>
      </c>
      <c r="Z415" t="s">
        <v>262</v>
      </c>
      <c r="AC415" s="3" t="str">
        <f>HYPERLINK("https://api.typeform.com/responses/files/4cfa7ab6471b370d737f2c71ffbe61d9ba2074d02023d9a58f47d8f8304097a4/Screen_Shot_2021_12_21_at_9.08.30_AM.png")</f>
        <v>https://api.typeform.com/responses/files/4cfa7ab6471b370d737f2c71ffbe61d9ba2074d02023d9a58f47d8f8304097a4/Screen_Shot_2021_12_21_at_9.08.30_AM.png</v>
      </c>
      <c r="AD415" t="s">
        <v>118</v>
      </c>
      <c r="AE415" t="s">
        <v>729</v>
      </c>
      <c r="AF415" t="s">
        <v>1196</v>
      </c>
      <c r="AG415">
        <v>15.0</v>
      </c>
      <c r="AH415" t="s">
        <v>8828</v>
      </c>
      <c r="AI415" t="s">
        <v>543</v>
      </c>
      <c r="AL415" t="s">
        <v>199</v>
      </c>
      <c r="AO415" t="s">
        <v>335</v>
      </c>
      <c r="AP415">
        <v>7.0</v>
      </c>
      <c r="AQ415" t="s">
        <v>126</v>
      </c>
      <c r="AR415" t="s">
        <v>8829</v>
      </c>
      <c r="AS415" t="b">
        <v>1</v>
      </c>
      <c r="AT415" t="b">
        <v>1</v>
      </c>
      <c r="AV415">
        <v>7.0</v>
      </c>
      <c r="AW415" t="b">
        <v>1</v>
      </c>
      <c r="AX415" t="s">
        <v>1902</v>
      </c>
      <c r="AY415" s="4" t="s">
        <v>518</v>
      </c>
      <c r="AZ415" t="b">
        <v>0</v>
      </c>
      <c r="BA415" t="b">
        <v>0</v>
      </c>
      <c r="BD415" t="s">
        <v>2596</v>
      </c>
      <c r="BH415" t="s">
        <v>132</v>
      </c>
      <c r="BI415">
        <v>3.0</v>
      </c>
      <c r="BJ415" t="s">
        <v>6515</v>
      </c>
      <c r="BK415">
        <v>3.0</v>
      </c>
      <c r="BL415">
        <v>4.0</v>
      </c>
      <c r="BM415" t="s">
        <v>8830</v>
      </c>
      <c r="BN415">
        <v>4.0</v>
      </c>
      <c r="BO415">
        <v>5.0</v>
      </c>
      <c r="BP415" t="s">
        <v>8831</v>
      </c>
      <c r="BQ415" t="s">
        <v>3801</v>
      </c>
      <c r="BR415" t="s">
        <v>8832</v>
      </c>
      <c r="BS415" t="s">
        <v>8833</v>
      </c>
      <c r="BU415" t="s">
        <v>139</v>
      </c>
      <c r="BV415" s="3" t="str">
        <f>HYPERLINK("https://api.typeform.com/responses/files/a60cfcabd4c078f92e24a8f916c83872393b42581202963363129a23f07e53c5/Screen_Shot_2021_12_21_at_9.38.24_AM.png")</f>
        <v>https://api.typeform.com/responses/files/a60cfcabd4c078f92e24a8f916c83872393b42581202963363129a23f07e53c5/Screen_Shot_2021_12_21_at_9.38.24_AM.png</v>
      </c>
      <c r="BW415" t="b">
        <v>1</v>
      </c>
      <c r="BX415" t="s">
        <v>1394</v>
      </c>
      <c r="BY415" t="s">
        <v>140</v>
      </c>
      <c r="CA415" t="s">
        <v>1395</v>
      </c>
      <c r="CD415">
        <v>0.0</v>
      </c>
      <c r="CF415" t="b">
        <v>1</v>
      </c>
      <c r="CG415" t="b">
        <v>1</v>
      </c>
      <c r="CH415" t="s">
        <v>705</v>
      </c>
      <c r="CJ415" t="b">
        <v>1</v>
      </c>
      <c r="CK415" t="b">
        <v>1</v>
      </c>
      <c r="CL415" t="s">
        <v>387</v>
      </c>
      <c r="CM415" t="s">
        <v>387</v>
      </c>
      <c r="CO415" t="s">
        <v>8834</v>
      </c>
      <c r="CQ415" t="s">
        <v>387</v>
      </c>
      <c r="CR415" t="b">
        <v>1</v>
      </c>
      <c r="CT415">
        <v>2.0</v>
      </c>
      <c r="CU415">
        <v>0.0</v>
      </c>
      <c r="CX415" s="4" t="s">
        <v>273</v>
      </c>
      <c r="CZ415" s="5">
        <v>44551.6137962963</v>
      </c>
      <c r="DA415" t="s">
        <v>8835</v>
      </c>
    </row>
    <row r="416">
      <c r="A416" t="s">
        <v>98</v>
      </c>
      <c r="D416" t="s">
        <v>8836</v>
      </c>
      <c r="E416" t="s">
        <v>8837</v>
      </c>
      <c r="F416" s="2">
        <v>38445.0</v>
      </c>
      <c r="G416" t="s">
        <v>1360</v>
      </c>
      <c r="I416" s="3" t="str">
        <f>HYPERLINK("https://api.typeform.com/responses/files/3f2ef28adb9e4b60c421daddd07d36b820fd66da57ae94a28f77f13d644bd4b7/843B1908_FBF2_457C_BB64_2191FBA1C0F0.jpeg")</f>
        <v>https://api.typeform.com/responses/files/3f2ef28adb9e4b60c421daddd07d36b820fd66da57ae94a28f77f13d644bd4b7/843B1908_FBF2_457C_BB64_2191FBA1C0F0.jpeg</v>
      </c>
      <c r="J416" t="s">
        <v>8838</v>
      </c>
      <c r="K416" t="b">
        <v>1</v>
      </c>
      <c r="L416" s="4" t="s">
        <v>8839</v>
      </c>
      <c r="M416" t="s">
        <v>8840</v>
      </c>
      <c r="N416" t="s">
        <v>149</v>
      </c>
      <c r="O416" t="s">
        <v>8841</v>
      </c>
      <c r="P416" t="s">
        <v>8842</v>
      </c>
      <c r="Q416" t="s">
        <v>189</v>
      </c>
      <c r="R416" t="s">
        <v>8843</v>
      </c>
      <c r="S416" s="4" t="s">
        <v>8844</v>
      </c>
      <c r="T416" s="4" t="s">
        <v>8845</v>
      </c>
      <c r="U416" t="s">
        <v>7424</v>
      </c>
      <c r="V416" t="s">
        <v>8846</v>
      </c>
      <c r="W416" t="s">
        <v>2290</v>
      </c>
      <c r="Y416" t="s">
        <v>158</v>
      </c>
      <c r="Z416" t="s">
        <v>262</v>
      </c>
      <c r="AC416" s="3" t="str">
        <f>HYPERLINK("https://api.typeform.com/responses/files/2e27a2b30cb46a8085e3ea7a8c01661055459220a6d489239c13c25615f128b8/Screen_Shot_2021_12_21_at_9.26.26_AM.png")</f>
        <v>https://api.typeform.com/responses/files/2e27a2b30cb46a8085e3ea7a8c01661055459220a6d489239c13c25615f128b8/Screen_Shot_2021_12_21_at_9.26.26_AM.png</v>
      </c>
      <c r="AD416" t="s">
        <v>118</v>
      </c>
      <c r="AE416" t="s">
        <v>729</v>
      </c>
      <c r="AF416" t="s">
        <v>2651</v>
      </c>
      <c r="AG416">
        <v>14.0</v>
      </c>
      <c r="AH416" t="s">
        <v>258</v>
      </c>
      <c r="AI416" t="s">
        <v>543</v>
      </c>
      <c r="AK416" t="s">
        <v>8847</v>
      </c>
      <c r="AL416" t="s">
        <v>199</v>
      </c>
      <c r="AO416" t="s">
        <v>1479</v>
      </c>
      <c r="AP416">
        <v>4.0</v>
      </c>
      <c r="AQ416" t="s">
        <v>1070</v>
      </c>
      <c r="AR416" t="s">
        <v>8848</v>
      </c>
      <c r="AS416" t="b">
        <v>1</v>
      </c>
      <c r="AT416" t="b">
        <v>1</v>
      </c>
      <c r="AV416">
        <v>5.0</v>
      </c>
      <c r="AW416" t="b">
        <v>1</v>
      </c>
      <c r="AX416" s="4" t="s">
        <v>130</v>
      </c>
      <c r="AY416" s="4" t="s">
        <v>518</v>
      </c>
      <c r="AZ416" t="b">
        <v>1</v>
      </c>
      <c r="BA416" t="b">
        <v>0</v>
      </c>
      <c r="BD416" t="s">
        <v>1829</v>
      </c>
      <c r="BH416" t="s">
        <v>132</v>
      </c>
      <c r="BI416">
        <v>4.0</v>
      </c>
      <c r="BJ416" t="s">
        <v>8849</v>
      </c>
      <c r="BK416">
        <v>4.0</v>
      </c>
      <c r="BL416">
        <v>4.0</v>
      </c>
      <c r="BM416" t="s">
        <v>8850</v>
      </c>
      <c r="BN416">
        <v>4.0</v>
      </c>
      <c r="BO416">
        <v>4.0</v>
      </c>
      <c r="BP416" t="s">
        <v>8851</v>
      </c>
      <c r="BQ416" t="s">
        <v>977</v>
      </c>
      <c r="BR416" t="s">
        <v>8852</v>
      </c>
      <c r="BS416" s="4" t="s">
        <v>130</v>
      </c>
      <c r="BU416" t="s">
        <v>8853</v>
      </c>
      <c r="BV416" s="3" t="str">
        <f>HYPERLINK("https://api.typeform.com/responses/files/0823a8734994d86e5de1ceedd504a905708c9cf76c1f4138bd1a19d62e3c2301/Shirley_Brigitte_Cullqui_Narvaez___SPEAKHIRE_APPLICATION_2021_IHSHS.pdf")</f>
        <v>https://api.typeform.com/responses/files/0823a8734994d86e5de1ceedd504a905708c9cf76c1f4138bd1a19d62e3c2301/Shirley_Brigitte_Cullqui_Narvaez___SPEAKHIRE_APPLICATION_2021_IHSHS.pdf</v>
      </c>
      <c r="BW416" t="b">
        <v>1</v>
      </c>
      <c r="BX416" t="s">
        <v>1394</v>
      </c>
      <c r="BY416" t="s">
        <v>140</v>
      </c>
      <c r="CA416" t="s">
        <v>1395</v>
      </c>
      <c r="CD416">
        <v>0.0</v>
      </c>
      <c r="CF416" t="b">
        <v>1</v>
      </c>
      <c r="CG416" t="b">
        <v>1</v>
      </c>
      <c r="CH416" t="s">
        <v>705</v>
      </c>
      <c r="CJ416" t="b">
        <v>1</v>
      </c>
      <c r="CK416" t="b">
        <v>1</v>
      </c>
      <c r="CL416" t="s">
        <v>2301</v>
      </c>
      <c r="CO416" t="s">
        <v>200</v>
      </c>
      <c r="CR416" t="b">
        <v>1</v>
      </c>
      <c r="CT416">
        <v>0.0</v>
      </c>
      <c r="CU416">
        <v>1.0</v>
      </c>
      <c r="CX416" s="4" t="s">
        <v>3933</v>
      </c>
      <c r="CZ416" s="5">
        <v>44551.61488425926</v>
      </c>
      <c r="DA416" t="s">
        <v>8854</v>
      </c>
    </row>
    <row r="417">
      <c r="A417" t="s">
        <v>98</v>
      </c>
      <c r="D417" t="s">
        <v>8855</v>
      </c>
      <c r="E417" t="s">
        <v>4895</v>
      </c>
      <c r="F417" s="2">
        <v>38390.0</v>
      </c>
      <c r="G417" t="s">
        <v>1360</v>
      </c>
      <c r="I417" s="3" t="str">
        <f>HYPERLINK("https://api.typeform.com/responses/files/426b44452f8d5932f34c76273bbf91c124b2d90bc844ed06ccecc111db15836d/IMG_3739__1_.JPG")</f>
        <v>https://api.typeform.com/responses/files/426b44452f8d5932f34c76273bbf91c124b2d90bc844ed06ccecc111db15836d/IMG_3739__1_.JPG</v>
      </c>
      <c r="J417" t="s">
        <v>8856</v>
      </c>
      <c r="K417" t="b">
        <v>1</v>
      </c>
      <c r="L417" s="4" t="s">
        <v>8857</v>
      </c>
      <c r="M417" t="s">
        <v>8858</v>
      </c>
      <c r="N417" t="s">
        <v>149</v>
      </c>
      <c r="O417" t="s">
        <v>479</v>
      </c>
      <c r="P417" t="s">
        <v>8859</v>
      </c>
      <c r="Q417" t="s">
        <v>189</v>
      </c>
      <c r="R417" t="s">
        <v>8860</v>
      </c>
      <c r="S417" t="s">
        <v>8858</v>
      </c>
      <c r="T417" s="4" t="s">
        <v>8861</v>
      </c>
      <c r="U417" t="s">
        <v>8862</v>
      </c>
      <c r="V417" t="s">
        <v>7570</v>
      </c>
      <c r="W417" t="s">
        <v>2290</v>
      </c>
      <c r="Y417" t="s">
        <v>158</v>
      </c>
      <c r="Z417" t="s">
        <v>262</v>
      </c>
      <c r="AC417" s="3" t="str">
        <f>HYPERLINK("https://api.typeform.com/responses/files/78108dfc686d6a377628d792ad509c5b5c203029bf660aeee0718d79d4c31893/IMG_3783.PNG")</f>
        <v>https://api.typeform.com/responses/files/78108dfc686d6a377628d792ad509c5b5c203029bf660aeee0718d79d4c31893/IMG_3783.PNG</v>
      </c>
      <c r="AD417" t="s">
        <v>118</v>
      </c>
      <c r="AE417" t="s">
        <v>1780</v>
      </c>
      <c r="AI417" t="s">
        <v>205</v>
      </c>
      <c r="AL417" t="s">
        <v>1043</v>
      </c>
      <c r="AO417" t="s">
        <v>335</v>
      </c>
      <c r="AP417">
        <v>5.0</v>
      </c>
      <c r="AQ417" t="s">
        <v>126</v>
      </c>
      <c r="AR417" t="s">
        <v>8863</v>
      </c>
      <c r="AS417" t="b">
        <v>1</v>
      </c>
      <c r="AT417" t="b">
        <v>1</v>
      </c>
      <c r="AV417">
        <v>6.0</v>
      </c>
      <c r="AW417" t="b">
        <v>0</v>
      </c>
      <c r="AZ417" t="b">
        <v>0</v>
      </c>
      <c r="BA417" t="b">
        <v>0</v>
      </c>
      <c r="BD417" t="s">
        <v>8863</v>
      </c>
      <c r="BH417" t="s">
        <v>132</v>
      </c>
      <c r="BI417">
        <v>4.0</v>
      </c>
      <c r="BJ417" t="s">
        <v>8864</v>
      </c>
      <c r="BK417">
        <v>2.0</v>
      </c>
      <c r="BL417">
        <v>4.0</v>
      </c>
      <c r="BM417" t="s">
        <v>997</v>
      </c>
      <c r="BN417">
        <v>4.0</v>
      </c>
      <c r="BO417">
        <v>5.0</v>
      </c>
      <c r="BP417" t="s">
        <v>8865</v>
      </c>
      <c r="BQ417" t="s">
        <v>8866</v>
      </c>
      <c r="BR417" t="s">
        <v>8867</v>
      </c>
      <c r="BS417" t="s">
        <v>8868</v>
      </c>
      <c r="BU417" t="s">
        <v>4747</v>
      </c>
      <c r="BV417" s="3" t="str">
        <f>HYPERLINK("https://api.typeform.com/responses/files/aaf8a2c872452046ca5ff93a28928c19246a75aeb9757cf28ce1407e16468c35/IMG_3784.jpg")</f>
        <v>https://api.typeform.com/responses/files/aaf8a2c872452046ca5ff93a28928c19246a75aeb9757cf28ce1407e16468c35/IMG_3784.jpg</v>
      </c>
      <c r="BW417" t="b">
        <v>1</v>
      </c>
      <c r="BX417" t="s">
        <v>1394</v>
      </c>
      <c r="BY417" t="s">
        <v>140</v>
      </c>
      <c r="CA417" t="s">
        <v>1395</v>
      </c>
      <c r="CD417">
        <v>0.0</v>
      </c>
      <c r="CF417" t="b">
        <v>1</v>
      </c>
      <c r="CG417" t="b">
        <v>1</v>
      </c>
      <c r="CH417" t="s">
        <v>6649</v>
      </c>
      <c r="CJ417" t="b">
        <v>1</v>
      </c>
      <c r="CK417" t="b">
        <v>1</v>
      </c>
      <c r="CL417" t="s">
        <v>387</v>
      </c>
      <c r="CM417" t="s">
        <v>387</v>
      </c>
      <c r="CO417" t="s">
        <v>1635</v>
      </c>
      <c r="CR417" t="b">
        <v>1</v>
      </c>
      <c r="CT417">
        <v>1.0</v>
      </c>
      <c r="CU417">
        <v>0.0</v>
      </c>
      <c r="CX417" s="4" t="s">
        <v>3933</v>
      </c>
      <c r="CZ417" s="5">
        <v>44551.6277662037</v>
      </c>
      <c r="DA417" t="s">
        <v>8869</v>
      </c>
    </row>
    <row r="418">
      <c r="A418" t="s">
        <v>98</v>
      </c>
      <c r="D418" t="s">
        <v>8870</v>
      </c>
      <c r="E418" t="s">
        <v>8871</v>
      </c>
      <c r="F418" s="2">
        <v>38830.0</v>
      </c>
      <c r="G418" t="s">
        <v>1466</v>
      </c>
      <c r="I418" s="3" t="str">
        <f>HYPERLINK("https://api.typeform.com/responses/files/0417bd12bcfe9e31e440d6248ac4f8b421e3f156ba30a15485a39e26780ee7f2/IMG_0058.jpg")</f>
        <v>https://api.typeform.com/responses/files/0417bd12bcfe9e31e440d6248ac4f8b421e3f156ba30a15485a39e26780ee7f2/IMG_0058.jpg</v>
      </c>
      <c r="J418" t="s">
        <v>8872</v>
      </c>
      <c r="K418" t="b">
        <v>1</v>
      </c>
      <c r="L418" s="4" t="s">
        <v>8873</v>
      </c>
      <c r="M418" t="s">
        <v>8874</v>
      </c>
      <c r="N418" t="s">
        <v>149</v>
      </c>
      <c r="O418" t="s">
        <v>990</v>
      </c>
      <c r="P418" t="s">
        <v>8875</v>
      </c>
      <c r="Q418" t="s">
        <v>189</v>
      </c>
      <c r="R418" t="s">
        <v>8876</v>
      </c>
      <c r="S418" t="s">
        <v>8877</v>
      </c>
      <c r="T418" s="4" t="s">
        <v>8878</v>
      </c>
      <c r="U418" t="s">
        <v>8879</v>
      </c>
      <c r="V418" t="s">
        <v>8336</v>
      </c>
      <c r="W418" t="s">
        <v>261</v>
      </c>
      <c r="Y418" t="s">
        <v>158</v>
      </c>
      <c r="Z418" t="s">
        <v>262</v>
      </c>
      <c r="AC418" s="3" t="str">
        <f>HYPERLINK("https://api.typeform.com/responses/files/62cea2940e75261a81b10bc5ad8a7e5aaa82fa63ad141d5a0e0d2dc1e9b755a8/Rising_11th_graders_transcripts__dragged_.pdf")</f>
        <v>https://api.typeform.com/responses/files/62cea2940e75261a81b10bc5ad8a7e5aaa82fa63ad141d5a0e0d2dc1e9b755a8/Rising_11th_graders_transcripts__dragged_.pdf</v>
      </c>
      <c r="AD418" t="s">
        <v>758</v>
      </c>
      <c r="AE418" t="s">
        <v>729</v>
      </c>
      <c r="AF418" t="s">
        <v>4631</v>
      </c>
      <c r="AG418">
        <v>13.0</v>
      </c>
      <c r="AH418" s="4" t="s">
        <v>5053</v>
      </c>
      <c r="AI418" t="s">
        <v>386</v>
      </c>
      <c r="AK418" t="s">
        <v>139</v>
      </c>
      <c r="AL418" t="s">
        <v>1043</v>
      </c>
      <c r="AO418" t="s">
        <v>125</v>
      </c>
      <c r="AP418">
        <v>5.0</v>
      </c>
      <c r="AQ418" t="s">
        <v>2240</v>
      </c>
      <c r="AR418" t="s">
        <v>8880</v>
      </c>
      <c r="AS418" t="b">
        <v>0</v>
      </c>
      <c r="AV418">
        <v>6.0</v>
      </c>
      <c r="AW418" t="b">
        <v>0</v>
      </c>
      <c r="AZ418" t="b">
        <v>0</v>
      </c>
      <c r="BA418" t="b">
        <v>0</v>
      </c>
      <c r="BD418" t="s">
        <v>8881</v>
      </c>
      <c r="BH418" t="s">
        <v>132</v>
      </c>
      <c r="BI418">
        <v>6.0</v>
      </c>
      <c r="BJ418" t="s">
        <v>8882</v>
      </c>
      <c r="BK418">
        <v>6.0</v>
      </c>
      <c r="BL418">
        <v>6.0</v>
      </c>
      <c r="BM418" t="s">
        <v>8883</v>
      </c>
      <c r="BN418">
        <v>6.0</v>
      </c>
      <c r="BO418">
        <v>6.0</v>
      </c>
      <c r="BP418" t="s">
        <v>8884</v>
      </c>
      <c r="BQ418" t="s">
        <v>626</v>
      </c>
      <c r="BR418" t="s">
        <v>8885</v>
      </c>
      <c r="BS418" t="s">
        <v>8886</v>
      </c>
      <c r="BU418" t="s">
        <v>8887</v>
      </c>
      <c r="BV418" s="3" t="str">
        <f>HYPERLINK("https://api.typeform.com/responses/files/60f42f2e1042a79f9981a748f461193f5b0001dc8ff077881bbc50a241898dcb/Rising_11th_graders_transcripts__dragged_.pdf")</f>
        <v>https://api.typeform.com/responses/files/60f42f2e1042a79f9981a748f461193f5b0001dc8ff077881bbc50a241898dcb/Rising_11th_graders_transcripts__dragged_.pdf</v>
      </c>
      <c r="BW418" t="b">
        <v>1</v>
      </c>
      <c r="BX418" t="s">
        <v>1394</v>
      </c>
      <c r="BY418" t="s">
        <v>140</v>
      </c>
      <c r="CA418" t="s">
        <v>1395</v>
      </c>
      <c r="CD418">
        <v>0.0</v>
      </c>
      <c r="CF418" t="b">
        <v>1</v>
      </c>
      <c r="CG418" t="b">
        <v>1</v>
      </c>
      <c r="CH418" t="s">
        <v>8888</v>
      </c>
      <c r="CJ418" t="b">
        <v>1</v>
      </c>
      <c r="CK418" t="b">
        <v>1</v>
      </c>
      <c r="CL418" t="s">
        <v>2301</v>
      </c>
      <c r="CM418" t="s">
        <v>2301</v>
      </c>
      <c r="CO418" t="s">
        <v>2888</v>
      </c>
      <c r="CQ418" t="s">
        <v>2301</v>
      </c>
      <c r="CR418" t="b">
        <v>1</v>
      </c>
      <c r="CT418">
        <v>0.0</v>
      </c>
      <c r="CU418">
        <v>0.0</v>
      </c>
      <c r="CX418" s="4" t="s">
        <v>8889</v>
      </c>
      <c r="CZ418" s="5">
        <v>44551.65008101852</v>
      </c>
      <c r="DA418" t="s">
        <v>8890</v>
      </c>
    </row>
    <row r="419">
      <c r="A419" t="s">
        <v>98</v>
      </c>
      <c r="D419" t="s">
        <v>8891</v>
      </c>
      <c r="E419" t="s">
        <v>8892</v>
      </c>
      <c r="F419" s="2">
        <v>37425.0</v>
      </c>
      <c r="G419" t="s">
        <v>1466</v>
      </c>
      <c r="I419" s="3" t="str">
        <f>HYPERLINK("https://api.typeform.com/responses/files/5d140d02be6a5364c5310131370a45aa8be0e2aca8b059851ccdab62c1fb605a/Screenshot_2021_12_21_9.54.18_AM.png")</f>
        <v>https://api.typeform.com/responses/files/5d140d02be6a5364c5310131370a45aa8be0e2aca8b059851ccdab62c1fb605a/Screenshot_2021_12_21_9.54.18_AM.png</v>
      </c>
      <c r="J419" t="s">
        <v>8893</v>
      </c>
      <c r="K419" t="b">
        <v>1</v>
      </c>
      <c r="L419" s="4" t="s">
        <v>8894</v>
      </c>
      <c r="M419" t="s">
        <v>8895</v>
      </c>
      <c r="N419" t="s">
        <v>255</v>
      </c>
      <c r="P419" t="s">
        <v>8896</v>
      </c>
      <c r="Q419" t="s">
        <v>189</v>
      </c>
      <c r="R419" t="s">
        <v>8897</v>
      </c>
      <c r="S419" t="s">
        <v>8895</v>
      </c>
      <c r="T419" s="4" t="s">
        <v>8898</v>
      </c>
      <c r="U419" t="s">
        <v>7489</v>
      </c>
      <c r="V419" t="s">
        <v>8899</v>
      </c>
      <c r="W419" t="s">
        <v>2290</v>
      </c>
      <c r="Y419" t="s">
        <v>158</v>
      </c>
      <c r="Z419" t="s">
        <v>262</v>
      </c>
      <c r="AC419" s="3" t="str">
        <f>HYPERLINK("https://api.typeform.com/responses/files/7e2048b70baf232b7cfc224c4052adfdb77e885c00800c868864e7cff38144b3/Screenshot_2021_12_21_10.07.25_AM.png")</f>
        <v>https://api.typeform.com/responses/files/7e2048b70baf232b7cfc224c4052adfdb77e885c00800c868864e7cff38144b3/Screenshot_2021_12_21_10.07.25_AM.png</v>
      </c>
      <c r="AD419" t="s">
        <v>118</v>
      </c>
      <c r="AE419" t="s">
        <v>729</v>
      </c>
      <c r="AF419" t="s">
        <v>4450</v>
      </c>
      <c r="AG419">
        <v>16.0</v>
      </c>
      <c r="AH419" t="s">
        <v>8900</v>
      </c>
      <c r="AI419" t="s">
        <v>162</v>
      </c>
      <c r="AK419" t="s">
        <v>2624</v>
      </c>
      <c r="AL419" t="s">
        <v>199</v>
      </c>
      <c r="AO419" t="s">
        <v>125</v>
      </c>
      <c r="AP419">
        <v>6.0</v>
      </c>
      <c r="AQ419" t="s">
        <v>2240</v>
      </c>
      <c r="AR419" t="s">
        <v>8901</v>
      </c>
      <c r="AS419" t="b">
        <v>1</v>
      </c>
      <c r="AT419" t="b">
        <v>0</v>
      </c>
      <c r="AV419">
        <v>4.0</v>
      </c>
      <c r="AW419" t="b">
        <v>0</v>
      </c>
      <c r="AZ419" t="b">
        <v>0</v>
      </c>
      <c r="BA419" t="b">
        <v>1</v>
      </c>
      <c r="BB419" t="b">
        <v>0</v>
      </c>
      <c r="BC419" t="s">
        <v>8902</v>
      </c>
      <c r="BH419" t="s">
        <v>132</v>
      </c>
      <c r="BI419">
        <v>2.0</v>
      </c>
      <c r="BJ419" t="s">
        <v>8903</v>
      </c>
      <c r="BK419">
        <v>5.0</v>
      </c>
      <c r="BL419">
        <v>3.0</v>
      </c>
      <c r="BM419" t="s">
        <v>8904</v>
      </c>
      <c r="BN419">
        <v>4.0</v>
      </c>
      <c r="BO419">
        <v>7.0</v>
      </c>
      <c r="BP419" t="s">
        <v>8905</v>
      </c>
      <c r="BQ419" t="s">
        <v>8906</v>
      </c>
      <c r="BR419" t="s">
        <v>8907</v>
      </c>
      <c r="BS419" t="s">
        <v>8908</v>
      </c>
      <c r="BU419" t="s">
        <v>8909</v>
      </c>
      <c r="BV419" s="3" t="str">
        <f>HYPERLINK("https://api.typeform.com/responses/files/6f72e17b6187da7211d9dbf13079a297b1f3a7e6e5182a977dd8b5de8290f331/ALESSANDRO_PINEDA___SPEAKHIRE_2021___Parent_Consent_Form__1_.pdf")</f>
        <v>https://api.typeform.com/responses/files/6f72e17b6187da7211d9dbf13079a297b1f3a7e6e5182a977dd8b5de8290f331/ALESSANDRO_PINEDA___SPEAKHIRE_2021___Parent_Consent_Form__1_.pdf</v>
      </c>
      <c r="BW419" t="b">
        <v>1</v>
      </c>
      <c r="BX419" t="s">
        <v>1394</v>
      </c>
      <c r="BY419" t="s">
        <v>140</v>
      </c>
      <c r="CA419" t="s">
        <v>1395</v>
      </c>
      <c r="CD419">
        <v>0.0</v>
      </c>
      <c r="CF419" t="b">
        <v>0</v>
      </c>
      <c r="CG419" t="b">
        <v>0</v>
      </c>
      <c r="CH419" t="s">
        <v>168</v>
      </c>
      <c r="CJ419" t="b">
        <v>1</v>
      </c>
      <c r="CK419" t="b">
        <v>1</v>
      </c>
      <c r="CL419" t="s">
        <v>387</v>
      </c>
      <c r="CM419" t="s">
        <v>387</v>
      </c>
      <c r="CO419" t="s">
        <v>1635</v>
      </c>
      <c r="CQ419" t="s">
        <v>387</v>
      </c>
      <c r="CR419" t="b">
        <v>1</v>
      </c>
      <c r="CT419">
        <v>0.0</v>
      </c>
      <c r="CU419">
        <v>0.0</v>
      </c>
      <c r="CX419" s="4" t="s">
        <v>3882</v>
      </c>
      <c r="CZ419" s="5">
        <v>44551.6580787037</v>
      </c>
      <c r="DA419" t="s">
        <v>8910</v>
      </c>
    </row>
    <row r="420">
      <c r="A420" t="s">
        <v>98</v>
      </c>
      <c r="D420" t="s">
        <v>8911</v>
      </c>
      <c r="E420" t="s">
        <v>8912</v>
      </c>
      <c r="F420" s="2">
        <v>38369.0</v>
      </c>
      <c r="G420" t="s">
        <v>1466</v>
      </c>
      <c r="I420" s="3" t="str">
        <f>HYPERLINK("https://api.typeform.com/responses/files/60fb02c0c37b27020cfc30f150378c939615d5fd544ffc5248f177df9e138a56/download.jpg")</f>
        <v>https://api.typeform.com/responses/files/60fb02c0c37b27020cfc30f150378c939615d5fd544ffc5248f177df9e138a56/download.jpg</v>
      </c>
      <c r="J420" t="s">
        <v>8913</v>
      </c>
      <c r="K420" t="b">
        <v>1</v>
      </c>
      <c r="L420" s="4" t="s">
        <v>8914</v>
      </c>
      <c r="M420" t="s">
        <v>8915</v>
      </c>
      <c r="N420" t="s">
        <v>255</v>
      </c>
      <c r="P420" t="s">
        <v>8916</v>
      </c>
      <c r="Q420" t="s">
        <v>189</v>
      </c>
      <c r="R420" t="s">
        <v>8917</v>
      </c>
      <c r="S420" t="s">
        <v>8918</v>
      </c>
      <c r="T420" s="4" t="s">
        <v>8919</v>
      </c>
      <c r="U420" t="s">
        <v>8920</v>
      </c>
      <c r="V420" t="s">
        <v>8921</v>
      </c>
      <c r="W420" t="s">
        <v>2290</v>
      </c>
      <c r="Y420" t="s">
        <v>158</v>
      </c>
      <c r="Z420" t="s">
        <v>262</v>
      </c>
      <c r="AC420" s="3" t="str">
        <f>HYPERLINK("https://api.typeform.com/responses/files/510ffd3d944d003ec5e8a82cee95bef230d0c05f76b8517a293c0adb2a7931c8/IMG_20211214_115744__1_.jpg")</f>
        <v>https://api.typeform.com/responses/files/510ffd3d944d003ec5e8a82cee95bef230d0c05f76b8517a293c0adb2a7931c8/IMG_20211214_115744__1_.jpg</v>
      </c>
      <c r="AD420" t="s">
        <v>118</v>
      </c>
      <c r="AE420" t="s">
        <v>729</v>
      </c>
      <c r="AF420" t="s">
        <v>1731</v>
      </c>
      <c r="AG420">
        <v>11.0</v>
      </c>
      <c r="AH420" s="4" t="s">
        <v>547</v>
      </c>
      <c r="AI420" t="s">
        <v>162</v>
      </c>
      <c r="AL420" t="s">
        <v>1755</v>
      </c>
      <c r="AO420" t="s">
        <v>125</v>
      </c>
      <c r="AP420">
        <v>5.0</v>
      </c>
      <c r="AQ420" t="s">
        <v>2240</v>
      </c>
      <c r="AR420" t="s">
        <v>8922</v>
      </c>
      <c r="AS420" t="b">
        <v>1</v>
      </c>
      <c r="AT420" t="b">
        <v>0</v>
      </c>
      <c r="AV420">
        <v>6.0</v>
      </c>
      <c r="AW420" t="b">
        <v>1</v>
      </c>
      <c r="AX420" t="s">
        <v>2797</v>
      </c>
      <c r="AY420" t="s">
        <v>1430</v>
      </c>
      <c r="AZ420" t="b">
        <v>0</v>
      </c>
      <c r="BA420" t="b">
        <v>0</v>
      </c>
      <c r="BD420" t="s">
        <v>8923</v>
      </c>
      <c r="BH420" t="s">
        <v>132</v>
      </c>
      <c r="BI420">
        <v>4.0</v>
      </c>
      <c r="BJ420" t="s">
        <v>8924</v>
      </c>
      <c r="BK420">
        <v>4.0</v>
      </c>
      <c r="BL420">
        <v>3.0</v>
      </c>
      <c r="BM420" t="s">
        <v>8925</v>
      </c>
      <c r="BN420">
        <v>2.0</v>
      </c>
      <c r="BO420">
        <v>3.0</v>
      </c>
      <c r="BP420" t="s">
        <v>8926</v>
      </c>
      <c r="BQ420" t="s">
        <v>1003</v>
      </c>
      <c r="BR420" t="s">
        <v>8927</v>
      </c>
      <c r="BS420" t="s">
        <v>8928</v>
      </c>
      <c r="BU420" t="s">
        <v>8929</v>
      </c>
      <c r="BV420" s="3" t="str">
        <f>HYPERLINK("https://api.typeform.com/responses/files/ddbade5c19ec51d93fcddd084e99f2cc524ab96c5064d6b39a64123bce4c7de8/SPEAKHIRE_Parent.Guardian_Consent_Form.pdf")</f>
        <v>https://api.typeform.com/responses/files/ddbade5c19ec51d93fcddd084e99f2cc524ab96c5064d6b39a64123bce4c7de8/SPEAKHIRE_Parent.Guardian_Consent_Form.pdf</v>
      </c>
      <c r="BW420" t="b">
        <v>1</v>
      </c>
      <c r="BX420" t="s">
        <v>1394</v>
      </c>
      <c r="BY420" t="s">
        <v>140</v>
      </c>
      <c r="CA420" t="s">
        <v>1395</v>
      </c>
      <c r="CD420">
        <v>0.0</v>
      </c>
      <c r="CF420" t="b">
        <v>1</v>
      </c>
      <c r="CG420" t="b">
        <v>0</v>
      </c>
      <c r="CH420" t="s">
        <v>4188</v>
      </c>
      <c r="CJ420" t="b">
        <v>1</v>
      </c>
      <c r="CK420" t="b">
        <v>1</v>
      </c>
      <c r="CL420" t="s">
        <v>636</v>
      </c>
      <c r="CO420" t="s">
        <v>124</v>
      </c>
      <c r="CR420" t="b">
        <v>1</v>
      </c>
      <c r="CT420">
        <v>1.0</v>
      </c>
      <c r="CU420">
        <v>2.0</v>
      </c>
      <c r="CX420" t="s">
        <v>205</v>
      </c>
      <c r="CZ420" s="5">
        <v>44551.714375</v>
      </c>
      <c r="DA420" t="s">
        <v>8930</v>
      </c>
    </row>
    <row r="421">
      <c r="A421" t="s">
        <v>98</v>
      </c>
      <c r="D421" t="s">
        <v>7715</v>
      </c>
      <c r="E421" t="s">
        <v>4279</v>
      </c>
      <c r="F421" s="2">
        <v>38633.0</v>
      </c>
      <c r="G421" t="s">
        <v>1360</v>
      </c>
      <c r="I421" s="3" t="str">
        <f>HYPERLINK("https://api.typeform.com/responses/files/a65e1309ecb36da5358d2b018a82ef0bb33f695f58bd6cb13be125d8514c83c2/SNAP_20211215_073538.jpg")</f>
        <v>https://api.typeform.com/responses/files/a65e1309ecb36da5358d2b018a82ef0bb33f695f58bd6cb13be125d8514c83c2/SNAP_20211215_073538.jpg</v>
      </c>
      <c r="J421" t="s">
        <v>7716</v>
      </c>
      <c r="K421" t="b">
        <v>1</v>
      </c>
      <c r="L421" s="4" t="s">
        <v>7717</v>
      </c>
      <c r="M421" t="s">
        <v>8931</v>
      </c>
      <c r="N421" t="s">
        <v>255</v>
      </c>
      <c r="O421" t="s">
        <v>8932</v>
      </c>
      <c r="P421" t="s">
        <v>7720</v>
      </c>
      <c r="Q421" t="s">
        <v>189</v>
      </c>
      <c r="R421" t="s">
        <v>7721</v>
      </c>
      <c r="S421" t="s">
        <v>8933</v>
      </c>
      <c r="T421" s="4" t="s">
        <v>7722</v>
      </c>
      <c r="U421" t="s">
        <v>8934</v>
      </c>
      <c r="V421" t="s">
        <v>8935</v>
      </c>
      <c r="W421" t="s">
        <v>2290</v>
      </c>
      <c r="Y421" t="s">
        <v>158</v>
      </c>
      <c r="Z421" t="s">
        <v>262</v>
      </c>
      <c r="AC421" s="3" t="str">
        <f>HYPERLINK("https://api.typeform.com/responses/files/2e641a09866e88886f1c005012e7b1c8b5f5e2b41481417059df7c9e196e9013/d6b8061a_b445_4956_8e2c_b96b36b30c4e.JPG")</f>
        <v>https://api.typeform.com/responses/files/2e641a09866e88886f1c005012e7b1c8b5f5e2b41481417059df7c9e196e9013/d6b8061a_b445_4956_8e2c_b96b36b30c4e.JPG</v>
      </c>
      <c r="AD421" t="s">
        <v>118</v>
      </c>
      <c r="AE421" t="s">
        <v>729</v>
      </c>
      <c r="AF421" t="s">
        <v>8936</v>
      </c>
      <c r="AG421">
        <v>13.0</v>
      </c>
      <c r="AH421" t="s">
        <v>3483</v>
      </c>
      <c r="AI421" t="s">
        <v>543</v>
      </c>
      <c r="AL421" t="s">
        <v>1043</v>
      </c>
      <c r="AO421" t="s">
        <v>335</v>
      </c>
      <c r="AP421">
        <v>7.0</v>
      </c>
      <c r="AQ421" t="s">
        <v>303</v>
      </c>
      <c r="AR421" t="s">
        <v>7727</v>
      </c>
      <c r="AS421" t="b">
        <v>1</v>
      </c>
      <c r="AT421" t="b">
        <v>0</v>
      </c>
      <c r="AV421">
        <v>7.0</v>
      </c>
      <c r="AW421" t="b">
        <v>0</v>
      </c>
      <c r="AZ421" t="b">
        <v>0</v>
      </c>
      <c r="BA421" t="b">
        <v>0</v>
      </c>
      <c r="BD421" t="s">
        <v>7727</v>
      </c>
      <c r="BH421" t="s">
        <v>132</v>
      </c>
      <c r="BI421">
        <v>7.0</v>
      </c>
      <c r="BJ421" t="s">
        <v>8937</v>
      </c>
      <c r="BK421">
        <v>6.0</v>
      </c>
      <c r="BL421">
        <v>7.0</v>
      </c>
      <c r="BM421" t="s">
        <v>7727</v>
      </c>
      <c r="BN421">
        <v>5.0</v>
      </c>
      <c r="BO421">
        <v>6.0</v>
      </c>
      <c r="BP421" t="s">
        <v>8938</v>
      </c>
      <c r="BQ421" t="s">
        <v>945</v>
      </c>
      <c r="BR421" t="s">
        <v>8939</v>
      </c>
      <c r="BS421" t="s">
        <v>8940</v>
      </c>
      <c r="BU421" t="s">
        <v>8941</v>
      </c>
      <c r="BV421" s="3" t="str">
        <f>HYPERLINK("https://api.typeform.com/responses/files/1e9ecab45353d5f48c16f9056bab7e98f8060362c03527e0143bf967a4b2c5b6/PAULA_ARIAS___SPEAKHIRE_2021___Parent_Consent_Form.pdf")</f>
        <v>https://api.typeform.com/responses/files/1e9ecab45353d5f48c16f9056bab7e98f8060362c03527e0143bf967a4b2c5b6/PAULA_ARIAS___SPEAKHIRE_2021___Parent_Consent_Form.pdf</v>
      </c>
      <c r="BW421" t="b">
        <v>1</v>
      </c>
      <c r="BX421" t="s">
        <v>1394</v>
      </c>
      <c r="BY421" t="s">
        <v>140</v>
      </c>
      <c r="CA421" t="s">
        <v>1395</v>
      </c>
      <c r="CD421">
        <v>0.0</v>
      </c>
      <c r="CF421" t="b">
        <v>1</v>
      </c>
      <c r="CG421" t="b">
        <v>1</v>
      </c>
      <c r="CH421" t="s">
        <v>8942</v>
      </c>
      <c r="CJ421" t="b">
        <v>1</v>
      </c>
      <c r="CK421" t="b">
        <v>1</v>
      </c>
      <c r="CL421" t="s">
        <v>2301</v>
      </c>
      <c r="CO421" t="s">
        <v>2500</v>
      </c>
      <c r="CR421" t="b">
        <v>1</v>
      </c>
      <c r="CT421">
        <v>0.0</v>
      </c>
      <c r="CU421">
        <v>0.0</v>
      </c>
      <c r="CX421" s="4" t="s">
        <v>2914</v>
      </c>
      <c r="CZ421" s="5">
        <v>44551.71491898148</v>
      </c>
      <c r="DA421" t="s">
        <v>8943</v>
      </c>
    </row>
    <row r="422">
      <c r="A422" t="s">
        <v>98</v>
      </c>
      <c r="D422" t="s">
        <v>8944</v>
      </c>
      <c r="E422" t="s">
        <v>8945</v>
      </c>
      <c r="F422" s="2">
        <v>38559.0</v>
      </c>
      <c r="G422" t="s">
        <v>1466</v>
      </c>
      <c r="I422" s="3" t="str">
        <f>HYPERLINK("https://api.typeform.com/responses/files/ff2dbb47bef63dcc2bfb0893b97054a9f0902d2046fa2cba63e63a1fadeb6c47/IMG_2277.jpg")</f>
        <v>https://api.typeform.com/responses/files/ff2dbb47bef63dcc2bfb0893b97054a9f0902d2046fa2cba63e63a1fadeb6c47/IMG_2277.jpg</v>
      </c>
      <c r="J422" t="s">
        <v>8946</v>
      </c>
      <c r="K422" t="b">
        <v>1</v>
      </c>
      <c r="L422" s="4" t="s">
        <v>8947</v>
      </c>
      <c r="M422" t="s">
        <v>8948</v>
      </c>
      <c r="N422" t="s">
        <v>255</v>
      </c>
      <c r="P422" t="s">
        <v>8949</v>
      </c>
      <c r="Q422" t="s">
        <v>152</v>
      </c>
      <c r="R422" t="s">
        <v>8950</v>
      </c>
      <c r="S422" t="s">
        <v>8948</v>
      </c>
      <c r="T422" s="4" t="s">
        <v>8951</v>
      </c>
      <c r="U422" t="s">
        <v>7424</v>
      </c>
      <c r="V422" t="s">
        <v>7425</v>
      </c>
      <c r="W422" t="s">
        <v>2290</v>
      </c>
      <c r="Y422" t="s">
        <v>158</v>
      </c>
      <c r="Z422" t="s">
        <v>262</v>
      </c>
      <c r="AC422" s="3" t="str">
        <f>HYPERLINK("https://api.typeform.com/responses/files/fc491d49d398869174627f4ab3b727527db8bee32321264c719f3ac04d5e865c/Screen_Shot_2021_12_21_at_11.54.23_AM.png")</f>
        <v>https://api.typeform.com/responses/files/fc491d49d398869174627f4ab3b727527db8bee32321264c719f3ac04d5e865c/Screen_Shot_2021_12_21_at_11.54.23_AM.png</v>
      </c>
      <c r="AD422" t="s">
        <v>118</v>
      </c>
      <c r="AE422" t="s">
        <v>729</v>
      </c>
      <c r="AF422" t="s">
        <v>2541</v>
      </c>
      <c r="AG422">
        <v>11.0</v>
      </c>
      <c r="AH422" s="4" t="s">
        <v>340</v>
      </c>
      <c r="AI422" t="s">
        <v>205</v>
      </c>
      <c r="AK422" t="s">
        <v>8952</v>
      </c>
      <c r="AL422" t="s">
        <v>7550</v>
      </c>
      <c r="AO422" t="s">
        <v>335</v>
      </c>
      <c r="AP422">
        <v>4.0</v>
      </c>
      <c r="AQ422" t="s">
        <v>303</v>
      </c>
      <c r="AR422" t="s">
        <v>8953</v>
      </c>
      <c r="AS422" t="b">
        <v>1</v>
      </c>
      <c r="AT422" t="b">
        <v>0</v>
      </c>
      <c r="AV422">
        <v>4.0</v>
      </c>
      <c r="AW422" t="b">
        <v>1</v>
      </c>
      <c r="AX422" t="s">
        <v>1902</v>
      </c>
      <c r="AY422" s="4" t="s">
        <v>518</v>
      </c>
      <c r="AZ422" t="b">
        <v>0</v>
      </c>
      <c r="BA422" t="b">
        <v>0</v>
      </c>
      <c r="BD422" t="s">
        <v>8954</v>
      </c>
      <c r="BH422" t="s">
        <v>132</v>
      </c>
      <c r="BI422">
        <v>2.0</v>
      </c>
      <c r="BJ422" t="s">
        <v>8955</v>
      </c>
      <c r="BK422">
        <v>3.0</v>
      </c>
      <c r="BL422">
        <v>5.0</v>
      </c>
      <c r="BM422" t="s">
        <v>8954</v>
      </c>
      <c r="BN422">
        <v>3.0</v>
      </c>
      <c r="BO422">
        <v>4.0</v>
      </c>
      <c r="BP422" t="s">
        <v>8956</v>
      </c>
      <c r="BQ422" t="s">
        <v>8957</v>
      </c>
      <c r="BR422" t="s">
        <v>8958</v>
      </c>
      <c r="BS422" t="s">
        <v>8959</v>
      </c>
      <c r="BU422" t="s">
        <v>8960</v>
      </c>
      <c r="BV422" s="3" t="str">
        <f>HYPERLINK("https://api.typeform.com/responses/files/9518a94fbd3453a771d17693a9c963625d0f10232dff9130fb100f848d758eab/DIPSON_KHATRI_CHHETRI___SPEAKHIRE_2021___Parent_Consent_Form.pdf")</f>
        <v>https://api.typeform.com/responses/files/9518a94fbd3453a771d17693a9c963625d0f10232dff9130fb100f848d758eab/DIPSON_KHATRI_CHHETRI___SPEAKHIRE_2021___Parent_Consent_Form.pdf</v>
      </c>
      <c r="BW422" t="b">
        <v>1</v>
      </c>
      <c r="BX422" t="s">
        <v>1394</v>
      </c>
      <c r="BY422" t="s">
        <v>140</v>
      </c>
      <c r="CA422" t="s">
        <v>1395</v>
      </c>
      <c r="CD422">
        <v>0.0</v>
      </c>
      <c r="CF422" t="b">
        <v>1</v>
      </c>
      <c r="CG422" t="b">
        <v>1</v>
      </c>
      <c r="CH422" t="s">
        <v>168</v>
      </c>
      <c r="CJ422" t="b">
        <v>1</v>
      </c>
      <c r="CK422" t="b">
        <v>1</v>
      </c>
      <c r="CL422" t="s">
        <v>636</v>
      </c>
      <c r="CO422" t="s">
        <v>1397</v>
      </c>
      <c r="CR422" t="b">
        <v>1</v>
      </c>
      <c r="CT422">
        <v>1.0</v>
      </c>
      <c r="CU422">
        <v>1.0</v>
      </c>
      <c r="CX422" s="4" t="s">
        <v>3882</v>
      </c>
      <c r="CZ422" s="5">
        <v>44551.72318287037</v>
      </c>
      <c r="DA422" t="s">
        <v>8961</v>
      </c>
    </row>
    <row r="423">
      <c r="A423" t="s">
        <v>98</v>
      </c>
      <c r="D423" t="s">
        <v>8962</v>
      </c>
      <c r="E423" t="s">
        <v>8963</v>
      </c>
      <c r="F423" s="2">
        <v>38760.0</v>
      </c>
      <c r="G423" t="s">
        <v>1562</v>
      </c>
      <c r="I423" s="3" t="str">
        <f>HYPERLINK("https://api.typeform.com/responses/files/7872d937eeffc402eee4a7c7cb77007f615921545ea7b51f0d48621dbfa0f78e/c.jfif")</f>
        <v>https://api.typeform.com/responses/files/7872d937eeffc402eee4a7c7cb77007f615921545ea7b51f0d48621dbfa0f78e/c.jfif</v>
      </c>
      <c r="J423" t="s">
        <v>8964</v>
      </c>
      <c r="K423" t="b">
        <v>1</v>
      </c>
      <c r="L423" s="4" t="s">
        <v>8965</v>
      </c>
      <c r="M423" t="s">
        <v>8966</v>
      </c>
      <c r="N423" t="s">
        <v>105</v>
      </c>
      <c r="O423" t="s">
        <v>8967</v>
      </c>
      <c r="P423" t="s">
        <v>8968</v>
      </c>
      <c r="Q423" t="s">
        <v>152</v>
      </c>
      <c r="R423" t="s">
        <v>8969</v>
      </c>
      <c r="S423" t="s">
        <v>8966</v>
      </c>
      <c r="T423" s="4" t="s">
        <v>8970</v>
      </c>
      <c r="U423" t="s">
        <v>8971</v>
      </c>
      <c r="V423" t="s">
        <v>7425</v>
      </c>
      <c r="W423" t="s">
        <v>2290</v>
      </c>
      <c r="Y423" t="s">
        <v>158</v>
      </c>
      <c r="Z423" t="s">
        <v>262</v>
      </c>
      <c r="AC423" s="3" t="str">
        <f>HYPERLINK("https://api.typeform.com/responses/files/5af48fb62974313d8c98674eeb55a86bcb4a50b8cad1135693aaef3f96eaef66/Screen_Shot_2021_12_21_at_12.13.01_PM.png")</f>
        <v>https://api.typeform.com/responses/files/5af48fb62974313d8c98674eeb55a86bcb4a50b8cad1135693aaef3f96eaef66/Screen_Shot_2021_12_21_at_12.13.01_PM.png</v>
      </c>
      <c r="AD423" t="s">
        <v>118</v>
      </c>
      <c r="AE423" t="s">
        <v>729</v>
      </c>
      <c r="AF423" t="s">
        <v>2651</v>
      </c>
      <c r="AG423">
        <v>11.0</v>
      </c>
      <c r="AH423" s="4" t="s">
        <v>547</v>
      </c>
      <c r="AI423" t="s">
        <v>205</v>
      </c>
      <c r="AL423" t="s">
        <v>967</v>
      </c>
      <c r="AO423" t="s">
        <v>125</v>
      </c>
      <c r="AP423">
        <v>4.0</v>
      </c>
      <c r="AQ423" t="s">
        <v>1070</v>
      </c>
      <c r="AR423" t="s">
        <v>4264</v>
      </c>
      <c r="AS423" t="b">
        <v>1</v>
      </c>
      <c r="AT423" t="b">
        <v>1</v>
      </c>
      <c r="AV423">
        <v>5.0</v>
      </c>
      <c r="AW423" t="b">
        <v>1</v>
      </c>
      <c r="AX423" t="s">
        <v>1902</v>
      </c>
      <c r="AY423" t="s">
        <v>2597</v>
      </c>
      <c r="AZ423" t="b">
        <v>1</v>
      </c>
      <c r="BA423" t="b">
        <v>0</v>
      </c>
      <c r="BD423" t="s">
        <v>8972</v>
      </c>
      <c r="BH423" t="s">
        <v>132</v>
      </c>
      <c r="BI423">
        <v>2.0</v>
      </c>
      <c r="BJ423" t="s">
        <v>8973</v>
      </c>
      <c r="BK423">
        <v>3.0</v>
      </c>
      <c r="BL423">
        <v>2.0</v>
      </c>
      <c r="BM423" t="s">
        <v>8974</v>
      </c>
      <c r="BN423">
        <v>2.0</v>
      </c>
      <c r="BO423">
        <v>3.0</v>
      </c>
      <c r="BP423" t="s">
        <v>8975</v>
      </c>
      <c r="BQ423" t="s">
        <v>4708</v>
      </c>
      <c r="BR423" t="s">
        <v>8976</v>
      </c>
      <c r="BS423" t="s">
        <v>8977</v>
      </c>
      <c r="BU423" t="s">
        <v>4823</v>
      </c>
      <c r="BV423" s="3" t="str">
        <f>HYPERLINK("https://api.typeform.com/responses/files/7260fd35e0e943b0c82e809e61017617a097c668b8acd40c927c8f0bd30af88a/Untitled.jfif")</f>
        <v>https://api.typeform.com/responses/files/7260fd35e0e943b0c82e809e61017617a097c668b8acd40c927c8f0bd30af88a/Untitled.jfif</v>
      </c>
      <c r="BW423" t="b">
        <v>1</v>
      </c>
      <c r="BX423" t="s">
        <v>1394</v>
      </c>
      <c r="BY423" t="s">
        <v>140</v>
      </c>
      <c r="CA423" t="s">
        <v>1395</v>
      </c>
      <c r="CD423">
        <v>0.0</v>
      </c>
      <c r="CF423" t="b">
        <v>1</v>
      </c>
      <c r="CG423" t="b">
        <v>1</v>
      </c>
      <c r="CH423" t="s">
        <v>8978</v>
      </c>
      <c r="CJ423" t="b">
        <v>1</v>
      </c>
      <c r="CK423" t="b">
        <v>0</v>
      </c>
      <c r="CL423" t="s">
        <v>2301</v>
      </c>
      <c r="CO423" t="s">
        <v>388</v>
      </c>
      <c r="CR423" t="b">
        <v>1</v>
      </c>
      <c r="CT423">
        <v>4.0</v>
      </c>
      <c r="CU423">
        <v>0.0</v>
      </c>
      <c r="CX423" s="4" t="s">
        <v>8979</v>
      </c>
      <c r="CZ423" s="5">
        <v>44551.73604166666</v>
      </c>
      <c r="DA423" t="s">
        <v>8980</v>
      </c>
    </row>
    <row r="424">
      <c r="A424" t="s">
        <v>98</v>
      </c>
      <c r="D424" t="s">
        <v>8981</v>
      </c>
      <c r="E424" t="s">
        <v>8982</v>
      </c>
      <c r="F424" s="2">
        <v>38489.0</v>
      </c>
      <c r="G424" t="s">
        <v>1466</v>
      </c>
      <c r="I424" s="3" t="str">
        <f>HYPERLINK("https://api.typeform.com/responses/files/636bf35c9ef1dec4f8f01eca9ad785e4c16910a15ac7ad951bafba8569e47512/IMG_6601.jpeg")</f>
        <v>https://api.typeform.com/responses/files/636bf35c9ef1dec4f8f01eca9ad785e4c16910a15ac7ad951bafba8569e47512/IMG_6601.jpeg</v>
      </c>
      <c r="J424" t="s">
        <v>8983</v>
      </c>
      <c r="K424" t="b">
        <v>1</v>
      </c>
      <c r="L424" s="4" t="s">
        <v>8984</v>
      </c>
      <c r="M424" t="s">
        <v>8985</v>
      </c>
      <c r="N424" t="s">
        <v>149</v>
      </c>
      <c r="O424" t="s">
        <v>8986</v>
      </c>
      <c r="P424" t="s">
        <v>8987</v>
      </c>
      <c r="Q424" t="s">
        <v>189</v>
      </c>
      <c r="R424" t="s">
        <v>7721</v>
      </c>
      <c r="S424" t="s">
        <v>8985</v>
      </c>
      <c r="T424" s="4" t="s">
        <v>8988</v>
      </c>
      <c r="U424" t="s">
        <v>8989</v>
      </c>
      <c r="V424" t="s">
        <v>7425</v>
      </c>
      <c r="W424" t="s">
        <v>2290</v>
      </c>
      <c r="Y424" t="s">
        <v>158</v>
      </c>
      <c r="Z424" t="s">
        <v>262</v>
      </c>
      <c r="AC424" s="3" t="str">
        <f>HYPERLINK("https://api.typeform.com/responses/files/2de5fb8e8728891c2ae6ffc5a7871aba376aa44f0af843431ce60c52a838b3a4/Screen_Shot_2021_12_21_at_9.05.05_AM.png")</f>
        <v>https://api.typeform.com/responses/files/2de5fb8e8728891c2ae6ffc5a7871aba376aa44f0af843431ce60c52a838b3a4/Screen_Shot_2021_12_21_at_9.05.05_AM.png</v>
      </c>
      <c r="AD424" t="s">
        <v>118</v>
      </c>
      <c r="AE424" t="s">
        <v>729</v>
      </c>
      <c r="AF424" t="s">
        <v>5316</v>
      </c>
      <c r="AG424">
        <v>12.0</v>
      </c>
      <c r="AH424" t="s">
        <v>620</v>
      </c>
      <c r="AI424" t="s">
        <v>543</v>
      </c>
      <c r="AL424" t="s">
        <v>199</v>
      </c>
      <c r="AO424" t="s">
        <v>335</v>
      </c>
      <c r="AP424">
        <v>5.0</v>
      </c>
      <c r="AQ424" t="s">
        <v>126</v>
      </c>
      <c r="AR424" t="s">
        <v>7889</v>
      </c>
      <c r="AS424" t="b">
        <v>1</v>
      </c>
      <c r="AT424" t="b">
        <v>1</v>
      </c>
      <c r="AV424">
        <v>5.0</v>
      </c>
      <c r="AW424" t="b">
        <v>0</v>
      </c>
      <c r="AZ424" t="b">
        <v>0</v>
      </c>
      <c r="BA424" t="b">
        <v>0</v>
      </c>
      <c r="BD424" t="s">
        <v>6087</v>
      </c>
      <c r="BH424" t="s">
        <v>132</v>
      </c>
      <c r="BI424">
        <v>2.0</v>
      </c>
      <c r="BJ424" t="s">
        <v>5023</v>
      </c>
      <c r="BK424">
        <v>2.0</v>
      </c>
      <c r="BL424">
        <v>2.0</v>
      </c>
      <c r="BM424" t="s">
        <v>8990</v>
      </c>
      <c r="BN424">
        <v>2.0</v>
      </c>
      <c r="BO424">
        <v>5.0</v>
      </c>
      <c r="BP424" t="s">
        <v>8991</v>
      </c>
      <c r="BQ424" t="s">
        <v>977</v>
      </c>
      <c r="BR424" t="s">
        <v>8992</v>
      </c>
      <c r="BS424" t="s">
        <v>8993</v>
      </c>
      <c r="BU424" t="s">
        <v>179</v>
      </c>
      <c r="BV424" s="3" t="str">
        <f>HYPERLINK("https://api.typeform.com/responses/files/13672c147d923a77e094087a127527df7214b89d586ff77df08ad20b5fa4c799/649576a8_dcf3_421f_aa1b_b3134a3e3a92.jpg")</f>
        <v>https://api.typeform.com/responses/files/13672c147d923a77e094087a127527df7214b89d586ff77df08ad20b5fa4c799/649576a8_dcf3_421f_aa1b_b3134a3e3a92.jpg</v>
      </c>
      <c r="BW424" t="b">
        <v>1</v>
      </c>
      <c r="BX424" t="s">
        <v>1394</v>
      </c>
      <c r="BY424" t="s">
        <v>140</v>
      </c>
      <c r="CA424" t="s">
        <v>1395</v>
      </c>
      <c r="CD424">
        <v>0.0</v>
      </c>
      <c r="CF424" t="b">
        <v>1</v>
      </c>
      <c r="CG424" t="b">
        <v>1</v>
      </c>
      <c r="CH424" t="s">
        <v>1935</v>
      </c>
      <c r="CJ424" t="b">
        <v>1</v>
      </c>
      <c r="CK424" t="b">
        <v>1</v>
      </c>
      <c r="CL424" t="s">
        <v>198</v>
      </c>
      <c r="CM424" t="s">
        <v>198</v>
      </c>
      <c r="CO424" t="s">
        <v>200</v>
      </c>
      <c r="CR424" t="b">
        <v>1</v>
      </c>
      <c r="CT424">
        <v>3.0</v>
      </c>
      <c r="CU424">
        <v>0.0</v>
      </c>
      <c r="CX424" s="4" t="s">
        <v>734</v>
      </c>
      <c r="CZ424" s="5">
        <v>44551.76981481481</v>
      </c>
      <c r="DA424" t="s">
        <v>8994</v>
      </c>
    </row>
    <row r="425">
      <c r="A425" t="s">
        <v>98</v>
      </c>
      <c r="D425" t="s">
        <v>8995</v>
      </c>
      <c r="E425" t="s">
        <v>8996</v>
      </c>
      <c r="F425" s="2">
        <v>38218.0</v>
      </c>
      <c r="G425" t="s">
        <v>1466</v>
      </c>
      <c r="I425" s="3" t="str">
        <f>HYPERLINK("https://api.typeform.com/responses/files/3ca399c992c3efb36601f69538095c4d95ba05b704737b3aac84b362b5d26ab0/Oli.jpg")</f>
        <v>https://api.typeform.com/responses/files/3ca399c992c3efb36601f69538095c4d95ba05b704737b3aac84b362b5d26ab0/Oli.jpg</v>
      </c>
      <c r="J425" t="s">
        <v>8997</v>
      </c>
      <c r="K425" t="b">
        <v>1</v>
      </c>
      <c r="L425" s="4" t="s">
        <v>8998</v>
      </c>
      <c r="M425" t="s">
        <v>8999</v>
      </c>
      <c r="N425" t="s">
        <v>149</v>
      </c>
      <c r="O425" t="s">
        <v>139</v>
      </c>
      <c r="P425" t="s">
        <v>9000</v>
      </c>
      <c r="Q425" t="s">
        <v>152</v>
      </c>
      <c r="R425" t="s">
        <v>9001</v>
      </c>
      <c r="S425" t="s">
        <v>9002</v>
      </c>
      <c r="T425" s="4" t="s">
        <v>9003</v>
      </c>
      <c r="U425" t="s">
        <v>262</v>
      </c>
      <c r="V425" t="s">
        <v>8797</v>
      </c>
      <c r="W425" t="s">
        <v>2290</v>
      </c>
      <c r="Y425" t="s">
        <v>158</v>
      </c>
      <c r="Z425" t="s">
        <v>262</v>
      </c>
      <c r="AC425" s="3" t="str">
        <f>HYPERLINK("https://api.typeform.com/responses/files/346dcf1e4d8ebc7c38f791ce5ee4191c0b8750eca900023688b7ed9ef0bb7346/Europe.jpg")</f>
        <v>https://api.typeform.com/responses/files/346dcf1e4d8ebc7c38f791ce5ee4191c0b8750eca900023688b7ed9ef0bb7346/Europe.jpg</v>
      </c>
      <c r="AD425" t="s">
        <v>118</v>
      </c>
      <c r="AE425" t="s">
        <v>729</v>
      </c>
      <c r="AF425" t="s">
        <v>2541</v>
      </c>
      <c r="AG425">
        <v>12.0</v>
      </c>
      <c r="AH425" t="s">
        <v>1951</v>
      </c>
      <c r="AI425" t="s">
        <v>205</v>
      </c>
      <c r="AK425" t="s">
        <v>606</v>
      </c>
      <c r="AL425" t="s">
        <v>7550</v>
      </c>
      <c r="AO425" t="s">
        <v>125</v>
      </c>
      <c r="AP425">
        <v>4.0</v>
      </c>
      <c r="AQ425" t="s">
        <v>303</v>
      </c>
      <c r="AR425" t="s">
        <v>1951</v>
      </c>
      <c r="AS425" t="b">
        <v>0</v>
      </c>
      <c r="AV425">
        <v>3.0</v>
      </c>
      <c r="AW425" t="b">
        <v>0</v>
      </c>
      <c r="AZ425" t="b">
        <v>0</v>
      </c>
      <c r="BA425" t="b">
        <v>0</v>
      </c>
      <c r="BD425" t="s">
        <v>9004</v>
      </c>
      <c r="BH425" t="s">
        <v>132</v>
      </c>
      <c r="BI425">
        <v>4.0</v>
      </c>
      <c r="BJ425" t="s">
        <v>1951</v>
      </c>
      <c r="BK425">
        <v>4.0</v>
      </c>
      <c r="BL425">
        <v>5.0</v>
      </c>
      <c r="BM425" t="s">
        <v>1951</v>
      </c>
      <c r="BN425">
        <v>4.0</v>
      </c>
      <c r="BO425">
        <v>5.0</v>
      </c>
      <c r="BP425" t="s">
        <v>9005</v>
      </c>
      <c r="BQ425" t="s">
        <v>2390</v>
      </c>
      <c r="BR425" t="s">
        <v>9006</v>
      </c>
      <c r="BS425" t="s">
        <v>9007</v>
      </c>
      <c r="BU425" t="s">
        <v>606</v>
      </c>
      <c r="BV425" s="3" t="str">
        <f>HYPERLINK("https://api.typeform.com/responses/files/1226b5505dd2687571b258a02ec4ba88f247010126524be635c9027b7e8e0181/EUROPE_OLI___SPEAKHIRE_2021___Parent_Consent_Form.pdf")</f>
        <v>https://api.typeform.com/responses/files/1226b5505dd2687571b258a02ec4ba88f247010126524be635c9027b7e8e0181/EUROPE_OLI___SPEAKHIRE_2021___Parent_Consent_Form.pdf</v>
      </c>
      <c r="BW425" t="b">
        <v>1</v>
      </c>
      <c r="BX425" t="s">
        <v>1394</v>
      </c>
      <c r="BY425" t="s">
        <v>140</v>
      </c>
      <c r="CA425" t="s">
        <v>1395</v>
      </c>
      <c r="CD425">
        <v>0.0</v>
      </c>
      <c r="CF425" t="b">
        <v>1</v>
      </c>
      <c r="CG425" t="b">
        <v>1</v>
      </c>
      <c r="CH425" t="s">
        <v>168</v>
      </c>
      <c r="CJ425" t="b">
        <v>1</v>
      </c>
      <c r="CK425" t="b">
        <v>0</v>
      </c>
      <c r="CL425" t="s">
        <v>636</v>
      </c>
      <c r="CO425" t="s">
        <v>1397</v>
      </c>
      <c r="CR425" t="b">
        <v>1</v>
      </c>
      <c r="CT425">
        <v>0.0</v>
      </c>
      <c r="CU425">
        <v>0.0</v>
      </c>
      <c r="CX425" t="s">
        <v>1951</v>
      </c>
      <c r="CZ425" s="5">
        <v>44551.77407407408</v>
      </c>
      <c r="DA425" t="s">
        <v>9008</v>
      </c>
    </row>
    <row r="426">
      <c r="A426" t="s">
        <v>98</v>
      </c>
      <c r="D426" t="s">
        <v>9009</v>
      </c>
      <c r="E426" t="s">
        <v>9010</v>
      </c>
      <c r="F426" s="2">
        <v>38156.0</v>
      </c>
      <c r="G426" t="s">
        <v>1360</v>
      </c>
      <c r="I426" s="3" t="str">
        <f>HYPERLINK("https://api.typeform.com/responses/files/d28d6f06ca3710012c949c0dd6d4c99ef9391d252a511d5e6f7db1c4a4751137/image_50356737.JPG")</f>
        <v>https://api.typeform.com/responses/files/d28d6f06ca3710012c949c0dd6d4c99ef9391d252a511d5e6f7db1c4a4751137/image_50356737.JPG</v>
      </c>
      <c r="J426" t="s">
        <v>9011</v>
      </c>
      <c r="K426" t="b">
        <v>1</v>
      </c>
      <c r="L426" s="4" t="s">
        <v>9012</v>
      </c>
      <c r="M426" t="s">
        <v>9013</v>
      </c>
      <c r="N426" t="s">
        <v>149</v>
      </c>
      <c r="O426" t="s">
        <v>9014</v>
      </c>
      <c r="P426" t="s">
        <v>9015</v>
      </c>
      <c r="Q426" t="s">
        <v>152</v>
      </c>
      <c r="R426" t="s">
        <v>9016</v>
      </c>
      <c r="S426" t="s">
        <v>9017</v>
      </c>
      <c r="T426" s="4" t="s">
        <v>9018</v>
      </c>
      <c r="U426" t="s">
        <v>9019</v>
      </c>
      <c r="V426" t="s">
        <v>9020</v>
      </c>
      <c r="W426" t="s">
        <v>261</v>
      </c>
      <c r="Y426" t="s">
        <v>158</v>
      </c>
      <c r="Z426" t="s">
        <v>262</v>
      </c>
      <c r="AC426" s="3" t="str">
        <f>HYPERLINK("https://api.typeform.com/responses/files/cf180632ee269b007c75e268e7fe2f2cc847723472e036b9cd825edd95128d20/Rising_11th_graders_transcripts__dragged_.pdf")</f>
        <v>https://api.typeform.com/responses/files/cf180632ee269b007c75e268e7fe2f2cc847723472e036b9cd825edd95128d20/Rising_11th_graders_transcripts__dragged_.pdf</v>
      </c>
      <c r="AD426" t="s">
        <v>118</v>
      </c>
      <c r="AE426" t="s">
        <v>3349</v>
      </c>
      <c r="AF426" t="s">
        <v>2292</v>
      </c>
      <c r="AG426">
        <v>13.0</v>
      </c>
      <c r="AH426" t="s">
        <v>9021</v>
      </c>
      <c r="AI426" t="s">
        <v>121</v>
      </c>
      <c r="AL426" t="s">
        <v>199</v>
      </c>
      <c r="AO426" t="s">
        <v>125</v>
      </c>
      <c r="AP426">
        <v>4.0</v>
      </c>
      <c r="AQ426" t="s">
        <v>126</v>
      </c>
      <c r="AR426" t="s">
        <v>9022</v>
      </c>
      <c r="AS426" t="b">
        <v>1</v>
      </c>
      <c r="AT426" t="b">
        <v>1</v>
      </c>
      <c r="AV426">
        <v>4.0</v>
      </c>
      <c r="AW426" t="b">
        <v>1</v>
      </c>
      <c r="AX426" t="s">
        <v>1902</v>
      </c>
      <c r="AY426" s="4" t="s">
        <v>518</v>
      </c>
      <c r="AZ426" t="b">
        <v>0</v>
      </c>
      <c r="BA426" t="b">
        <v>0</v>
      </c>
      <c r="BD426" t="s">
        <v>9023</v>
      </c>
      <c r="BH426" t="s">
        <v>132</v>
      </c>
      <c r="BI426">
        <v>4.0</v>
      </c>
      <c r="BJ426" t="s">
        <v>9024</v>
      </c>
      <c r="BK426">
        <v>4.0</v>
      </c>
      <c r="BL426">
        <v>6.0</v>
      </c>
      <c r="BM426" t="s">
        <v>9025</v>
      </c>
      <c r="BN426">
        <v>4.0</v>
      </c>
      <c r="BO426">
        <v>4.0</v>
      </c>
      <c r="BP426" t="s">
        <v>9026</v>
      </c>
      <c r="BQ426" t="s">
        <v>8866</v>
      </c>
      <c r="BR426" t="s">
        <v>9027</v>
      </c>
      <c r="BS426" t="s">
        <v>9028</v>
      </c>
      <c r="BU426" t="s">
        <v>9029</v>
      </c>
      <c r="BV426" s="3" t="str">
        <f>HYPERLINK("https://api.typeform.com/responses/files/d062f9f461196dd46377207d5594e6d47dcb9316e5270bd812ce83f8fa24aa5e/Rising_11th_graders_transcripts__dragged_.pdf")</f>
        <v>https://api.typeform.com/responses/files/d062f9f461196dd46377207d5594e6d47dcb9316e5270bd812ce83f8fa24aa5e/Rising_11th_graders_transcripts__dragged_.pdf</v>
      </c>
      <c r="BW426" t="b">
        <v>1</v>
      </c>
      <c r="BX426" t="s">
        <v>1394</v>
      </c>
      <c r="BY426" t="s">
        <v>140</v>
      </c>
      <c r="CA426" t="s">
        <v>1395</v>
      </c>
      <c r="CD426">
        <v>0.0</v>
      </c>
      <c r="CF426" t="b">
        <v>1</v>
      </c>
      <c r="CG426" t="b">
        <v>1</v>
      </c>
      <c r="CH426" s="4" t="s">
        <v>273</v>
      </c>
      <c r="CJ426" t="b">
        <v>1</v>
      </c>
      <c r="CK426" t="b">
        <v>0</v>
      </c>
      <c r="CL426" t="s">
        <v>2301</v>
      </c>
      <c r="CM426" t="s">
        <v>2301</v>
      </c>
      <c r="CO426" t="s">
        <v>9030</v>
      </c>
      <c r="CR426" t="b">
        <v>1</v>
      </c>
      <c r="CT426">
        <v>1.0</v>
      </c>
      <c r="CU426">
        <v>2.0</v>
      </c>
      <c r="CX426" s="4" t="s">
        <v>1073</v>
      </c>
      <c r="CZ426" s="5">
        <v>44551.77835648148</v>
      </c>
      <c r="DA426" t="s">
        <v>9031</v>
      </c>
    </row>
    <row r="427">
      <c r="A427" t="s">
        <v>98</v>
      </c>
      <c r="D427" t="s">
        <v>2638</v>
      </c>
      <c r="E427" t="s">
        <v>9032</v>
      </c>
      <c r="F427" s="2">
        <v>37478.0</v>
      </c>
      <c r="G427" t="s">
        <v>1466</v>
      </c>
      <c r="I427" s="3" t="str">
        <f>HYPERLINK("https://api.typeform.com/responses/files/89f62a158fcbeb5b951d873acb477b0213ea011727d04d2db7d67394f351c3cc/image_67238913.JPG")</f>
        <v>https://api.typeform.com/responses/files/89f62a158fcbeb5b951d873acb477b0213ea011727d04d2db7d67394f351c3cc/image_67238913.JPG</v>
      </c>
      <c r="J427" t="s">
        <v>9033</v>
      </c>
      <c r="K427" t="b">
        <v>1</v>
      </c>
      <c r="L427" s="4" t="s">
        <v>9034</v>
      </c>
      <c r="M427" t="s">
        <v>9035</v>
      </c>
      <c r="N427" t="s">
        <v>255</v>
      </c>
      <c r="O427" t="s">
        <v>9036</v>
      </c>
      <c r="P427" t="s">
        <v>9037</v>
      </c>
      <c r="Q427" t="s">
        <v>189</v>
      </c>
      <c r="R427" t="s">
        <v>9038</v>
      </c>
      <c r="S427" t="s">
        <v>9035</v>
      </c>
      <c r="T427" s="4" t="s">
        <v>9039</v>
      </c>
      <c r="U427" t="s">
        <v>9040</v>
      </c>
      <c r="V427" t="s">
        <v>9041</v>
      </c>
      <c r="W427" t="s">
        <v>2290</v>
      </c>
      <c r="Y427" t="s">
        <v>158</v>
      </c>
      <c r="Z427" t="s">
        <v>262</v>
      </c>
      <c r="AC427" s="3" t="str">
        <f>HYPERLINK("https://api.typeform.com/responses/files/e3d0935bd2ffd1627157013e9b11fc752cc8d6bd3db5cff6d4a81f7075704655/image_67144961.JPG")</f>
        <v>https://api.typeform.com/responses/files/e3d0935bd2ffd1627157013e9b11fc752cc8d6bd3db5cff6d4a81f7075704655/image_67144961.JPG</v>
      </c>
      <c r="AD427" t="s">
        <v>1014</v>
      </c>
      <c r="AE427" t="s">
        <v>1220</v>
      </c>
      <c r="AF427" t="s">
        <v>197</v>
      </c>
      <c r="AG427">
        <v>18.0</v>
      </c>
      <c r="AH427" s="4" t="s">
        <v>2300</v>
      </c>
      <c r="AI427" t="s">
        <v>543</v>
      </c>
      <c r="AK427" t="s">
        <v>139</v>
      </c>
      <c r="AL427" t="s">
        <v>1043</v>
      </c>
      <c r="AO427" t="s">
        <v>125</v>
      </c>
      <c r="AP427">
        <v>5.0</v>
      </c>
      <c r="AQ427" t="s">
        <v>1480</v>
      </c>
      <c r="AR427" t="s">
        <v>9042</v>
      </c>
      <c r="AS427" t="b">
        <v>1</v>
      </c>
      <c r="AT427" t="b">
        <v>0</v>
      </c>
      <c r="AV427">
        <v>7.0</v>
      </c>
      <c r="AW427" t="b">
        <v>0</v>
      </c>
      <c r="AZ427" t="b">
        <v>0</v>
      </c>
      <c r="BA427" t="b">
        <v>1</v>
      </c>
      <c r="BB427" t="b">
        <v>0</v>
      </c>
      <c r="BC427" t="s">
        <v>9043</v>
      </c>
      <c r="BH427" t="s">
        <v>132</v>
      </c>
      <c r="BI427">
        <v>2.0</v>
      </c>
      <c r="BJ427" s="4" t="s">
        <v>130</v>
      </c>
      <c r="BK427">
        <v>1.0</v>
      </c>
      <c r="BL427">
        <v>2.0</v>
      </c>
      <c r="BM427" t="s">
        <v>9044</v>
      </c>
      <c r="BN427">
        <v>4.0</v>
      </c>
      <c r="BO427">
        <v>4.0</v>
      </c>
      <c r="BP427" t="s">
        <v>9045</v>
      </c>
      <c r="BQ427" t="s">
        <v>945</v>
      </c>
      <c r="BR427" t="s">
        <v>9046</v>
      </c>
      <c r="BS427" t="s">
        <v>9047</v>
      </c>
      <c r="BU427" t="s">
        <v>139</v>
      </c>
      <c r="BV427" s="3" t="str">
        <f>HYPERLINK("https://api.typeform.com/responses/files/7a41c42b16b497c4c4034eb56c014ef0a5572b81a507366ee6110452228dc920/JOSE_ROMERO___SPEAKHIRE_2021___Parent_Consent_Form.pdf")</f>
        <v>https://api.typeform.com/responses/files/7a41c42b16b497c4c4034eb56c014ef0a5572b81a507366ee6110452228dc920/JOSE_ROMERO___SPEAKHIRE_2021___Parent_Consent_Form.pdf</v>
      </c>
      <c r="BW427" t="b">
        <v>1</v>
      </c>
      <c r="BX427" t="s">
        <v>1394</v>
      </c>
      <c r="BY427" t="s">
        <v>140</v>
      </c>
      <c r="CA427" t="s">
        <v>1395</v>
      </c>
      <c r="CD427">
        <v>0.0</v>
      </c>
      <c r="CF427" t="b">
        <v>1</v>
      </c>
      <c r="CG427" t="b">
        <v>1</v>
      </c>
      <c r="CH427" t="s">
        <v>139</v>
      </c>
      <c r="CJ427" t="b">
        <v>1</v>
      </c>
      <c r="CK427" t="b">
        <v>1</v>
      </c>
      <c r="CL427" t="s">
        <v>198</v>
      </c>
      <c r="CN427" t="s">
        <v>139</v>
      </c>
      <c r="CO427" t="s">
        <v>388</v>
      </c>
      <c r="CR427" t="b">
        <v>1</v>
      </c>
      <c r="CT427">
        <v>5.0</v>
      </c>
      <c r="CU427">
        <v>1.0</v>
      </c>
      <c r="CX427" s="4" t="s">
        <v>3444</v>
      </c>
      <c r="CZ427" s="5">
        <v>44551.78451388889</v>
      </c>
      <c r="DA427" t="s">
        <v>9048</v>
      </c>
    </row>
    <row r="428">
      <c r="A428" t="s">
        <v>98</v>
      </c>
      <c r="D428" t="s">
        <v>9049</v>
      </c>
      <c r="E428" t="s">
        <v>9050</v>
      </c>
      <c r="F428" s="2">
        <v>38429.0</v>
      </c>
      <c r="G428" t="s">
        <v>1360</v>
      </c>
      <c r="I428" s="3" t="str">
        <f>HYPERLINK("https://api.typeform.com/responses/files/958c9d4c846985d8e8c0b853f259c970b2d5721eafe7ef7b235a22749ecc39b8/BeautyPlus_20211221114506963_save__2_.jpg")</f>
        <v>https://api.typeform.com/responses/files/958c9d4c846985d8e8c0b853f259c970b2d5721eafe7ef7b235a22749ecc39b8/BeautyPlus_20211221114506963_save__2_.jpg</v>
      </c>
      <c r="J428" t="s">
        <v>9051</v>
      </c>
      <c r="K428" t="b">
        <v>1</v>
      </c>
      <c r="L428" s="4" t="s">
        <v>9052</v>
      </c>
      <c r="M428" t="s">
        <v>9053</v>
      </c>
      <c r="N428" t="s">
        <v>149</v>
      </c>
      <c r="O428" t="s">
        <v>9054</v>
      </c>
      <c r="P428" t="s">
        <v>9055</v>
      </c>
      <c r="Q428" t="s">
        <v>189</v>
      </c>
      <c r="R428" t="s">
        <v>9056</v>
      </c>
      <c r="S428" t="s">
        <v>9057</v>
      </c>
      <c r="T428" s="4" t="s">
        <v>9058</v>
      </c>
      <c r="U428" t="s">
        <v>9059</v>
      </c>
      <c r="V428" t="s">
        <v>9060</v>
      </c>
      <c r="W428" t="s">
        <v>2290</v>
      </c>
      <c r="Y428" t="s">
        <v>158</v>
      </c>
      <c r="Z428" t="s">
        <v>262</v>
      </c>
      <c r="AC428" s="3" t="str">
        <f>HYPERLINK("https://api.typeform.com/responses/files/0bc7094c04e55125282566d51ab0cc0fe084f04cfa09e7a6677e5b9956f5b198/Screen_Shot_2021_12_21_at_1.27.36_PM.png")</f>
        <v>https://api.typeform.com/responses/files/0bc7094c04e55125282566d51ab0cc0fe084f04cfa09e7a6677e5b9956f5b198/Screen_Shot_2021_12_21_at_1.27.36_PM.png</v>
      </c>
      <c r="AD428" t="s">
        <v>118</v>
      </c>
      <c r="AE428" t="s">
        <v>729</v>
      </c>
      <c r="AF428" t="s">
        <v>1731</v>
      </c>
      <c r="AG428">
        <v>14.0</v>
      </c>
      <c r="AH428" t="s">
        <v>9061</v>
      </c>
      <c r="AI428" t="s">
        <v>205</v>
      </c>
      <c r="AK428" t="s">
        <v>1182</v>
      </c>
      <c r="AL428" t="s">
        <v>9062</v>
      </c>
      <c r="AO428" t="s">
        <v>125</v>
      </c>
      <c r="AP428">
        <v>4.0</v>
      </c>
      <c r="AQ428" t="s">
        <v>201</v>
      </c>
      <c r="AR428" t="s">
        <v>9063</v>
      </c>
      <c r="AS428" t="b">
        <v>1</v>
      </c>
      <c r="AT428" t="b">
        <v>1</v>
      </c>
      <c r="AV428">
        <v>5.0</v>
      </c>
      <c r="AW428" t="b">
        <v>0</v>
      </c>
      <c r="AZ428" t="b">
        <v>0</v>
      </c>
      <c r="BA428" t="b">
        <v>0</v>
      </c>
      <c r="BD428" t="s">
        <v>7922</v>
      </c>
      <c r="BH428" t="s">
        <v>132</v>
      </c>
      <c r="BI428">
        <v>5.0</v>
      </c>
      <c r="BJ428" t="s">
        <v>9064</v>
      </c>
      <c r="BK428">
        <v>5.0</v>
      </c>
      <c r="BL428">
        <v>4.0</v>
      </c>
      <c r="BM428" t="s">
        <v>9065</v>
      </c>
      <c r="BN428">
        <v>4.0</v>
      </c>
      <c r="BO428">
        <v>3.0</v>
      </c>
      <c r="BP428" t="s">
        <v>5378</v>
      </c>
      <c r="BQ428" t="s">
        <v>1931</v>
      </c>
      <c r="BR428" t="s">
        <v>9066</v>
      </c>
      <c r="BS428" t="s">
        <v>9067</v>
      </c>
      <c r="BU428" t="s">
        <v>9068</v>
      </c>
      <c r="BV428" s="3" t="str">
        <f>HYPERLINK("https://api.typeform.com/responses/files/5ac583990cf1afa0d8ae62902f0fc0e04fe79c220ece43e6f0259ac62eedfa3b/AFRIN_TRIPTI___SPEAKHIRE_2021___Parent_Consent_Form.pdf")</f>
        <v>https://api.typeform.com/responses/files/5ac583990cf1afa0d8ae62902f0fc0e04fe79c220ece43e6f0259ac62eedfa3b/AFRIN_TRIPTI___SPEAKHIRE_2021___Parent_Consent_Form.pdf</v>
      </c>
      <c r="BW428" t="b">
        <v>1</v>
      </c>
      <c r="BX428" t="s">
        <v>1394</v>
      </c>
      <c r="BY428" t="s">
        <v>140</v>
      </c>
      <c r="CA428" t="s">
        <v>1395</v>
      </c>
      <c r="CD428">
        <v>0.0</v>
      </c>
      <c r="CF428" t="b">
        <v>1</v>
      </c>
      <c r="CG428" t="b">
        <v>1</v>
      </c>
      <c r="CH428" t="s">
        <v>1935</v>
      </c>
      <c r="CJ428" t="b">
        <v>1</v>
      </c>
      <c r="CK428" t="b">
        <v>1</v>
      </c>
      <c r="CL428" t="s">
        <v>636</v>
      </c>
      <c r="CO428" t="s">
        <v>2068</v>
      </c>
      <c r="CR428" t="b">
        <v>1</v>
      </c>
      <c r="CT428">
        <v>0.0</v>
      </c>
      <c r="CU428">
        <v>4.0</v>
      </c>
      <c r="CX428" s="4" t="s">
        <v>2914</v>
      </c>
      <c r="CZ428" s="5">
        <v>44551.78729166667</v>
      </c>
      <c r="DA428" t="s">
        <v>9069</v>
      </c>
    </row>
    <row r="429">
      <c r="A429" t="s">
        <v>98</v>
      </c>
      <c r="D429" t="s">
        <v>9070</v>
      </c>
      <c r="E429" t="s">
        <v>9071</v>
      </c>
      <c r="F429" s="2">
        <v>38097.0</v>
      </c>
      <c r="G429" t="s">
        <v>1562</v>
      </c>
      <c r="I429" s="3" t="str">
        <f>HYPERLINK("https://api.typeform.com/responses/files/630f3a5c5820c1ac425db5fdc2170e0ec0a6c3c0817fcc73e9585ff89016b734/Photo.jpeg")</f>
        <v>https://api.typeform.com/responses/files/630f3a5c5820c1ac425db5fdc2170e0ec0a6c3c0817fcc73e9585ff89016b734/Photo.jpeg</v>
      </c>
      <c r="J429" t="s">
        <v>9072</v>
      </c>
      <c r="K429" t="b">
        <v>1</v>
      </c>
      <c r="L429" s="4" t="s">
        <v>9073</v>
      </c>
      <c r="M429" t="s">
        <v>9074</v>
      </c>
      <c r="N429" t="s">
        <v>255</v>
      </c>
      <c r="O429" t="s">
        <v>9075</v>
      </c>
      <c r="P429" t="s">
        <v>9076</v>
      </c>
      <c r="Q429" t="s">
        <v>152</v>
      </c>
      <c r="R429" t="s">
        <v>9077</v>
      </c>
      <c r="S429" t="s">
        <v>9078</v>
      </c>
      <c r="T429" s="4" t="s">
        <v>9079</v>
      </c>
      <c r="U429" t="s">
        <v>9080</v>
      </c>
      <c r="V429" t="s">
        <v>9081</v>
      </c>
      <c r="W429" t="s">
        <v>2290</v>
      </c>
      <c r="Y429" t="s">
        <v>158</v>
      </c>
      <c r="Z429" t="s">
        <v>262</v>
      </c>
      <c r="AC429" s="3" t="str">
        <f>HYPERLINK("https://api.typeform.com/responses/files/ce646ce337e6e63534c4d569bf36de8ee661b140747b0df9a4d66219a0fb6fd1/Photo_2.jpeg")</f>
        <v>https://api.typeform.com/responses/files/ce646ce337e6e63534c4d569bf36de8ee661b140747b0df9a4d66219a0fb6fd1/Photo_2.jpeg</v>
      </c>
      <c r="AD429" t="s">
        <v>118</v>
      </c>
      <c r="AE429" t="s">
        <v>729</v>
      </c>
      <c r="AF429" t="s">
        <v>2541</v>
      </c>
      <c r="AG429">
        <v>15.0</v>
      </c>
      <c r="AH429" t="s">
        <v>9082</v>
      </c>
      <c r="AI429" t="s">
        <v>162</v>
      </c>
      <c r="AK429" t="s">
        <v>139</v>
      </c>
      <c r="AL429" t="s">
        <v>2543</v>
      </c>
      <c r="AO429" t="s">
        <v>125</v>
      </c>
      <c r="AP429">
        <v>7.0</v>
      </c>
      <c r="AQ429" t="s">
        <v>126</v>
      </c>
      <c r="AR429" t="s">
        <v>2596</v>
      </c>
      <c r="AS429" t="b">
        <v>1</v>
      </c>
      <c r="AT429" t="b">
        <v>1</v>
      </c>
      <c r="AV429">
        <v>6.0</v>
      </c>
      <c r="AW429" t="b">
        <v>1</v>
      </c>
      <c r="AX429" t="s">
        <v>1902</v>
      </c>
      <c r="AY429" s="4" t="s">
        <v>518</v>
      </c>
      <c r="AZ429" t="b">
        <v>0</v>
      </c>
      <c r="BA429" t="b">
        <v>0</v>
      </c>
      <c r="BD429" t="s">
        <v>2596</v>
      </c>
      <c r="BH429" t="s">
        <v>132</v>
      </c>
      <c r="BI429">
        <v>5.0</v>
      </c>
      <c r="BJ429" t="s">
        <v>9083</v>
      </c>
      <c r="BK429">
        <v>4.0</v>
      </c>
      <c r="BL429">
        <v>4.0</v>
      </c>
      <c r="BM429" t="s">
        <v>9084</v>
      </c>
      <c r="BN429">
        <v>4.0</v>
      </c>
      <c r="BO429">
        <v>4.0</v>
      </c>
      <c r="BP429" t="s">
        <v>9085</v>
      </c>
      <c r="BQ429" t="s">
        <v>945</v>
      </c>
      <c r="BR429" t="s">
        <v>9086</v>
      </c>
      <c r="BS429" t="s">
        <v>9087</v>
      </c>
      <c r="BU429" t="s">
        <v>9088</v>
      </c>
      <c r="BV429" s="3" t="str">
        <f>HYPERLINK("https://api.typeform.com/responses/files/8e4a5a4b311304b2f2114ea9b936112ee29757259f51ce1e46a3757a15b552c2/Pratima_Bohara___SPEAKHIRE_2021___Parent_Consent_Form.pdf")</f>
        <v>https://api.typeform.com/responses/files/8e4a5a4b311304b2f2114ea9b936112ee29757259f51ce1e46a3757a15b552c2/Pratima_Bohara___SPEAKHIRE_2021___Parent_Consent_Form.pdf</v>
      </c>
      <c r="BW429" t="b">
        <v>1</v>
      </c>
      <c r="BX429" t="s">
        <v>1394</v>
      </c>
      <c r="BY429" t="s">
        <v>140</v>
      </c>
      <c r="CA429" t="s">
        <v>1395</v>
      </c>
      <c r="CD429">
        <v>0.0</v>
      </c>
      <c r="CF429" t="b">
        <v>1</v>
      </c>
      <c r="CG429" t="b">
        <v>1</v>
      </c>
      <c r="CH429" t="s">
        <v>9089</v>
      </c>
      <c r="CJ429" t="b">
        <v>1</v>
      </c>
      <c r="CK429" t="b">
        <v>1</v>
      </c>
      <c r="CL429" t="s">
        <v>636</v>
      </c>
      <c r="CO429" t="s">
        <v>1397</v>
      </c>
      <c r="CR429" t="b">
        <v>1</v>
      </c>
      <c r="CT429">
        <v>5.0</v>
      </c>
      <c r="CU429">
        <v>0.0</v>
      </c>
      <c r="CX429" s="4" t="s">
        <v>3444</v>
      </c>
      <c r="CZ429" s="5">
        <v>44551.78791666667</v>
      </c>
      <c r="DA429" t="s">
        <v>9090</v>
      </c>
    </row>
    <row r="430">
      <c r="A430" t="s">
        <v>98</v>
      </c>
      <c r="D430" t="s">
        <v>9091</v>
      </c>
      <c r="E430" t="s">
        <v>4327</v>
      </c>
      <c r="F430" s="2">
        <v>38347.0</v>
      </c>
      <c r="G430" t="s">
        <v>1360</v>
      </c>
      <c r="I430" s="3" t="str">
        <f>HYPERLINK("https://api.typeform.com/responses/files/195660d35925dfc0fc782d2071f860383dfad641c83bac49126c2b049274b8cd/264585612_688220965498682_7592956983548855870_n.jpg")</f>
        <v>https://api.typeform.com/responses/files/195660d35925dfc0fc782d2071f860383dfad641c83bac49126c2b049274b8cd/264585612_688220965498682_7592956983548855870_n.jpg</v>
      </c>
      <c r="J430" t="s">
        <v>9092</v>
      </c>
      <c r="K430" t="b">
        <v>1</v>
      </c>
      <c r="L430" s="4" t="s">
        <v>9093</v>
      </c>
      <c r="M430" t="s">
        <v>9094</v>
      </c>
      <c r="N430" t="s">
        <v>149</v>
      </c>
      <c r="O430" t="s">
        <v>479</v>
      </c>
      <c r="P430" t="s">
        <v>9095</v>
      </c>
      <c r="Q430" t="s">
        <v>152</v>
      </c>
      <c r="R430" t="s">
        <v>9096</v>
      </c>
      <c r="S430" t="s">
        <v>9094</v>
      </c>
      <c r="T430" s="4" t="s">
        <v>9097</v>
      </c>
      <c r="U430" t="s">
        <v>7424</v>
      </c>
      <c r="V430" t="s">
        <v>7570</v>
      </c>
      <c r="W430" t="s">
        <v>2290</v>
      </c>
      <c r="Y430" t="s">
        <v>158</v>
      </c>
      <c r="Z430" t="s">
        <v>262</v>
      </c>
      <c r="AC430" s="3" t="str">
        <f>HYPERLINK("https://api.typeform.com/responses/files/77c2f45363f6fb68c1f6d99e7f0a8ba6e5e7569f46eca3ed69240f25264f803f/Screenshot_2021_12_21_11.56.54_AM.png")</f>
        <v>https://api.typeform.com/responses/files/77c2f45363f6fb68c1f6d99e7f0a8ba6e5e7569f46eca3ed69240f25264f803f/Screenshot_2021_12_21_11.56.54_AM.png</v>
      </c>
      <c r="AD430" t="s">
        <v>118</v>
      </c>
      <c r="AE430" t="s">
        <v>729</v>
      </c>
      <c r="AF430" t="s">
        <v>4450</v>
      </c>
      <c r="AG430">
        <v>14.0</v>
      </c>
      <c r="AH430" s="4" t="s">
        <v>5053</v>
      </c>
      <c r="AI430" t="s">
        <v>543</v>
      </c>
      <c r="AL430" t="s">
        <v>199</v>
      </c>
      <c r="AO430" t="s">
        <v>125</v>
      </c>
      <c r="AP430">
        <v>4.0</v>
      </c>
      <c r="AQ430" t="s">
        <v>126</v>
      </c>
      <c r="AR430" t="s">
        <v>9098</v>
      </c>
      <c r="AS430" t="b">
        <v>1</v>
      </c>
      <c r="AT430" t="b">
        <v>0</v>
      </c>
      <c r="AV430">
        <v>4.0</v>
      </c>
      <c r="AW430" t="b">
        <v>0</v>
      </c>
      <c r="AZ430" t="b">
        <v>0</v>
      </c>
      <c r="BA430" t="b">
        <v>0</v>
      </c>
      <c r="BD430" t="s">
        <v>9099</v>
      </c>
      <c r="BH430" t="s">
        <v>132</v>
      </c>
      <c r="BI430">
        <v>2.0</v>
      </c>
      <c r="BJ430" t="s">
        <v>9100</v>
      </c>
      <c r="BK430">
        <v>5.0</v>
      </c>
      <c r="BL430">
        <v>6.0</v>
      </c>
      <c r="BM430" t="s">
        <v>9101</v>
      </c>
      <c r="BN430">
        <v>4.0</v>
      </c>
      <c r="BO430">
        <v>5.0</v>
      </c>
      <c r="BP430" t="s">
        <v>9102</v>
      </c>
      <c r="BQ430" t="s">
        <v>4708</v>
      </c>
      <c r="BR430" t="s">
        <v>9103</v>
      </c>
      <c r="BS430" t="s">
        <v>9104</v>
      </c>
      <c r="BU430" t="s">
        <v>9105</v>
      </c>
      <c r="BV430" s="3" t="str">
        <f>HYPERLINK("https://api.typeform.com/responses/files/fd2f18305eedc16609359202d7ad5f21ffe464a07e526fac909468cea9aef647/NAYELI_CRUZ___SPEAKHIRE_2021___Parent_Consent_Form__1_.pdf")</f>
        <v>https://api.typeform.com/responses/files/fd2f18305eedc16609359202d7ad5f21ffe464a07e526fac909468cea9aef647/NAYELI_CRUZ___SPEAKHIRE_2021___Parent_Consent_Form__1_.pdf</v>
      </c>
      <c r="BW430" t="b">
        <v>1</v>
      </c>
      <c r="BX430" t="s">
        <v>1394</v>
      </c>
      <c r="BY430" t="s">
        <v>140</v>
      </c>
      <c r="CA430" t="s">
        <v>1395</v>
      </c>
      <c r="CD430">
        <v>0.0</v>
      </c>
      <c r="CF430" t="b">
        <v>1</v>
      </c>
      <c r="CG430" t="b">
        <v>1</v>
      </c>
      <c r="CH430" t="s">
        <v>4188</v>
      </c>
      <c r="CJ430" t="b">
        <v>1</v>
      </c>
      <c r="CK430" t="b">
        <v>1</v>
      </c>
      <c r="CL430" t="s">
        <v>387</v>
      </c>
      <c r="CO430" t="s">
        <v>200</v>
      </c>
      <c r="CR430" t="b">
        <v>1</v>
      </c>
      <c r="CT430">
        <v>0.0</v>
      </c>
      <c r="CU430">
        <v>0.0</v>
      </c>
      <c r="CX430" s="4" t="s">
        <v>3933</v>
      </c>
      <c r="CZ430" s="5">
        <v>44551.79116898148</v>
      </c>
      <c r="DA430" t="s">
        <v>9106</v>
      </c>
    </row>
    <row r="431">
      <c r="A431" t="s">
        <v>98</v>
      </c>
      <c r="D431" t="s">
        <v>9107</v>
      </c>
      <c r="E431" t="s">
        <v>9108</v>
      </c>
      <c r="F431" s="2">
        <v>38102.0</v>
      </c>
      <c r="G431" t="s">
        <v>1360</v>
      </c>
      <c r="I431" s="3" t="str">
        <f>HYPERLINK("https://api.typeform.com/responses/files/745b5f9c23da088720509f806a108474a696848d3dce0218d826a61044879275/2e1d2d86_c3c1_401f_b747_6bdf6901ddd5.JPG")</f>
        <v>https://api.typeform.com/responses/files/745b5f9c23da088720509f806a108474a696848d3dce0218d826a61044879275/2e1d2d86_c3c1_401f_b747_6bdf6901ddd5.JPG</v>
      </c>
      <c r="J431" t="s">
        <v>9109</v>
      </c>
      <c r="K431" t="b">
        <v>1</v>
      </c>
      <c r="L431" s="4" t="s">
        <v>9110</v>
      </c>
      <c r="M431" t="s">
        <v>9111</v>
      </c>
      <c r="N431" t="s">
        <v>149</v>
      </c>
      <c r="O431" t="s">
        <v>9112</v>
      </c>
      <c r="P431" t="s">
        <v>9113</v>
      </c>
      <c r="Q431" t="s">
        <v>152</v>
      </c>
      <c r="R431" t="s">
        <v>9114</v>
      </c>
      <c r="S431" t="s">
        <v>9111</v>
      </c>
      <c r="T431" s="4" t="s">
        <v>9115</v>
      </c>
      <c r="U431" t="s">
        <v>7424</v>
      </c>
      <c r="V431" t="s">
        <v>8846</v>
      </c>
      <c r="W431" t="s">
        <v>2290</v>
      </c>
      <c r="Y431" t="s">
        <v>158</v>
      </c>
      <c r="Z431" t="s">
        <v>262</v>
      </c>
      <c r="AC431" s="3" t="str">
        <f>HYPERLINK("https://api.typeform.com/responses/files/3a1155fdd8d8303086b97f12368c0422d57b71c048b314b1a0cff7b11804bf09/Screenshot_2021_12_21_9.26.14_AM.png")</f>
        <v>https://api.typeform.com/responses/files/3a1155fdd8d8303086b97f12368c0422d57b71c048b314b1a0cff7b11804bf09/Screenshot_2021_12_21_9.26.14_AM.png</v>
      </c>
      <c r="AD431" t="s">
        <v>118</v>
      </c>
      <c r="AE431" t="s">
        <v>729</v>
      </c>
      <c r="AF431" t="s">
        <v>1196</v>
      </c>
      <c r="AG431">
        <v>15.0</v>
      </c>
      <c r="AH431" t="s">
        <v>258</v>
      </c>
      <c r="AI431" t="s">
        <v>543</v>
      </c>
      <c r="AL431" t="s">
        <v>199</v>
      </c>
      <c r="AO431" t="s">
        <v>1479</v>
      </c>
      <c r="AP431">
        <v>4.0</v>
      </c>
      <c r="AQ431" t="s">
        <v>201</v>
      </c>
      <c r="AR431" t="s">
        <v>9116</v>
      </c>
      <c r="AS431" t="b">
        <v>1</v>
      </c>
      <c r="AT431" t="b">
        <v>1</v>
      </c>
      <c r="AV431">
        <v>6.0</v>
      </c>
      <c r="AW431" t="b">
        <v>1</v>
      </c>
      <c r="AX431" t="s">
        <v>1902</v>
      </c>
      <c r="AY431" s="4" t="s">
        <v>518</v>
      </c>
      <c r="AZ431" t="b">
        <v>0</v>
      </c>
      <c r="BA431" t="b">
        <v>1</v>
      </c>
      <c r="BB431" t="b">
        <v>0</v>
      </c>
      <c r="BC431" t="s">
        <v>9117</v>
      </c>
      <c r="BH431" t="s">
        <v>132</v>
      </c>
      <c r="BI431">
        <v>4.0</v>
      </c>
      <c r="BJ431" t="s">
        <v>9118</v>
      </c>
      <c r="BK431">
        <v>4.0</v>
      </c>
      <c r="BL431">
        <v>5.0</v>
      </c>
      <c r="BM431" t="s">
        <v>9119</v>
      </c>
      <c r="BN431">
        <v>4.0</v>
      </c>
      <c r="BO431">
        <v>4.0</v>
      </c>
      <c r="BP431" t="s">
        <v>9120</v>
      </c>
      <c r="BQ431" t="s">
        <v>9121</v>
      </c>
      <c r="BR431" t="s">
        <v>9122</v>
      </c>
      <c r="BS431" t="s">
        <v>9123</v>
      </c>
      <c r="BU431" t="s">
        <v>9124</v>
      </c>
      <c r="BV431" s="3" t="str">
        <f>HYPERLINK("https://api.typeform.com/responses/files/7777c4ad03c8f5b9c5464dcba2234e03ad333da127e91c136d700247bf0166a9/IMG_8208.jpg")</f>
        <v>https://api.typeform.com/responses/files/7777c4ad03c8f5b9c5464dcba2234e03ad333da127e91c136d700247bf0166a9/IMG_8208.jpg</v>
      </c>
      <c r="BW431" t="b">
        <v>1</v>
      </c>
      <c r="BX431" t="s">
        <v>1394</v>
      </c>
      <c r="BY431" t="s">
        <v>140</v>
      </c>
      <c r="CA431" t="s">
        <v>1395</v>
      </c>
      <c r="CD431">
        <v>0.0</v>
      </c>
      <c r="CF431" t="b">
        <v>1</v>
      </c>
      <c r="CG431" t="b">
        <v>0</v>
      </c>
      <c r="CH431" t="s">
        <v>128</v>
      </c>
      <c r="CJ431" t="b">
        <v>1</v>
      </c>
      <c r="CK431" t="b">
        <v>1</v>
      </c>
      <c r="CL431" t="s">
        <v>387</v>
      </c>
      <c r="CN431" t="s">
        <v>9125</v>
      </c>
      <c r="CO431" t="s">
        <v>200</v>
      </c>
      <c r="CR431" t="b">
        <v>1</v>
      </c>
      <c r="CT431">
        <v>0.0</v>
      </c>
      <c r="CU431">
        <v>4.0</v>
      </c>
      <c r="CX431" s="4" t="s">
        <v>2914</v>
      </c>
      <c r="CZ431" s="5">
        <v>44551.793657407405</v>
      </c>
      <c r="DA431" t="s">
        <v>9126</v>
      </c>
    </row>
    <row r="432">
      <c r="A432" t="s">
        <v>98</v>
      </c>
      <c r="D432" t="s">
        <v>9127</v>
      </c>
      <c r="E432" t="s">
        <v>9128</v>
      </c>
      <c r="F432" s="2">
        <v>38755.0</v>
      </c>
      <c r="G432" t="s">
        <v>1360</v>
      </c>
      <c r="I432" s="3" t="str">
        <f>HYPERLINK("https://api.typeform.com/responses/files/e4a4ef00414dd16bc33efe3d356068075f765b275b744254fbe9b03ae433a09f/Screen_Shot_2021_12_21_at_1.25.49_PM.png")</f>
        <v>https://api.typeform.com/responses/files/e4a4ef00414dd16bc33efe3d356068075f765b275b744254fbe9b03ae433a09f/Screen_Shot_2021_12_21_at_1.25.49_PM.png</v>
      </c>
      <c r="J432" t="s">
        <v>9129</v>
      </c>
      <c r="K432" t="b">
        <v>1</v>
      </c>
      <c r="L432" s="4" t="s">
        <v>9130</v>
      </c>
      <c r="M432" t="s">
        <v>9131</v>
      </c>
      <c r="N432" t="s">
        <v>255</v>
      </c>
      <c r="O432" t="s">
        <v>355</v>
      </c>
      <c r="P432" t="s">
        <v>9132</v>
      </c>
      <c r="Q432" t="s">
        <v>152</v>
      </c>
      <c r="R432" t="s">
        <v>9133</v>
      </c>
      <c r="S432" t="s">
        <v>9134</v>
      </c>
      <c r="T432" s="4" t="s">
        <v>9135</v>
      </c>
      <c r="U432" t="s">
        <v>9136</v>
      </c>
      <c r="V432" t="s">
        <v>9137</v>
      </c>
      <c r="W432" t="s">
        <v>2290</v>
      </c>
      <c r="Y432" t="s">
        <v>158</v>
      </c>
      <c r="Z432" t="s">
        <v>262</v>
      </c>
      <c r="AC432" s="3" t="str">
        <f>HYPERLINK("https://api.typeform.com/responses/files/8ca911b136738e63b1c8a89c4b8596a66f258389ec549feb0f2ef447f4b221a9/Screen_Shot_2021_12_21_at_1.37.22_PM.png")</f>
        <v>https://api.typeform.com/responses/files/8ca911b136738e63b1c8a89c4b8596a66f258389ec549feb0f2ef447f4b221a9/Screen_Shot_2021_12_21_at_1.37.22_PM.png</v>
      </c>
      <c r="AD432" t="s">
        <v>1014</v>
      </c>
      <c r="AE432" t="s">
        <v>729</v>
      </c>
      <c r="AF432" t="s">
        <v>2651</v>
      </c>
      <c r="AG432">
        <v>13.0</v>
      </c>
      <c r="AH432" t="s">
        <v>9138</v>
      </c>
      <c r="AI432" t="s">
        <v>543</v>
      </c>
      <c r="AK432" t="s">
        <v>139</v>
      </c>
      <c r="AL432" t="s">
        <v>1043</v>
      </c>
      <c r="AO432" t="s">
        <v>335</v>
      </c>
      <c r="AP432">
        <v>7.0</v>
      </c>
      <c r="AQ432" t="s">
        <v>126</v>
      </c>
      <c r="AR432" t="s">
        <v>3762</v>
      </c>
      <c r="AS432" t="b">
        <v>1</v>
      </c>
      <c r="AT432" t="b">
        <v>1</v>
      </c>
      <c r="AV432">
        <v>3.0</v>
      </c>
      <c r="AW432" t="b">
        <v>0</v>
      </c>
      <c r="AZ432" t="b">
        <v>0</v>
      </c>
      <c r="BA432" t="b">
        <v>0</v>
      </c>
      <c r="BD432" t="s">
        <v>3762</v>
      </c>
      <c r="BH432" t="s">
        <v>132</v>
      </c>
      <c r="BI432">
        <v>1.0</v>
      </c>
      <c r="BJ432" t="s">
        <v>9139</v>
      </c>
      <c r="BK432">
        <v>4.0</v>
      </c>
      <c r="BL432">
        <v>7.0</v>
      </c>
      <c r="BM432" t="s">
        <v>1348</v>
      </c>
      <c r="BN432">
        <v>3.0</v>
      </c>
      <c r="BO432">
        <v>1.0</v>
      </c>
      <c r="BP432" t="s">
        <v>9140</v>
      </c>
      <c r="BQ432" t="s">
        <v>945</v>
      </c>
      <c r="BR432" t="s">
        <v>9141</v>
      </c>
      <c r="BS432" t="s">
        <v>9142</v>
      </c>
      <c r="BU432" t="s">
        <v>139</v>
      </c>
      <c r="BV432" s="3" t="str">
        <f>HYPERLINK("https://api.typeform.com/responses/files/32a9ee45d835877453d1b09a0b37b1002e03783395a51aff071b98ebe961b8d2/DINA_LAGUA_LLUGSA___SPEAKHIRE_2021___Parent_Consent_Form.pdf")</f>
        <v>https://api.typeform.com/responses/files/32a9ee45d835877453d1b09a0b37b1002e03783395a51aff071b98ebe961b8d2/DINA_LAGUA_LLUGSA___SPEAKHIRE_2021___Parent_Consent_Form.pdf</v>
      </c>
      <c r="BW432" t="b">
        <v>1</v>
      </c>
      <c r="BX432" t="s">
        <v>1394</v>
      </c>
      <c r="BY432" t="s">
        <v>140</v>
      </c>
      <c r="CA432" t="s">
        <v>1395</v>
      </c>
      <c r="CD432">
        <v>0.0</v>
      </c>
      <c r="CF432" t="b">
        <v>1</v>
      </c>
      <c r="CG432" t="b">
        <v>1</v>
      </c>
      <c r="CH432" t="s">
        <v>9143</v>
      </c>
      <c r="CJ432" t="b">
        <v>1</v>
      </c>
      <c r="CK432" t="b">
        <v>1</v>
      </c>
      <c r="CL432" t="s">
        <v>2301</v>
      </c>
      <c r="CN432" t="s">
        <v>139</v>
      </c>
      <c r="CO432" t="s">
        <v>1635</v>
      </c>
      <c r="CR432" t="b">
        <v>1</v>
      </c>
      <c r="CT432">
        <v>2.0</v>
      </c>
      <c r="CU432">
        <v>0.0</v>
      </c>
      <c r="CX432" s="4" t="s">
        <v>3933</v>
      </c>
      <c r="CZ432" s="5">
        <v>44551.79488425926</v>
      </c>
      <c r="DA432" t="s">
        <v>9144</v>
      </c>
    </row>
    <row r="433">
      <c r="A433" t="s">
        <v>98</v>
      </c>
      <c r="D433" t="s">
        <v>9145</v>
      </c>
      <c r="E433" t="s">
        <v>3287</v>
      </c>
      <c r="F433" s="2">
        <v>37708.0</v>
      </c>
      <c r="G433" t="s">
        <v>1466</v>
      </c>
      <c r="I433" s="3" t="str">
        <f>HYPERLINK("https://api.typeform.com/responses/files/68d36205f608052c1acfaf274045a7a6175e459f9b90561db36ac2c742a361fe/0682ECCE_F27D_4889_A71A_F81880184E2B_1_105_c.jpeg")</f>
        <v>https://api.typeform.com/responses/files/68d36205f608052c1acfaf274045a7a6175e459f9b90561db36ac2c742a361fe/0682ECCE_F27D_4889_A71A_F81880184E2B_1_105_c.jpeg</v>
      </c>
      <c r="J433" t="s">
        <v>9146</v>
      </c>
      <c r="K433" t="b">
        <v>1</v>
      </c>
      <c r="L433" s="4" t="s">
        <v>9147</v>
      </c>
      <c r="M433" t="s">
        <v>9148</v>
      </c>
      <c r="N433" t="s">
        <v>149</v>
      </c>
      <c r="O433" t="s">
        <v>9149</v>
      </c>
      <c r="P433" t="s">
        <v>9150</v>
      </c>
      <c r="Q433" t="s">
        <v>189</v>
      </c>
      <c r="R433" t="s">
        <v>9146</v>
      </c>
      <c r="S433" t="s">
        <v>9148</v>
      </c>
      <c r="T433" s="4" t="s">
        <v>9151</v>
      </c>
      <c r="U433" t="s">
        <v>9152</v>
      </c>
      <c r="V433" t="s">
        <v>9153</v>
      </c>
      <c r="W433" t="s">
        <v>2290</v>
      </c>
      <c r="Y433" t="s">
        <v>158</v>
      </c>
      <c r="Z433" t="s">
        <v>262</v>
      </c>
      <c r="AC433" s="3" t="str">
        <f>HYPERLINK("https://api.typeform.com/responses/files/cdfc8e39ccef0e2b4725d05d37b0463c2d260436e45f6d617312a9246e3290f5/Screen_Shot_2021_12_21_at_1.23.46_PM.png")</f>
        <v>https://api.typeform.com/responses/files/cdfc8e39ccef0e2b4725d05d37b0463c2d260436e45f6d617312a9246e3290f5/Screen_Shot_2021_12_21_at_1.23.46_PM.png</v>
      </c>
      <c r="AD433" t="s">
        <v>118</v>
      </c>
      <c r="AE433" t="s">
        <v>729</v>
      </c>
      <c r="AF433" t="s">
        <v>2292</v>
      </c>
      <c r="AG433">
        <v>16.0</v>
      </c>
      <c r="AH433" t="s">
        <v>3483</v>
      </c>
      <c r="AI433" t="s">
        <v>205</v>
      </c>
      <c r="AK433" t="s">
        <v>139</v>
      </c>
      <c r="AL433" t="s">
        <v>1043</v>
      </c>
      <c r="AO433" t="s">
        <v>335</v>
      </c>
      <c r="AP433">
        <v>5.0</v>
      </c>
      <c r="AQ433" t="s">
        <v>1520</v>
      </c>
      <c r="AR433" t="s">
        <v>9154</v>
      </c>
      <c r="AS433" t="b">
        <v>1</v>
      </c>
      <c r="AT433" t="b">
        <v>1</v>
      </c>
      <c r="AV433">
        <v>5.0</v>
      </c>
      <c r="AW433" t="b">
        <v>1</v>
      </c>
      <c r="AX433" t="s">
        <v>1902</v>
      </c>
      <c r="AY433" s="4" t="s">
        <v>518</v>
      </c>
      <c r="AZ433" t="b">
        <v>0</v>
      </c>
      <c r="BA433" t="b">
        <v>1</v>
      </c>
      <c r="BB433" t="b">
        <v>1</v>
      </c>
      <c r="BC433" t="s">
        <v>9155</v>
      </c>
      <c r="BH433" t="s">
        <v>132</v>
      </c>
      <c r="BI433">
        <v>5.0</v>
      </c>
      <c r="BJ433" t="s">
        <v>9156</v>
      </c>
      <c r="BK433">
        <v>5.0</v>
      </c>
      <c r="BL433">
        <v>6.0</v>
      </c>
      <c r="BM433" t="s">
        <v>9157</v>
      </c>
      <c r="BN433">
        <v>5.0</v>
      </c>
      <c r="BO433">
        <v>5.0</v>
      </c>
      <c r="BP433" t="s">
        <v>9158</v>
      </c>
      <c r="BQ433" t="s">
        <v>1416</v>
      </c>
      <c r="BR433" t="s">
        <v>9159</v>
      </c>
      <c r="BS433" t="s">
        <v>9160</v>
      </c>
      <c r="BU433" t="s">
        <v>139</v>
      </c>
      <c r="BV433" s="3" t="str">
        <f>HYPERLINK("https://api.typeform.com/responses/files/5fef53e6fb964b810ff07754ea1a6500343516f7566aa508784876497c83faf7/MIGUEL_GONZALEZ___SPEAKHIRE_2021___Parent_Consent_Form.pdf")</f>
        <v>https://api.typeform.com/responses/files/5fef53e6fb964b810ff07754ea1a6500343516f7566aa508784876497c83faf7/MIGUEL_GONZALEZ___SPEAKHIRE_2021___Parent_Consent_Form.pdf</v>
      </c>
      <c r="BW433" t="b">
        <v>1</v>
      </c>
      <c r="BX433" t="s">
        <v>1394</v>
      </c>
      <c r="BY433" t="s">
        <v>140</v>
      </c>
      <c r="CA433" t="s">
        <v>1395</v>
      </c>
      <c r="CD433">
        <v>0.0</v>
      </c>
      <c r="CF433" t="b">
        <v>1</v>
      </c>
      <c r="CG433" t="b">
        <v>1</v>
      </c>
      <c r="CH433" t="s">
        <v>705</v>
      </c>
      <c r="CJ433" t="b">
        <v>1</v>
      </c>
      <c r="CK433" t="b">
        <v>1</v>
      </c>
      <c r="CL433" t="s">
        <v>2301</v>
      </c>
      <c r="CM433" t="s">
        <v>2301</v>
      </c>
      <c r="CO433" t="s">
        <v>1635</v>
      </c>
      <c r="CQ433" t="s">
        <v>2301</v>
      </c>
      <c r="CR433" t="b">
        <v>1</v>
      </c>
      <c r="CT433">
        <v>1.0</v>
      </c>
      <c r="CU433">
        <v>5.0</v>
      </c>
      <c r="CX433" s="4" t="s">
        <v>2914</v>
      </c>
      <c r="CZ433" s="5">
        <v>44551.797314814816</v>
      </c>
      <c r="DA433" t="s">
        <v>9161</v>
      </c>
    </row>
    <row r="434">
      <c r="A434" t="s">
        <v>98</v>
      </c>
      <c r="D434" t="s">
        <v>9162</v>
      </c>
      <c r="E434" t="s">
        <v>9163</v>
      </c>
      <c r="F434" s="2">
        <v>38398.0</v>
      </c>
      <c r="G434" t="s">
        <v>1360</v>
      </c>
      <c r="I434" s="3" t="str">
        <f>HYPERLINK("https://api.typeform.com/responses/files/9a6209b0f9965023844851a586ffddc86adb68924611fa396f91756014ef18a4/8e7c2dbc_ac5a_4e01_9404_670d6df5779c__1_.jpg")</f>
        <v>https://api.typeform.com/responses/files/9a6209b0f9965023844851a586ffddc86adb68924611fa396f91756014ef18a4/8e7c2dbc_ac5a_4e01_9404_670d6df5779c__1_.jpg</v>
      </c>
      <c r="J434" t="s">
        <v>9164</v>
      </c>
      <c r="K434" t="b">
        <v>1</v>
      </c>
      <c r="L434" s="4" t="s">
        <v>9165</v>
      </c>
      <c r="M434" t="s">
        <v>9166</v>
      </c>
      <c r="N434" t="s">
        <v>149</v>
      </c>
      <c r="O434" t="s">
        <v>9167</v>
      </c>
      <c r="P434" t="s">
        <v>9168</v>
      </c>
      <c r="Q434" t="s">
        <v>189</v>
      </c>
      <c r="R434" t="s">
        <v>9169</v>
      </c>
      <c r="S434" t="s">
        <v>9166</v>
      </c>
      <c r="T434" s="4" t="s">
        <v>9170</v>
      </c>
      <c r="U434" t="s">
        <v>9171</v>
      </c>
      <c r="V434" t="s">
        <v>9172</v>
      </c>
      <c r="W434" t="s">
        <v>2290</v>
      </c>
      <c r="Y434" t="s">
        <v>158</v>
      </c>
      <c r="Z434" t="s">
        <v>262</v>
      </c>
      <c r="AC434" s="3" t="str">
        <f>HYPERLINK("https://api.typeform.com/responses/files/f518a42b4b568abc3c790948102f6a4ef4cf3f43daa158f29a95a4318eefd1c5/IMG_9437.jpg")</f>
        <v>https://api.typeform.com/responses/files/f518a42b4b568abc3c790948102f6a4ef4cf3f43daa158f29a95a4318eefd1c5/IMG_9437.jpg</v>
      </c>
      <c r="AD434" t="s">
        <v>118</v>
      </c>
      <c r="AE434" t="s">
        <v>729</v>
      </c>
      <c r="AF434" t="s">
        <v>2651</v>
      </c>
      <c r="AG434">
        <v>11.0</v>
      </c>
      <c r="AH434" t="s">
        <v>5693</v>
      </c>
      <c r="AI434" t="s">
        <v>162</v>
      </c>
      <c r="AK434" t="s">
        <v>9173</v>
      </c>
      <c r="AL434" t="s">
        <v>199</v>
      </c>
      <c r="AO434" t="s">
        <v>125</v>
      </c>
      <c r="AP434">
        <v>5.0</v>
      </c>
      <c r="AQ434" t="s">
        <v>126</v>
      </c>
      <c r="AR434" t="s">
        <v>9174</v>
      </c>
      <c r="AS434" t="b">
        <v>1</v>
      </c>
      <c r="AT434" t="b">
        <v>1</v>
      </c>
      <c r="AV434">
        <v>5.0</v>
      </c>
      <c r="AW434" t="b">
        <v>0</v>
      </c>
      <c r="AZ434" t="b">
        <v>0</v>
      </c>
      <c r="BA434" t="b">
        <v>0</v>
      </c>
      <c r="BD434" t="s">
        <v>4801</v>
      </c>
      <c r="BH434" t="s">
        <v>132</v>
      </c>
      <c r="BI434">
        <v>5.0</v>
      </c>
      <c r="BJ434" t="s">
        <v>9175</v>
      </c>
      <c r="BK434">
        <v>4.0</v>
      </c>
      <c r="BL434">
        <v>4.0</v>
      </c>
      <c r="BM434" t="s">
        <v>9176</v>
      </c>
      <c r="BN434">
        <v>4.0</v>
      </c>
      <c r="BO434">
        <v>5.0</v>
      </c>
      <c r="BP434" t="s">
        <v>9177</v>
      </c>
      <c r="BQ434" t="s">
        <v>1050</v>
      </c>
      <c r="BR434" t="s">
        <v>9178</v>
      </c>
      <c r="BS434" t="s">
        <v>9179</v>
      </c>
      <c r="BU434" t="s">
        <v>9180</v>
      </c>
      <c r="BV434" s="3" t="str">
        <f>HYPERLINK("https://api.typeform.com/responses/files/e27e139838834604d003b26c069b1558615742e9f3875e2dfe2d841f98a5949e/KEYLA_LLIGUIN___SPEAKHIRE_2021___Parent_Consent_Form.pdf")</f>
        <v>https://api.typeform.com/responses/files/e27e139838834604d003b26c069b1558615742e9f3875e2dfe2d841f98a5949e/KEYLA_LLIGUIN___SPEAKHIRE_2021___Parent_Consent_Form.pdf</v>
      </c>
      <c r="BW434" t="b">
        <v>1</v>
      </c>
      <c r="BX434" t="s">
        <v>1394</v>
      </c>
      <c r="BY434" t="s">
        <v>140</v>
      </c>
      <c r="CA434" t="s">
        <v>1395</v>
      </c>
      <c r="CD434">
        <v>0.0</v>
      </c>
      <c r="CF434" t="b">
        <v>1</v>
      </c>
      <c r="CG434" t="b">
        <v>1</v>
      </c>
      <c r="CH434" t="s">
        <v>1935</v>
      </c>
      <c r="CJ434" t="b">
        <v>1</v>
      </c>
      <c r="CK434" t="b">
        <v>1</v>
      </c>
      <c r="CL434" t="s">
        <v>2301</v>
      </c>
      <c r="CM434" t="s">
        <v>2301</v>
      </c>
      <c r="CO434" t="s">
        <v>3491</v>
      </c>
      <c r="CQ434" t="s">
        <v>2301</v>
      </c>
      <c r="CR434" t="b">
        <v>1</v>
      </c>
      <c r="CT434">
        <v>3.0</v>
      </c>
      <c r="CU434">
        <v>0.0</v>
      </c>
      <c r="CX434" s="4" t="s">
        <v>734</v>
      </c>
      <c r="CZ434" s="5">
        <v>44552.03859953704</v>
      </c>
      <c r="DA434" t="s">
        <v>9181</v>
      </c>
    </row>
    <row r="435">
      <c r="A435" t="s">
        <v>98</v>
      </c>
      <c r="D435" t="s">
        <v>9182</v>
      </c>
      <c r="E435" t="s">
        <v>9183</v>
      </c>
      <c r="F435" s="2">
        <v>38492.0</v>
      </c>
      <c r="G435" t="s">
        <v>1360</v>
      </c>
      <c r="I435" s="3" t="str">
        <f>HYPERLINK("https://api.typeform.com/responses/files/87eeab0065d45cbfcfbc20d8d1d9d6d29f72b293cdb6bd1313174e7e907b5d35/IMG_5836.jpg")</f>
        <v>https://api.typeform.com/responses/files/87eeab0065d45cbfcfbc20d8d1d9d6d29f72b293cdb6bd1313174e7e907b5d35/IMG_5836.jpg</v>
      </c>
      <c r="J435" t="s">
        <v>9184</v>
      </c>
      <c r="K435" t="b">
        <v>1</v>
      </c>
      <c r="L435" s="4" t="s">
        <v>9185</v>
      </c>
      <c r="M435" t="s">
        <v>9186</v>
      </c>
      <c r="N435" t="s">
        <v>255</v>
      </c>
      <c r="P435" t="s">
        <v>9187</v>
      </c>
      <c r="Q435" t="s">
        <v>189</v>
      </c>
      <c r="R435" t="s">
        <v>9188</v>
      </c>
      <c r="S435" t="s">
        <v>9186</v>
      </c>
      <c r="T435" s="4" t="s">
        <v>9189</v>
      </c>
      <c r="U435" t="s">
        <v>8154</v>
      </c>
      <c r="V435" t="s">
        <v>9190</v>
      </c>
      <c r="W435" t="s">
        <v>261</v>
      </c>
      <c r="Y435" t="s">
        <v>158</v>
      </c>
      <c r="Z435" t="s">
        <v>262</v>
      </c>
      <c r="AC435" s="3" t="str">
        <f>HYPERLINK("https://api.typeform.com/responses/files/fd7848c6443869f10014c7e09f9d74462f701c71baf33026db937891cc435a7d/Liz.Yosandy.Transcript.pdf")</f>
        <v>https://api.typeform.com/responses/files/fd7848c6443869f10014c7e09f9d74462f701c71baf33026db937891cc435a7d/Liz.Yosandy.Transcript.pdf</v>
      </c>
      <c r="AD435" t="s">
        <v>118</v>
      </c>
      <c r="AE435" t="s">
        <v>729</v>
      </c>
      <c r="AF435" t="s">
        <v>197</v>
      </c>
      <c r="AG435">
        <v>2.0</v>
      </c>
      <c r="AH435" s="4" t="s">
        <v>4356</v>
      </c>
      <c r="AI435" t="s">
        <v>121</v>
      </c>
      <c r="AK435" t="s">
        <v>9191</v>
      </c>
      <c r="AL435" t="s">
        <v>967</v>
      </c>
      <c r="AO435" t="s">
        <v>335</v>
      </c>
      <c r="AP435">
        <v>5.0</v>
      </c>
      <c r="AQ435" t="s">
        <v>201</v>
      </c>
      <c r="AR435" t="s">
        <v>9192</v>
      </c>
      <c r="AS435" t="b">
        <v>1</v>
      </c>
      <c r="AT435" t="b">
        <v>1</v>
      </c>
      <c r="AV435">
        <v>5.0</v>
      </c>
      <c r="AW435" t="b">
        <v>1</v>
      </c>
      <c r="AX435" s="4" t="s">
        <v>130</v>
      </c>
      <c r="AY435" s="4" t="s">
        <v>518</v>
      </c>
      <c r="AZ435" t="b">
        <v>1</v>
      </c>
      <c r="BA435" t="b">
        <v>0</v>
      </c>
      <c r="BD435" t="s">
        <v>9193</v>
      </c>
      <c r="BH435" t="s">
        <v>132</v>
      </c>
      <c r="BI435">
        <v>5.0</v>
      </c>
      <c r="BJ435" t="s">
        <v>9194</v>
      </c>
      <c r="BK435">
        <v>5.0</v>
      </c>
      <c r="BL435">
        <v>6.0</v>
      </c>
      <c r="BM435" t="s">
        <v>9195</v>
      </c>
      <c r="BN435">
        <v>4.0</v>
      </c>
      <c r="BO435">
        <v>6.0</v>
      </c>
      <c r="BP435" t="s">
        <v>9196</v>
      </c>
      <c r="BQ435" t="s">
        <v>5850</v>
      </c>
      <c r="BR435" t="s">
        <v>9197</v>
      </c>
      <c r="BS435" t="s">
        <v>9198</v>
      </c>
      <c r="BU435" t="s">
        <v>9199</v>
      </c>
      <c r="BV435" s="3" t="str">
        <f>HYPERLINK("https://api.typeform.com/responses/files/64c98fefe707ea1cfd946932408495669e7e44c16355e64b259a006cc4fc23db/IMG_5848.jpg")</f>
        <v>https://api.typeform.com/responses/files/64c98fefe707ea1cfd946932408495669e7e44c16355e64b259a006cc4fc23db/IMG_5848.jpg</v>
      </c>
      <c r="BW435" t="b">
        <v>1</v>
      </c>
      <c r="BX435" t="s">
        <v>1394</v>
      </c>
      <c r="BY435" t="s">
        <v>140</v>
      </c>
      <c r="CA435" t="s">
        <v>1395</v>
      </c>
      <c r="CD435">
        <v>0.0</v>
      </c>
      <c r="CF435" t="b">
        <v>1</v>
      </c>
      <c r="CG435" t="b">
        <v>0</v>
      </c>
      <c r="CH435" t="s">
        <v>705</v>
      </c>
      <c r="CJ435" t="b">
        <v>1</v>
      </c>
      <c r="CK435" t="b">
        <v>0</v>
      </c>
      <c r="CL435" t="s">
        <v>541</v>
      </c>
      <c r="CM435" t="s">
        <v>198</v>
      </c>
      <c r="CO435" t="s">
        <v>1635</v>
      </c>
      <c r="CR435" t="b">
        <v>1</v>
      </c>
      <c r="CT435">
        <v>0.0</v>
      </c>
      <c r="CU435">
        <v>0.0</v>
      </c>
      <c r="CX435" s="4" t="s">
        <v>9200</v>
      </c>
      <c r="CZ435" s="5">
        <v>44552.09579861111</v>
      </c>
      <c r="DA435" t="s">
        <v>9201</v>
      </c>
    </row>
    <row r="436">
      <c r="A436" t="s">
        <v>98</v>
      </c>
      <c r="D436" t="s">
        <v>8891</v>
      </c>
      <c r="E436" t="s">
        <v>9202</v>
      </c>
      <c r="F436" s="2">
        <v>38478.0</v>
      </c>
      <c r="G436" t="s">
        <v>1466</v>
      </c>
      <c r="I436" s="3" t="str">
        <f>HYPERLINK("https://api.typeform.com/responses/files/7c8677cf4323792f99910cca64fe20b5a0afe9383a7d68ae3d9886e7db653411/4f6abf78_3444_4004_aa1a_de32669eaf2e.jpg")</f>
        <v>https://api.typeform.com/responses/files/7c8677cf4323792f99910cca64fe20b5a0afe9383a7d68ae3d9886e7db653411/4f6abf78_3444_4004_aa1a_de32669eaf2e.jpg</v>
      </c>
      <c r="J436" t="s">
        <v>9203</v>
      </c>
      <c r="K436" t="b">
        <v>1</v>
      </c>
      <c r="L436" s="4" t="s">
        <v>9204</v>
      </c>
      <c r="M436" t="s">
        <v>9205</v>
      </c>
      <c r="N436" t="s">
        <v>255</v>
      </c>
      <c r="O436" t="s">
        <v>9206</v>
      </c>
      <c r="P436" t="s">
        <v>9207</v>
      </c>
      <c r="Q436" t="s">
        <v>189</v>
      </c>
      <c r="R436" t="s">
        <v>9208</v>
      </c>
      <c r="S436" t="s">
        <v>9205</v>
      </c>
      <c r="T436" s="4" t="s">
        <v>9209</v>
      </c>
      <c r="U436" t="s">
        <v>9210</v>
      </c>
      <c r="V436" t="s">
        <v>7425</v>
      </c>
      <c r="W436" t="s">
        <v>2290</v>
      </c>
      <c r="Y436" t="s">
        <v>158</v>
      </c>
      <c r="Z436" t="s">
        <v>262</v>
      </c>
      <c r="AC436" s="3" t="str">
        <f>HYPERLINK("https://api.typeform.com/responses/files/bee3769b0e4b5baa5553b48948cb4450814f4488aec12b7c4e8d82b137ac7c0b/3e149640_b0ae_4e2e_a85d_331e3a9aa244.jpg")</f>
        <v>https://api.typeform.com/responses/files/bee3769b0e4b5baa5553b48948cb4450814f4488aec12b7c4e8d82b137ac7c0b/3e149640_b0ae_4e2e_a85d_331e3a9aa244.jpg</v>
      </c>
      <c r="AD436" t="s">
        <v>118</v>
      </c>
      <c r="AE436" t="s">
        <v>729</v>
      </c>
      <c r="AF436" t="s">
        <v>2651</v>
      </c>
      <c r="AG436">
        <v>14.0</v>
      </c>
      <c r="AH436" t="s">
        <v>7222</v>
      </c>
      <c r="AI436" t="s">
        <v>543</v>
      </c>
      <c r="AL436" t="s">
        <v>199</v>
      </c>
      <c r="AO436" t="s">
        <v>335</v>
      </c>
      <c r="AP436">
        <v>5.0</v>
      </c>
      <c r="AQ436" t="s">
        <v>2240</v>
      </c>
      <c r="AR436" t="s">
        <v>9211</v>
      </c>
      <c r="AS436" t="b">
        <v>1</v>
      </c>
      <c r="AT436" t="b">
        <v>0</v>
      </c>
      <c r="AV436">
        <v>5.0</v>
      </c>
      <c r="AW436" t="b">
        <v>0</v>
      </c>
      <c r="AZ436" t="b">
        <v>0</v>
      </c>
      <c r="BA436" t="b">
        <v>0</v>
      </c>
      <c r="BD436" t="s">
        <v>9212</v>
      </c>
      <c r="BH436" t="s">
        <v>132</v>
      </c>
      <c r="BI436">
        <v>4.0</v>
      </c>
      <c r="BJ436" t="s">
        <v>7222</v>
      </c>
      <c r="BK436">
        <v>4.0</v>
      </c>
      <c r="BL436">
        <v>5.0</v>
      </c>
      <c r="BM436" t="s">
        <v>9213</v>
      </c>
      <c r="BN436">
        <v>4.0</v>
      </c>
      <c r="BO436">
        <v>5.0</v>
      </c>
      <c r="BP436" t="s">
        <v>9214</v>
      </c>
      <c r="BQ436" t="s">
        <v>9215</v>
      </c>
      <c r="BR436" t="s">
        <v>9216</v>
      </c>
      <c r="BS436" t="s">
        <v>9217</v>
      </c>
      <c r="BU436" t="s">
        <v>9218</v>
      </c>
      <c r="BV436" s="3" t="str">
        <f>HYPERLINK("https://api.typeform.com/responses/files/d3649227e761277dab76083c918fa16dbb48d0bf27496f50177ad172a25dc181/ALESSANDRO_GUZMAN_MARTILLO___SPEAKHIRE_2021___Parent_Consent_Form.pdf")</f>
        <v>https://api.typeform.com/responses/files/d3649227e761277dab76083c918fa16dbb48d0bf27496f50177ad172a25dc181/ALESSANDRO_GUZMAN_MARTILLO___SPEAKHIRE_2021___Parent_Consent_Form.pdf</v>
      </c>
      <c r="BW436" t="b">
        <v>1</v>
      </c>
      <c r="BX436" t="s">
        <v>1394</v>
      </c>
      <c r="BY436" t="s">
        <v>140</v>
      </c>
      <c r="CA436" t="s">
        <v>1395</v>
      </c>
      <c r="CD436">
        <v>0.0</v>
      </c>
      <c r="CF436" t="b">
        <v>0</v>
      </c>
      <c r="CG436" t="b">
        <v>0</v>
      </c>
      <c r="CH436" t="s">
        <v>9219</v>
      </c>
      <c r="CJ436" t="b">
        <v>0</v>
      </c>
      <c r="CK436" t="b">
        <v>1</v>
      </c>
      <c r="CL436" t="s">
        <v>2301</v>
      </c>
      <c r="CN436" t="s">
        <v>7222</v>
      </c>
      <c r="CO436" t="s">
        <v>1635</v>
      </c>
      <c r="CR436" t="b">
        <v>1</v>
      </c>
      <c r="CT436">
        <v>0.0</v>
      </c>
      <c r="CU436">
        <v>0.0</v>
      </c>
      <c r="CX436" s="4" t="s">
        <v>3882</v>
      </c>
      <c r="CZ436" s="5">
        <v>44552.12201388889</v>
      </c>
      <c r="DA436" t="s">
        <v>9220</v>
      </c>
    </row>
    <row r="437">
      <c r="A437" t="s">
        <v>98</v>
      </c>
      <c r="D437" t="s">
        <v>9221</v>
      </c>
      <c r="E437" t="s">
        <v>9222</v>
      </c>
      <c r="F437" s="2">
        <v>38675.0</v>
      </c>
      <c r="G437" t="s">
        <v>1360</v>
      </c>
      <c r="I437" s="3" t="str">
        <f>HYPERLINK("https://api.typeform.com/responses/files/0b80218c9c41242e8322fa2fbf6b4b21bf7fcf1b41846a926609b6d9c50bd09a/unnamed.jpg")</f>
        <v>https://api.typeform.com/responses/files/0b80218c9c41242e8322fa2fbf6b4b21bf7fcf1b41846a926609b6d9c50bd09a/unnamed.jpg</v>
      </c>
      <c r="J437" t="s">
        <v>9223</v>
      </c>
      <c r="K437" t="b">
        <v>1</v>
      </c>
      <c r="L437" s="4" t="s">
        <v>9224</v>
      </c>
      <c r="M437" t="s">
        <v>9225</v>
      </c>
      <c r="N437" t="s">
        <v>255</v>
      </c>
      <c r="P437" t="s">
        <v>9226</v>
      </c>
      <c r="Q437" t="s">
        <v>189</v>
      </c>
      <c r="R437" t="s">
        <v>9227</v>
      </c>
      <c r="S437" t="s">
        <v>9225</v>
      </c>
      <c r="T437" s="4" t="s">
        <v>9228</v>
      </c>
      <c r="U437" t="s">
        <v>8154</v>
      </c>
      <c r="V437" t="s">
        <v>9229</v>
      </c>
      <c r="W437" t="s">
        <v>261</v>
      </c>
      <c r="Y437" t="s">
        <v>158</v>
      </c>
      <c r="Z437" t="s">
        <v>262</v>
      </c>
      <c r="AC437" s="3" t="str">
        <f>HYPERLINK("https://api.typeform.com/responses/files/3a0d48d6e72cd5fef92f69a8cc00c15cd467afc70c1f0bf75f2188b8985ab47e/1.jpg")</f>
        <v>https://api.typeform.com/responses/files/3a0d48d6e72cd5fef92f69a8cc00c15cd467afc70c1f0bf75f2188b8985ab47e/1.jpg</v>
      </c>
      <c r="AD437" t="s">
        <v>118</v>
      </c>
      <c r="AE437" t="s">
        <v>1220</v>
      </c>
      <c r="AF437" t="s">
        <v>197</v>
      </c>
      <c r="AG437">
        <v>0.0</v>
      </c>
      <c r="AH437" t="s">
        <v>9230</v>
      </c>
      <c r="AI437" t="s">
        <v>121</v>
      </c>
      <c r="AK437" t="s">
        <v>4263</v>
      </c>
      <c r="AL437" t="s">
        <v>1925</v>
      </c>
      <c r="AO437" t="s">
        <v>125</v>
      </c>
      <c r="AP437">
        <v>7.0</v>
      </c>
      <c r="AQ437" t="s">
        <v>126</v>
      </c>
      <c r="AR437" t="s">
        <v>9231</v>
      </c>
      <c r="AS437" t="b">
        <v>1</v>
      </c>
      <c r="AT437" t="b">
        <v>1</v>
      </c>
      <c r="AV437">
        <v>7.0</v>
      </c>
      <c r="AW437" t="b">
        <v>1</v>
      </c>
      <c r="AX437" s="4" t="s">
        <v>130</v>
      </c>
      <c r="AY437" s="4" t="s">
        <v>170</v>
      </c>
      <c r="AZ437" t="b">
        <v>0</v>
      </c>
      <c r="BA437" t="b">
        <v>1</v>
      </c>
      <c r="BB437" t="b">
        <v>0</v>
      </c>
      <c r="BC437" t="s">
        <v>9232</v>
      </c>
      <c r="BH437" t="s">
        <v>132</v>
      </c>
      <c r="BI437">
        <v>5.0</v>
      </c>
      <c r="BJ437" t="s">
        <v>9233</v>
      </c>
      <c r="BK437">
        <v>5.0</v>
      </c>
      <c r="BL437">
        <v>6.0</v>
      </c>
      <c r="BM437" t="s">
        <v>9234</v>
      </c>
      <c r="BN437">
        <v>5.0</v>
      </c>
      <c r="BO437">
        <v>5.0</v>
      </c>
      <c r="BP437" t="s">
        <v>9235</v>
      </c>
      <c r="BQ437" t="s">
        <v>9236</v>
      </c>
      <c r="BR437" t="s">
        <v>9237</v>
      </c>
      <c r="BS437" t="s">
        <v>9238</v>
      </c>
      <c r="BU437" t="s">
        <v>9239</v>
      </c>
      <c r="BV437" s="3" t="str">
        <f>HYPERLINK("https://api.typeform.com/responses/files/87d41e9f06134de213da1aa8cf64b8ccf30fa32b5ff45df10cf7aee0d822f3e7/unnamed.jpg")</f>
        <v>https://api.typeform.com/responses/files/87d41e9f06134de213da1aa8cf64b8ccf30fa32b5ff45df10cf7aee0d822f3e7/unnamed.jpg</v>
      </c>
      <c r="BW437" t="b">
        <v>1</v>
      </c>
      <c r="BX437" t="s">
        <v>1394</v>
      </c>
      <c r="BY437" t="s">
        <v>140</v>
      </c>
      <c r="CA437" t="s">
        <v>1395</v>
      </c>
      <c r="CD437">
        <v>0.0</v>
      </c>
      <c r="CF437" t="b">
        <v>1</v>
      </c>
      <c r="CG437" t="b">
        <v>0</v>
      </c>
      <c r="CH437" t="s">
        <v>1886</v>
      </c>
      <c r="CJ437" t="b">
        <v>1</v>
      </c>
      <c r="CK437" t="b">
        <v>0</v>
      </c>
      <c r="CL437" t="s">
        <v>198</v>
      </c>
      <c r="CM437" t="s">
        <v>541</v>
      </c>
      <c r="CO437" t="s">
        <v>1635</v>
      </c>
      <c r="CR437" t="b">
        <v>1</v>
      </c>
      <c r="CT437">
        <v>1.0</v>
      </c>
      <c r="CU437">
        <v>0.0</v>
      </c>
      <c r="CX437" s="4" t="s">
        <v>9240</v>
      </c>
      <c r="CZ437" s="5">
        <v>44552.1387962963</v>
      </c>
      <c r="DA437" t="s">
        <v>9241</v>
      </c>
    </row>
    <row r="438">
      <c r="A438" t="s">
        <v>98</v>
      </c>
      <c r="D438" t="s">
        <v>9242</v>
      </c>
      <c r="E438" t="s">
        <v>9243</v>
      </c>
      <c r="F438" s="2">
        <v>38814.0</v>
      </c>
      <c r="G438" t="s">
        <v>1360</v>
      </c>
      <c r="I438" s="3" t="str">
        <f>HYPERLINK("https://api.typeform.com/responses/files/f50b212d56ff8a1fced6dedf0370c8d7c48c7b681daadeef893c345e211c5d35/IMG_0755.jpg")</f>
        <v>https://api.typeform.com/responses/files/f50b212d56ff8a1fced6dedf0370c8d7c48c7b681daadeef893c345e211c5d35/IMG_0755.jpg</v>
      </c>
      <c r="J438" t="s">
        <v>9244</v>
      </c>
      <c r="K438" t="b">
        <v>1</v>
      </c>
      <c r="L438" s="4" t="s">
        <v>9245</v>
      </c>
      <c r="M438" t="s">
        <v>9246</v>
      </c>
      <c r="N438" t="s">
        <v>255</v>
      </c>
      <c r="P438" t="s">
        <v>9247</v>
      </c>
      <c r="Q438" t="s">
        <v>189</v>
      </c>
      <c r="R438" t="s">
        <v>9248</v>
      </c>
      <c r="S438" t="s">
        <v>9246</v>
      </c>
      <c r="T438" s="4" t="s">
        <v>9249</v>
      </c>
      <c r="U438" t="s">
        <v>8154</v>
      </c>
      <c r="V438" t="s">
        <v>9250</v>
      </c>
      <c r="W438" t="s">
        <v>261</v>
      </c>
      <c r="Y438" t="s">
        <v>158</v>
      </c>
      <c r="Z438" t="s">
        <v>195</v>
      </c>
      <c r="AC438" s="3" t="str">
        <f>HYPERLINK("https://api.typeform.com/responses/files/fbbefb2a3c2531510715c7cd6378a81e94e4a498c54746e36dd06358410d9f3c/20211221123031307.pdf")</f>
        <v>https://api.typeform.com/responses/files/fbbefb2a3c2531510715c7cd6378a81e94e4a498c54746e36dd06358410d9f3c/20211221123031307.pdf</v>
      </c>
      <c r="AD438" t="s">
        <v>118</v>
      </c>
      <c r="AE438" t="s">
        <v>1220</v>
      </c>
      <c r="AF438" t="s">
        <v>197</v>
      </c>
      <c r="AG438">
        <v>0.0</v>
      </c>
      <c r="AH438" s="4" t="s">
        <v>5053</v>
      </c>
      <c r="AI438" t="s">
        <v>121</v>
      </c>
      <c r="AK438" t="s">
        <v>139</v>
      </c>
      <c r="AL438" t="s">
        <v>1043</v>
      </c>
      <c r="AO438" t="s">
        <v>125</v>
      </c>
      <c r="AP438">
        <v>5.0</v>
      </c>
      <c r="AQ438" t="s">
        <v>201</v>
      </c>
      <c r="AR438" t="s">
        <v>9251</v>
      </c>
      <c r="AS438" t="b">
        <v>1</v>
      </c>
      <c r="AT438" t="b">
        <v>0</v>
      </c>
      <c r="AV438">
        <v>4.0</v>
      </c>
      <c r="AW438" t="b">
        <v>0</v>
      </c>
      <c r="AZ438" t="b">
        <v>1</v>
      </c>
      <c r="BA438" t="b">
        <v>1</v>
      </c>
      <c r="BB438" t="b">
        <v>0</v>
      </c>
      <c r="BC438" t="s">
        <v>9252</v>
      </c>
      <c r="BH438" t="s">
        <v>132</v>
      </c>
      <c r="BI438">
        <v>2.0</v>
      </c>
      <c r="BJ438" t="s">
        <v>9253</v>
      </c>
      <c r="BK438">
        <v>3.0</v>
      </c>
      <c r="BL438">
        <v>3.0</v>
      </c>
      <c r="BM438" t="s">
        <v>9254</v>
      </c>
      <c r="BN438">
        <v>1.0</v>
      </c>
      <c r="BO438">
        <v>4.0</v>
      </c>
      <c r="BP438" t="s">
        <v>9255</v>
      </c>
      <c r="BQ438" t="s">
        <v>3728</v>
      </c>
      <c r="BR438" t="s">
        <v>9256</v>
      </c>
      <c r="BS438" t="s">
        <v>9257</v>
      </c>
      <c r="BU438" t="s">
        <v>9258</v>
      </c>
      <c r="BV438" s="3" t="str">
        <f>HYPERLINK("https://api.typeform.com/responses/files/af6247967de11ee72ae7fcabc9ac1e73b72553a4e24380a59737f1511e7817e4/IMG_3531.jpg")</f>
        <v>https://api.typeform.com/responses/files/af6247967de11ee72ae7fcabc9ac1e73b72553a4e24380a59737f1511e7817e4/IMG_3531.jpg</v>
      </c>
      <c r="BW438" t="b">
        <v>1</v>
      </c>
      <c r="BX438" t="s">
        <v>1394</v>
      </c>
      <c r="BY438" t="s">
        <v>140</v>
      </c>
      <c r="CA438" t="s">
        <v>1395</v>
      </c>
      <c r="CD438">
        <v>0.0</v>
      </c>
      <c r="CF438" t="b">
        <v>1</v>
      </c>
      <c r="CG438" t="b">
        <v>1</v>
      </c>
      <c r="CH438" t="s">
        <v>1557</v>
      </c>
      <c r="CJ438" t="b">
        <v>0</v>
      </c>
      <c r="CK438" t="b">
        <v>1</v>
      </c>
      <c r="CL438" t="s">
        <v>198</v>
      </c>
      <c r="CO438" t="s">
        <v>2500</v>
      </c>
      <c r="CR438" t="b">
        <v>1</v>
      </c>
      <c r="CT438">
        <v>0.0</v>
      </c>
      <c r="CU438">
        <v>0.0</v>
      </c>
      <c r="CX438" s="4" t="s">
        <v>9259</v>
      </c>
      <c r="CZ438" s="5">
        <v>44552.16200231481</v>
      </c>
      <c r="DA438" t="s">
        <v>9260</v>
      </c>
    </row>
    <row r="439">
      <c r="A439" t="s">
        <v>98</v>
      </c>
      <c r="D439" t="s">
        <v>9261</v>
      </c>
      <c r="E439" t="s">
        <v>9262</v>
      </c>
      <c r="F439" s="2">
        <v>37438.0</v>
      </c>
      <c r="G439" t="s">
        <v>1360</v>
      </c>
      <c r="I439" s="3" t="str">
        <f>HYPERLINK("https://api.typeform.com/responses/files/d381a0b64e71c73de4350a3e792ead17503599e99766ed38e33a3daf769f0224/Jailyha_Eberhart_Photo.jpg")</f>
        <v>https://api.typeform.com/responses/files/d381a0b64e71c73de4350a3e792ead17503599e99766ed38e33a3daf769f0224/Jailyha_Eberhart_Photo.jpg</v>
      </c>
      <c r="J439" t="s">
        <v>9263</v>
      </c>
      <c r="K439" t="b">
        <v>1</v>
      </c>
      <c r="L439" s="4" t="s">
        <v>9264</v>
      </c>
      <c r="M439" t="s">
        <v>9265</v>
      </c>
      <c r="N439" t="s">
        <v>255</v>
      </c>
      <c r="O439" t="s">
        <v>9266</v>
      </c>
      <c r="P439" t="s">
        <v>9267</v>
      </c>
      <c r="Q439" t="s">
        <v>189</v>
      </c>
      <c r="R439" t="s">
        <v>9268</v>
      </c>
      <c r="S439" t="s">
        <v>9269</v>
      </c>
      <c r="T439" s="4" t="s">
        <v>9264</v>
      </c>
      <c r="U439" t="s">
        <v>9270</v>
      </c>
      <c r="V439" t="s">
        <v>9271</v>
      </c>
      <c r="W439" t="s">
        <v>113</v>
      </c>
      <c r="Y439" t="s">
        <v>158</v>
      </c>
      <c r="Z439" t="s">
        <v>159</v>
      </c>
      <c r="AC439" s="3" t="str">
        <f>HYPERLINK("https://api.typeform.com/responses/files/29fde1a470592714ff11d4db7732dda42c961ea978df1b649acbd5dafa5c85a2/Jaliyha_Eberhart_report_card.pdf")</f>
        <v>https://api.typeform.com/responses/files/29fde1a470592714ff11d4db7732dda42c961ea978df1b649acbd5dafa5c85a2/Jaliyha_Eberhart_report_card.pdf</v>
      </c>
      <c r="AD439" t="s">
        <v>118</v>
      </c>
      <c r="AE439" t="s">
        <v>1780</v>
      </c>
      <c r="AI439" t="s">
        <v>121</v>
      </c>
      <c r="AK439" t="s">
        <v>9272</v>
      </c>
      <c r="AL439" t="s">
        <v>2490</v>
      </c>
      <c r="AO439" t="s">
        <v>486</v>
      </c>
      <c r="AP439">
        <v>4.0</v>
      </c>
      <c r="AQ439" t="s">
        <v>2625</v>
      </c>
      <c r="AR439" t="s">
        <v>8388</v>
      </c>
      <c r="AS439" t="b">
        <v>1</v>
      </c>
      <c r="AT439" t="b">
        <v>1</v>
      </c>
      <c r="AV439">
        <v>6.0</v>
      </c>
      <c r="AW439" t="b">
        <v>1</v>
      </c>
      <c r="AX439" t="s">
        <v>1902</v>
      </c>
      <c r="AY439" s="4" t="s">
        <v>518</v>
      </c>
      <c r="AZ439" t="b">
        <v>1</v>
      </c>
      <c r="BA439" t="b">
        <v>1</v>
      </c>
      <c r="BB439" t="b">
        <v>1</v>
      </c>
      <c r="BC439" t="s">
        <v>9273</v>
      </c>
      <c r="BH439" t="s">
        <v>132</v>
      </c>
      <c r="BI439">
        <v>3.0</v>
      </c>
      <c r="BJ439" t="s">
        <v>9274</v>
      </c>
      <c r="BK439">
        <v>3.0</v>
      </c>
      <c r="BL439">
        <v>4.0</v>
      </c>
      <c r="BM439" t="s">
        <v>9275</v>
      </c>
      <c r="BN439">
        <v>6.0</v>
      </c>
      <c r="BO439">
        <v>7.0</v>
      </c>
      <c r="BP439" t="s">
        <v>9276</v>
      </c>
      <c r="BQ439" t="s">
        <v>1050</v>
      </c>
      <c r="BR439" t="s">
        <v>9277</v>
      </c>
      <c r="BS439" t="s">
        <v>9278</v>
      </c>
      <c r="BU439" t="s">
        <v>9279</v>
      </c>
      <c r="BV439" s="3" t="str">
        <f>HYPERLINK("https://api.typeform.com/responses/files/b9ee431bb55443e07e4d0a106c4bdcc91b970ee8d8edbd96ec32658027b8a336/Jaliyha_Eberhart_consent_form.pdf")</f>
        <v>https://api.typeform.com/responses/files/b9ee431bb55443e07e4d0a106c4bdcc91b970ee8d8edbd96ec32658027b8a336/Jaliyha_Eberhart_consent_form.pdf</v>
      </c>
      <c r="BW439" t="b">
        <v>1</v>
      </c>
      <c r="BX439" t="s">
        <v>1394</v>
      </c>
      <c r="BY439" t="s">
        <v>140</v>
      </c>
      <c r="CA439" t="s">
        <v>1395</v>
      </c>
      <c r="CD439">
        <v>0.0</v>
      </c>
      <c r="CF439" t="b">
        <v>1</v>
      </c>
      <c r="CG439" t="b">
        <v>1</v>
      </c>
      <c r="CH439" t="s">
        <v>4188</v>
      </c>
      <c r="CJ439" t="b">
        <v>1</v>
      </c>
      <c r="CK439" t="b">
        <v>1</v>
      </c>
      <c r="CL439" t="s">
        <v>541</v>
      </c>
      <c r="CM439" t="s">
        <v>541</v>
      </c>
      <c r="CO439" t="s">
        <v>309</v>
      </c>
      <c r="CQ439" t="s">
        <v>387</v>
      </c>
      <c r="CR439" t="b">
        <v>1</v>
      </c>
      <c r="CT439">
        <v>1.0</v>
      </c>
      <c r="CU439">
        <v>0.0</v>
      </c>
      <c r="CX439" s="4" t="s">
        <v>2914</v>
      </c>
      <c r="CZ439" s="5">
        <v>44552.69844907407</v>
      </c>
      <c r="DA439" t="s">
        <v>9280</v>
      </c>
    </row>
    <row r="440">
      <c r="A440" t="s">
        <v>98</v>
      </c>
      <c r="D440" t="s">
        <v>9281</v>
      </c>
      <c r="E440" t="s">
        <v>9282</v>
      </c>
      <c r="F440" s="2">
        <v>38509.0</v>
      </c>
      <c r="G440" t="s">
        <v>1360</v>
      </c>
      <c r="I440" s="3" t="str">
        <f>HYPERLINK("https://api.typeform.com/responses/files/149e72710a8e0151701f14076185181c9b99d56c4db95d464af7ad840a2846d2/IMG_7515.JPG")</f>
        <v>https://api.typeform.com/responses/files/149e72710a8e0151701f14076185181c9b99d56c4db95d464af7ad840a2846d2/IMG_7515.JPG</v>
      </c>
      <c r="J440" t="s">
        <v>9283</v>
      </c>
      <c r="K440" t="b">
        <v>1</v>
      </c>
      <c r="L440" s="4" t="s">
        <v>9284</v>
      </c>
      <c r="M440" t="s">
        <v>9285</v>
      </c>
      <c r="N440" t="s">
        <v>105</v>
      </c>
      <c r="O440" t="s">
        <v>9286</v>
      </c>
      <c r="P440" t="s">
        <v>9287</v>
      </c>
      <c r="Q440" t="s">
        <v>189</v>
      </c>
      <c r="R440" t="s">
        <v>9288</v>
      </c>
      <c r="S440" t="s">
        <v>9289</v>
      </c>
      <c r="T440" s="4" t="s">
        <v>9290</v>
      </c>
      <c r="U440" t="s">
        <v>8154</v>
      </c>
      <c r="V440" t="s">
        <v>9229</v>
      </c>
      <c r="W440" t="s">
        <v>261</v>
      </c>
      <c r="Y440" t="s">
        <v>158</v>
      </c>
      <c r="Z440" t="s">
        <v>262</v>
      </c>
      <c r="AC440" s="3" t="str">
        <f>HYPERLINK("https://api.typeform.com/responses/files/4bb098895524c4b25e0858ec31d5e19ec3903e03e41620caf42aab23b740a336/anjie_sem_1.pdf")</f>
        <v>https://api.typeform.com/responses/files/4bb098895524c4b25e0858ec31d5e19ec3903e03e41620caf42aab23b740a336/anjie_sem_1.pdf</v>
      </c>
      <c r="AD440" t="s">
        <v>118</v>
      </c>
      <c r="AE440" t="s">
        <v>1220</v>
      </c>
      <c r="AF440" t="s">
        <v>9291</v>
      </c>
      <c r="AG440">
        <v>0.0</v>
      </c>
      <c r="AH440" t="s">
        <v>9292</v>
      </c>
      <c r="AI440" t="s">
        <v>121</v>
      </c>
      <c r="AL440" t="s">
        <v>621</v>
      </c>
      <c r="AO440" t="s">
        <v>125</v>
      </c>
      <c r="AP440">
        <v>5.0</v>
      </c>
      <c r="AQ440" t="s">
        <v>1070</v>
      </c>
      <c r="AR440" t="s">
        <v>9293</v>
      </c>
      <c r="AS440" t="b">
        <v>1</v>
      </c>
      <c r="AT440" t="b">
        <v>0</v>
      </c>
      <c r="AV440">
        <v>5.0</v>
      </c>
      <c r="AW440" t="b">
        <v>1</v>
      </c>
      <c r="AX440" t="s">
        <v>1902</v>
      </c>
      <c r="AY440" s="4" t="s">
        <v>518</v>
      </c>
      <c r="AZ440" t="b">
        <v>0</v>
      </c>
      <c r="BA440" t="b">
        <v>0</v>
      </c>
      <c r="BD440" t="s">
        <v>9294</v>
      </c>
      <c r="BH440" t="s">
        <v>132</v>
      </c>
      <c r="BI440">
        <v>4.0</v>
      </c>
      <c r="BJ440" t="s">
        <v>9295</v>
      </c>
      <c r="BK440">
        <v>4.0</v>
      </c>
      <c r="BL440">
        <v>6.0</v>
      </c>
      <c r="BM440" t="s">
        <v>9296</v>
      </c>
      <c r="BN440">
        <v>2.0</v>
      </c>
      <c r="BO440">
        <v>2.0</v>
      </c>
      <c r="BP440" t="s">
        <v>9297</v>
      </c>
      <c r="BQ440" t="s">
        <v>5900</v>
      </c>
      <c r="BR440" t="s">
        <v>9298</v>
      </c>
      <c r="BS440" t="s">
        <v>9299</v>
      </c>
      <c r="BU440" t="s">
        <v>9300</v>
      </c>
      <c r="BV440" s="3" t="str">
        <f>HYPERLINK("https://api.typeform.com/responses/files/cc59f5fa9d7aced1ea25a8b4b04a07dfb95056a53e7be33314de37f473daf7e5/IMG_7525.JPG")</f>
        <v>https://api.typeform.com/responses/files/cc59f5fa9d7aced1ea25a8b4b04a07dfb95056a53e7be33314de37f473daf7e5/IMG_7525.JPG</v>
      </c>
      <c r="BW440" t="b">
        <v>1</v>
      </c>
      <c r="BX440" t="s">
        <v>1394</v>
      </c>
      <c r="BY440" t="s">
        <v>140</v>
      </c>
      <c r="CA440" t="s">
        <v>1395</v>
      </c>
      <c r="CD440">
        <v>0.0</v>
      </c>
      <c r="CF440" t="b">
        <v>1</v>
      </c>
      <c r="CG440" t="b">
        <v>1</v>
      </c>
      <c r="CH440" t="s">
        <v>168</v>
      </c>
      <c r="CJ440" t="b">
        <v>1</v>
      </c>
      <c r="CK440" t="b">
        <v>1</v>
      </c>
      <c r="CL440" t="s">
        <v>541</v>
      </c>
      <c r="CO440" t="s">
        <v>9301</v>
      </c>
      <c r="CR440" t="b">
        <v>1</v>
      </c>
      <c r="CT440">
        <v>0.0</v>
      </c>
      <c r="CU440">
        <v>0.0</v>
      </c>
      <c r="CX440" t="s">
        <v>9302</v>
      </c>
      <c r="CZ440" s="5">
        <v>44552.82310185185</v>
      </c>
      <c r="DA440" t="s">
        <v>9303</v>
      </c>
    </row>
    <row r="441">
      <c r="A441" t="s">
        <v>98</v>
      </c>
      <c r="D441" t="s">
        <v>9304</v>
      </c>
      <c r="E441" t="s">
        <v>7772</v>
      </c>
      <c r="F441" s="2">
        <v>38447.0</v>
      </c>
      <c r="G441" t="s">
        <v>1466</v>
      </c>
      <c r="I441" s="3" t="str">
        <f>HYPERLINK("https://api.typeform.com/responses/files/095b239fd1d8e032ca4d2061bbdf7206515827be484f1b0fa996e6aa54f5cdeb/7.jpg")</f>
        <v>https://api.typeform.com/responses/files/095b239fd1d8e032ca4d2061bbdf7206515827be484f1b0fa996e6aa54f5cdeb/7.jpg</v>
      </c>
      <c r="J441" t="s">
        <v>9305</v>
      </c>
      <c r="K441" t="b">
        <v>1</v>
      </c>
      <c r="L441" s="4" t="s">
        <v>9306</v>
      </c>
      <c r="M441" t="s">
        <v>9307</v>
      </c>
      <c r="N441" t="s">
        <v>105</v>
      </c>
      <c r="O441" t="s">
        <v>9308</v>
      </c>
      <c r="P441" t="s">
        <v>9309</v>
      </c>
      <c r="Q441" t="s">
        <v>189</v>
      </c>
      <c r="R441" t="s">
        <v>9310</v>
      </c>
      <c r="S441" t="s">
        <v>9307</v>
      </c>
      <c r="T441" s="4" t="s">
        <v>9311</v>
      </c>
      <c r="U441" t="s">
        <v>8154</v>
      </c>
      <c r="V441" t="s">
        <v>9229</v>
      </c>
      <c r="W441" t="s">
        <v>261</v>
      </c>
      <c r="Y441" t="s">
        <v>158</v>
      </c>
      <c r="Z441" t="s">
        <v>262</v>
      </c>
      <c r="AC441" s="3" t="str">
        <f>HYPERLINK("https://api.typeform.com/responses/files/c0204156dd017b4bba3616329fa0b91cdc74c51d073f3454113eb45ba397c0fd/Joshua_Jimenez_Transcript.pdf")</f>
        <v>https://api.typeform.com/responses/files/c0204156dd017b4bba3616329fa0b91cdc74c51d073f3454113eb45ba397c0fd/Joshua_Jimenez_Transcript.pdf</v>
      </c>
      <c r="AD441" t="s">
        <v>118</v>
      </c>
      <c r="AE441" t="s">
        <v>1220</v>
      </c>
      <c r="AF441" t="s">
        <v>197</v>
      </c>
      <c r="AG441">
        <v>1.0</v>
      </c>
      <c r="AH441" s="4" t="s">
        <v>1428</v>
      </c>
      <c r="AI441" t="s">
        <v>121</v>
      </c>
      <c r="AK441" t="s">
        <v>9312</v>
      </c>
      <c r="AL441" t="s">
        <v>9313</v>
      </c>
      <c r="AO441" t="s">
        <v>125</v>
      </c>
      <c r="AP441">
        <v>5.0</v>
      </c>
      <c r="AQ441" t="s">
        <v>1520</v>
      </c>
      <c r="AR441" t="s">
        <v>9314</v>
      </c>
      <c r="AS441" t="b">
        <v>1</v>
      </c>
      <c r="AT441" t="b">
        <v>0</v>
      </c>
      <c r="AV441">
        <v>6.0</v>
      </c>
      <c r="AW441" t="b">
        <v>1</v>
      </c>
      <c r="AX441" t="s">
        <v>1902</v>
      </c>
      <c r="AY441" s="4" t="s">
        <v>518</v>
      </c>
      <c r="AZ441" t="b">
        <v>0</v>
      </c>
      <c r="BA441" t="b">
        <v>1</v>
      </c>
      <c r="BB441" t="b">
        <v>0</v>
      </c>
      <c r="BC441" t="s">
        <v>9315</v>
      </c>
      <c r="BH441" t="s">
        <v>132</v>
      </c>
      <c r="BI441">
        <v>1.0</v>
      </c>
      <c r="BJ441" t="s">
        <v>9316</v>
      </c>
      <c r="BK441">
        <v>2.0</v>
      </c>
      <c r="BL441">
        <v>4.0</v>
      </c>
      <c r="BM441" t="s">
        <v>9317</v>
      </c>
      <c r="BN441">
        <v>4.0</v>
      </c>
      <c r="BO441">
        <v>2.0</v>
      </c>
      <c r="BP441" t="s">
        <v>9318</v>
      </c>
      <c r="BQ441" t="s">
        <v>1278</v>
      </c>
      <c r="BR441" t="s">
        <v>9319</v>
      </c>
      <c r="BS441" t="s">
        <v>9320</v>
      </c>
      <c r="BU441" t="s">
        <v>9321</v>
      </c>
      <c r="BV441" s="3" t="str">
        <f>HYPERLINK("https://api.typeform.com/responses/files/0cf8a29d655b9185f53d67eccf3a19ca19b655712b3a91b68688587a798a5672/77.jpg")</f>
        <v>https://api.typeform.com/responses/files/0cf8a29d655b9185f53d67eccf3a19ca19b655712b3a91b68688587a798a5672/77.jpg</v>
      </c>
      <c r="BW441" t="b">
        <v>1</v>
      </c>
      <c r="BX441" t="s">
        <v>1394</v>
      </c>
      <c r="BY441" t="s">
        <v>140</v>
      </c>
      <c r="CA441" t="s">
        <v>1395</v>
      </c>
      <c r="CD441">
        <v>0.0</v>
      </c>
      <c r="CF441" t="b">
        <v>0</v>
      </c>
      <c r="CG441" t="b">
        <v>1</v>
      </c>
      <c r="CH441" t="s">
        <v>705</v>
      </c>
      <c r="CJ441" t="b">
        <v>1</v>
      </c>
      <c r="CK441" t="b">
        <v>1</v>
      </c>
      <c r="CL441" t="s">
        <v>198</v>
      </c>
      <c r="CM441" t="s">
        <v>541</v>
      </c>
      <c r="CO441" t="s">
        <v>388</v>
      </c>
      <c r="CR441" t="b">
        <v>1</v>
      </c>
      <c r="CT441">
        <v>2.0</v>
      </c>
      <c r="CU441">
        <v>0.0</v>
      </c>
      <c r="CX441" s="4" t="s">
        <v>9322</v>
      </c>
      <c r="CZ441" s="5">
        <v>44552.82575231481</v>
      </c>
      <c r="DA441" t="s">
        <v>9323</v>
      </c>
    </row>
    <row r="442">
      <c r="A442" t="s">
        <v>98</v>
      </c>
      <c r="D442" t="s">
        <v>9324</v>
      </c>
      <c r="E442" t="s">
        <v>9325</v>
      </c>
      <c r="F442" s="2">
        <v>37623.0</v>
      </c>
      <c r="G442" t="s">
        <v>1466</v>
      </c>
      <c r="I442" s="3" t="str">
        <f>HYPERLINK("https://api.typeform.com/responses/files/cbdda1143b390f9bef1eb05a7cdca44cc41a0fb455d44db6496458335e478322/Curena_headshot.jpg")</f>
        <v>https://api.typeform.com/responses/files/cbdda1143b390f9bef1eb05a7cdca44cc41a0fb455d44db6496458335e478322/Curena_headshot.jpg</v>
      </c>
      <c r="J442" t="s">
        <v>9326</v>
      </c>
      <c r="K442" t="b">
        <v>1</v>
      </c>
      <c r="L442" s="4" t="s">
        <v>9327</v>
      </c>
      <c r="M442" t="s">
        <v>9328</v>
      </c>
      <c r="N442" t="s">
        <v>105</v>
      </c>
      <c r="O442" t="s">
        <v>620</v>
      </c>
      <c r="P442" t="s">
        <v>9329</v>
      </c>
      <c r="Q442" t="s">
        <v>189</v>
      </c>
      <c r="R442" t="s">
        <v>9330</v>
      </c>
      <c r="S442" t="s">
        <v>9328</v>
      </c>
      <c r="T442" s="4" t="s">
        <v>9331</v>
      </c>
      <c r="U442" t="s">
        <v>9332</v>
      </c>
      <c r="V442" t="s">
        <v>9333</v>
      </c>
      <c r="W442" t="s">
        <v>261</v>
      </c>
      <c r="Y442" t="s">
        <v>158</v>
      </c>
      <c r="Z442" t="s">
        <v>159</v>
      </c>
      <c r="AC442" s="3" t="str">
        <f>HYPERLINK("https://api.typeform.com/responses/files/3cdc8cb9b7b33f36f83feee076af3ee6b1dc54f46a8170e978cc6136fada181f/Will_email_student.docx")</f>
        <v>https://api.typeform.com/responses/files/3cdc8cb9b7b33f36f83feee076af3ee6b1dc54f46a8170e978cc6136fada181f/Will_email_student.docx</v>
      </c>
      <c r="AD442" t="s">
        <v>118</v>
      </c>
      <c r="AE442" t="s">
        <v>1220</v>
      </c>
      <c r="AF442" t="s">
        <v>197</v>
      </c>
      <c r="AG442">
        <v>0.0</v>
      </c>
      <c r="AH442" s="4" t="s">
        <v>4230</v>
      </c>
      <c r="AI442" t="s">
        <v>121</v>
      </c>
      <c r="AL442" t="s">
        <v>621</v>
      </c>
      <c r="AO442" t="s">
        <v>486</v>
      </c>
      <c r="AP442">
        <v>3.0</v>
      </c>
      <c r="AQ442" t="s">
        <v>1520</v>
      </c>
      <c r="AR442" t="s">
        <v>9334</v>
      </c>
      <c r="AS442" t="b">
        <v>1</v>
      </c>
      <c r="AT442" t="b">
        <v>1</v>
      </c>
      <c r="AV442">
        <v>5.0</v>
      </c>
      <c r="AW442" t="b">
        <v>0</v>
      </c>
      <c r="AZ442" t="b">
        <v>1</v>
      </c>
      <c r="BA442" t="b">
        <v>0</v>
      </c>
      <c r="BD442" t="s">
        <v>9334</v>
      </c>
      <c r="BH442" t="s">
        <v>132</v>
      </c>
      <c r="BI442">
        <v>2.0</v>
      </c>
      <c r="BJ442" t="s">
        <v>9335</v>
      </c>
      <c r="BK442">
        <v>1.0</v>
      </c>
      <c r="BL442">
        <v>4.0</v>
      </c>
      <c r="BM442" t="s">
        <v>9336</v>
      </c>
      <c r="BN442">
        <v>1.0</v>
      </c>
      <c r="BO442">
        <v>4.0</v>
      </c>
      <c r="BP442" t="s">
        <v>9337</v>
      </c>
      <c r="BQ442" t="s">
        <v>9338</v>
      </c>
      <c r="BR442" t="s">
        <v>9339</v>
      </c>
      <c r="BS442" t="s">
        <v>9340</v>
      </c>
      <c r="BU442" t="s">
        <v>9341</v>
      </c>
      <c r="BV442" s="3" t="str">
        <f>HYPERLINK("https://api.typeform.com/responses/files/78eacd14b4ea32c6a11d6dd463851de23ed506f7ef0197ef7c36c5bc1f74619f/ASPEAKHIRE__4_.pdf")</f>
        <v>https://api.typeform.com/responses/files/78eacd14b4ea32c6a11d6dd463851de23ed506f7ef0197ef7c36c5bc1f74619f/ASPEAKHIRE__4_.pdf</v>
      </c>
      <c r="BW442" t="b">
        <v>1</v>
      </c>
      <c r="BX442" t="s">
        <v>1394</v>
      </c>
      <c r="BY442" t="s">
        <v>140</v>
      </c>
      <c r="CA442" t="s">
        <v>1395</v>
      </c>
      <c r="CD442">
        <v>0.0</v>
      </c>
      <c r="CF442" t="b">
        <v>0</v>
      </c>
      <c r="CG442" t="b">
        <v>1</v>
      </c>
      <c r="CH442" t="s">
        <v>128</v>
      </c>
      <c r="CJ442" t="b">
        <v>0</v>
      </c>
      <c r="CK442" t="b">
        <v>0</v>
      </c>
      <c r="CL442" t="s">
        <v>198</v>
      </c>
      <c r="CO442" t="s">
        <v>388</v>
      </c>
      <c r="CR442" t="b">
        <v>1</v>
      </c>
      <c r="CT442">
        <v>2.0</v>
      </c>
      <c r="CU442">
        <v>3.0</v>
      </c>
      <c r="CX442" s="4" t="s">
        <v>9342</v>
      </c>
      <c r="CZ442" s="5">
        <v>44552.841678240744</v>
      </c>
      <c r="DA442" t="s">
        <v>9343</v>
      </c>
    </row>
    <row r="443">
      <c r="A443" t="s">
        <v>98</v>
      </c>
      <c r="D443" t="s">
        <v>9344</v>
      </c>
      <c r="E443" t="s">
        <v>9345</v>
      </c>
      <c r="F443" s="2">
        <v>38331.0</v>
      </c>
      <c r="G443" t="s">
        <v>1360</v>
      </c>
      <c r="I443" s="3" t="str">
        <f>HYPERLINK("https://api.typeform.com/responses/files/513c63d4e04cce8b92cc871802ad65b1bb9f8d09cb0e938ed7d08a3e56aac239/IMG_2602.jpg")</f>
        <v>https://api.typeform.com/responses/files/513c63d4e04cce8b92cc871802ad65b1bb9f8d09cb0e938ed7d08a3e56aac239/IMG_2602.jpg</v>
      </c>
      <c r="J443" t="s">
        <v>9346</v>
      </c>
      <c r="K443" t="b">
        <v>1</v>
      </c>
      <c r="L443" s="4" t="s">
        <v>9347</v>
      </c>
      <c r="M443" t="s">
        <v>9348</v>
      </c>
      <c r="N443" t="s">
        <v>105</v>
      </c>
      <c r="P443" t="s">
        <v>9349</v>
      </c>
      <c r="Q443" t="s">
        <v>189</v>
      </c>
      <c r="R443" t="s">
        <v>9350</v>
      </c>
      <c r="S443" t="s">
        <v>9348</v>
      </c>
      <c r="T443" s="4" t="s">
        <v>9351</v>
      </c>
      <c r="U443" t="s">
        <v>8154</v>
      </c>
      <c r="V443" t="s">
        <v>8174</v>
      </c>
      <c r="W443" t="s">
        <v>261</v>
      </c>
      <c r="Y443" t="s">
        <v>158</v>
      </c>
      <c r="Z443" t="s">
        <v>262</v>
      </c>
      <c r="AC443" s="3" t="str">
        <f>HYPERLINK("https://api.typeform.com/responses/files/842d2d60cf130d4f1c1f9fb3b8e69e6aaf8427f6894e0305e543311b2582acb0/11_BUCHSBAUM___ANGELINA_GIL_DOE.pdf")</f>
        <v>https://api.typeform.com/responses/files/842d2d60cf130d4f1c1f9fb3b8e69e6aaf8427f6894e0305e543311b2582acb0/11_BUCHSBAUM___ANGELINA_GIL_DOE.pdf</v>
      </c>
      <c r="AD443" t="s">
        <v>118</v>
      </c>
      <c r="AE443" t="s">
        <v>1220</v>
      </c>
      <c r="AF443" t="s">
        <v>197</v>
      </c>
      <c r="AG443">
        <v>1.0</v>
      </c>
      <c r="AH443" t="s">
        <v>9352</v>
      </c>
      <c r="AI443" t="s">
        <v>121</v>
      </c>
      <c r="AL443" t="s">
        <v>9313</v>
      </c>
      <c r="AO443" t="s">
        <v>125</v>
      </c>
      <c r="AP443">
        <v>5.0</v>
      </c>
      <c r="AQ443" t="s">
        <v>126</v>
      </c>
      <c r="AR443" t="s">
        <v>9353</v>
      </c>
      <c r="AS443" t="b">
        <v>1</v>
      </c>
      <c r="AT443" t="b">
        <v>1</v>
      </c>
      <c r="AV443">
        <v>5.0</v>
      </c>
      <c r="AW443" t="b">
        <v>0</v>
      </c>
      <c r="AZ443" t="b">
        <v>0</v>
      </c>
      <c r="BA443" t="b">
        <v>0</v>
      </c>
      <c r="BD443" t="s">
        <v>9354</v>
      </c>
      <c r="BH443" t="s">
        <v>132</v>
      </c>
      <c r="BI443">
        <v>4.0</v>
      </c>
      <c r="BJ443" t="s">
        <v>9355</v>
      </c>
      <c r="BK443">
        <v>4.0</v>
      </c>
      <c r="BL443">
        <v>5.0</v>
      </c>
      <c r="BM443" t="s">
        <v>9356</v>
      </c>
      <c r="BN443">
        <v>4.0</v>
      </c>
      <c r="BO443">
        <v>5.0</v>
      </c>
      <c r="BP443" t="s">
        <v>9357</v>
      </c>
      <c r="BQ443" t="s">
        <v>3728</v>
      </c>
      <c r="BR443" t="s">
        <v>9358</v>
      </c>
      <c r="BS443" t="s">
        <v>9359</v>
      </c>
      <c r="BU443" t="s">
        <v>9360</v>
      </c>
      <c r="BV443" s="3" t="str">
        <f>HYPERLINK("https://api.typeform.com/responses/files/11051ac1e8ec7a2c8e6a907f73268ca9b17792aeb267a063cfabca69142be24a/IMG_2609.jpg")</f>
        <v>https://api.typeform.com/responses/files/11051ac1e8ec7a2c8e6a907f73268ca9b17792aeb267a063cfabca69142be24a/IMG_2609.jpg</v>
      </c>
      <c r="BW443" t="b">
        <v>1</v>
      </c>
      <c r="BX443" t="s">
        <v>1394</v>
      </c>
      <c r="BY443" t="s">
        <v>140</v>
      </c>
      <c r="CA443" t="s">
        <v>1395</v>
      </c>
      <c r="CD443">
        <v>0.0</v>
      </c>
      <c r="CF443" t="b">
        <v>1</v>
      </c>
      <c r="CG443" t="b">
        <v>0</v>
      </c>
      <c r="CH443" t="s">
        <v>2553</v>
      </c>
      <c r="CJ443" t="b">
        <v>0</v>
      </c>
      <c r="CK443" t="b">
        <v>1</v>
      </c>
      <c r="CL443" t="s">
        <v>387</v>
      </c>
      <c r="CO443" t="s">
        <v>388</v>
      </c>
      <c r="CR443" t="b">
        <v>1</v>
      </c>
      <c r="CT443">
        <v>0.0</v>
      </c>
      <c r="CU443">
        <v>1.0</v>
      </c>
      <c r="CX443" s="4" t="s">
        <v>3882</v>
      </c>
      <c r="CZ443" s="5">
        <v>44553.114756944444</v>
      </c>
      <c r="DA443" t="s">
        <v>9361</v>
      </c>
    </row>
    <row r="444">
      <c r="A444" t="s">
        <v>98</v>
      </c>
      <c r="D444" t="s">
        <v>9362</v>
      </c>
      <c r="E444" t="s">
        <v>9363</v>
      </c>
      <c r="F444" s="2">
        <v>38347.0</v>
      </c>
      <c r="G444" t="s">
        <v>1360</v>
      </c>
      <c r="I444" s="3" t="str">
        <f>HYPERLINK("https://api.typeform.com/responses/files/0fe15a4a0b73774a7e25260f80d965fdf106d4179db2c80791e85597cd361b02/IMG_5206.HEIC")</f>
        <v>https://api.typeform.com/responses/files/0fe15a4a0b73774a7e25260f80d965fdf106d4179db2c80791e85597cd361b02/IMG_5206.HEIC</v>
      </c>
      <c r="J444" t="s">
        <v>9364</v>
      </c>
      <c r="K444" t="b">
        <v>1</v>
      </c>
      <c r="L444" s="4" t="s">
        <v>9365</v>
      </c>
      <c r="M444" t="s">
        <v>9366</v>
      </c>
      <c r="N444" t="s">
        <v>149</v>
      </c>
      <c r="P444" t="s">
        <v>9367</v>
      </c>
      <c r="Q444" t="s">
        <v>189</v>
      </c>
      <c r="R444" t="s">
        <v>9368</v>
      </c>
      <c r="S444" t="s">
        <v>9369</v>
      </c>
      <c r="T444" s="4" t="s">
        <v>9370</v>
      </c>
      <c r="U444" t="s">
        <v>7424</v>
      </c>
      <c r="V444" t="s">
        <v>7425</v>
      </c>
      <c r="W444" t="s">
        <v>2290</v>
      </c>
      <c r="Y444" t="s">
        <v>158</v>
      </c>
      <c r="Z444" t="s">
        <v>262</v>
      </c>
      <c r="AC444" s="3" t="str">
        <f>HYPERLINK("https://api.typeform.com/responses/files/ec6e71651487c416053f91ebbbfc3c586b58be585ef5b6e2646adb449ea500d8/IMG_1553.jpg")</f>
        <v>https://api.typeform.com/responses/files/ec6e71651487c416053f91ebbbfc3c586b58be585ef5b6e2646adb449ea500d8/IMG_1553.jpg</v>
      </c>
      <c r="AD444" t="s">
        <v>118</v>
      </c>
      <c r="AE444" t="s">
        <v>729</v>
      </c>
      <c r="AF444" t="s">
        <v>2651</v>
      </c>
      <c r="AG444">
        <v>14.0</v>
      </c>
      <c r="AH444" t="s">
        <v>9371</v>
      </c>
      <c r="AI444" t="s">
        <v>205</v>
      </c>
      <c r="AK444" t="s">
        <v>179</v>
      </c>
      <c r="AL444" t="s">
        <v>199</v>
      </c>
      <c r="AO444" t="s">
        <v>125</v>
      </c>
      <c r="AP444">
        <v>4.0</v>
      </c>
      <c r="AQ444" t="s">
        <v>126</v>
      </c>
      <c r="AR444" t="s">
        <v>1832</v>
      </c>
      <c r="AS444" t="b">
        <v>1</v>
      </c>
      <c r="AT444" t="b">
        <v>1</v>
      </c>
      <c r="AV444">
        <v>6.0</v>
      </c>
      <c r="AW444" t="b">
        <v>1</v>
      </c>
      <c r="AX444" t="s">
        <v>1902</v>
      </c>
      <c r="AY444" s="4" t="s">
        <v>170</v>
      </c>
      <c r="AZ444" t="b">
        <v>0</v>
      </c>
      <c r="BA444" t="b">
        <v>0</v>
      </c>
      <c r="BD444" t="s">
        <v>1252</v>
      </c>
      <c r="BH444" t="s">
        <v>132</v>
      </c>
      <c r="BI444">
        <v>1.0</v>
      </c>
      <c r="BJ444" t="s">
        <v>9372</v>
      </c>
      <c r="BK444">
        <v>1.0</v>
      </c>
      <c r="BL444">
        <v>1.0</v>
      </c>
      <c r="BM444" t="s">
        <v>9373</v>
      </c>
      <c r="BN444">
        <v>1.0</v>
      </c>
      <c r="BO444">
        <v>3.0</v>
      </c>
      <c r="BP444" t="s">
        <v>9374</v>
      </c>
      <c r="BQ444" t="s">
        <v>7657</v>
      </c>
      <c r="BR444" t="s">
        <v>9375</v>
      </c>
      <c r="BS444" t="s">
        <v>9376</v>
      </c>
      <c r="BU444" t="s">
        <v>139</v>
      </c>
      <c r="BV444" s="3" t="str">
        <f>HYPERLINK("https://api.typeform.com/responses/files/2e540785460f3a1b80d7fc1189a83568dcadbcf2ac5d8dd50fd9c6da4efe5ada/LIGIA_ESPINOZA___SPEAKHIRE_2021___Parent_Consent_Form.docx")</f>
        <v>https://api.typeform.com/responses/files/2e540785460f3a1b80d7fc1189a83568dcadbcf2ac5d8dd50fd9c6da4efe5ada/LIGIA_ESPINOZA___SPEAKHIRE_2021___Parent_Consent_Form.docx</v>
      </c>
      <c r="BW444" t="b">
        <v>1</v>
      </c>
      <c r="BX444" t="s">
        <v>1394</v>
      </c>
      <c r="BY444" t="s">
        <v>140</v>
      </c>
      <c r="CA444" t="s">
        <v>1395</v>
      </c>
      <c r="CD444">
        <v>0.0</v>
      </c>
      <c r="CF444" t="b">
        <v>1</v>
      </c>
      <c r="CG444" t="b">
        <v>1</v>
      </c>
      <c r="CH444" t="s">
        <v>9377</v>
      </c>
      <c r="CJ444" t="b">
        <v>1</v>
      </c>
      <c r="CK444" t="b">
        <v>1</v>
      </c>
      <c r="CL444" t="s">
        <v>2301</v>
      </c>
      <c r="CO444" t="s">
        <v>1635</v>
      </c>
      <c r="CR444" t="b">
        <v>1</v>
      </c>
      <c r="CT444">
        <v>0.0</v>
      </c>
      <c r="CU444">
        <v>0.0</v>
      </c>
      <c r="CX444" t="s">
        <v>3018</v>
      </c>
      <c r="CZ444" s="5">
        <v>44553.623761574076</v>
      </c>
      <c r="DA444" t="s">
        <v>9378</v>
      </c>
    </row>
    <row r="445">
      <c r="A445" t="s">
        <v>1399</v>
      </c>
      <c r="D445" t="s">
        <v>7895</v>
      </c>
      <c r="E445" t="s">
        <v>5756</v>
      </c>
      <c r="F445" s="2">
        <v>38370.0</v>
      </c>
      <c r="G445" t="s">
        <v>1360</v>
      </c>
      <c r="I445" s="3" t="str">
        <f>HYPERLINK("https://api.typeform.com/responses/files/30ae24c7fc0f0db1cd001ec3ce3d0aab5181a7ed8dde1f977b039a080508ef43/IMG_9162.jpg")</f>
        <v>https://api.typeform.com/responses/files/30ae24c7fc0f0db1cd001ec3ce3d0aab5181a7ed8dde1f977b039a080508ef43/IMG_9162.jpg</v>
      </c>
      <c r="J445" t="s">
        <v>9379</v>
      </c>
      <c r="K445" t="b">
        <v>1</v>
      </c>
      <c r="L445" s="4" t="s">
        <v>9380</v>
      </c>
      <c r="M445" t="s">
        <v>9381</v>
      </c>
      <c r="N445" t="s">
        <v>255</v>
      </c>
      <c r="O445" t="s">
        <v>9382</v>
      </c>
      <c r="P445" t="s">
        <v>8513</v>
      </c>
      <c r="Q445" t="s">
        <v>189</v>
      </c>
      <c r="R445" t="s">
        <v>8514</v>
      </c>
      <c r="S445" t="s">
        <v>9383</v>
      </c>
      <c r="T445" s="4" t="s">
        <v>8516</v>
      </c>
      <c r="U445" t="s">
        <v>9384</v>
      </c>
      <c r="V445" t="s">
        <v>9385</v>
      </c>
      <c r="W445" t="s">
        <v>2290</v>
      </c>
      <c r="Y445" t="s">
        <v>158</v>
      </c>
      <c r="Z445" t="s">
        <v>262</v>
      </c>
      <c r="AC445" s="3" t="str">
        <f>HYPERLINK("https://api.typeform.com/responses/files/8e9d9363b53331154ea490bddf4b2dbcb92e67d5be6bfb95fb753ff4474e8e28/Progress_Report_for_Genesis_Munoz_2021_12_23_14_49.pdf")</f>
        <v>https://api.typeform.com/responses/files/8e9d9363b53331154ea490bddf4b2dbcb92e67d5be6bfb95fb753ff4474e8e28/Progress_Report_for_Genesis_Munoz_2021_12_23_14_49.pdf</v>
      </c>
      <c r="AD445" t="s">
        <v>118</v>
      </c>
      <c r="AE445" t="s">
        <v>729</v>
      </c>
      <c r="AF445" t="s">
        <v>197</v>
      </c>
      <c r="AG445">
        <v>14.0</v>
      </c>
      <c r="AH445" s="4" t="s">
        <v>273</v>
      </c>
      <c r="AI445" t="s">
        <v>543</v>
      </c>
      <c r="AL445" t="s">
        <v>199</v>
      </c>
      <c r="AO445" t="s">
        <v>335</v>
      </c>
      <c r="AP445">
        <v>7.0</v>
      </c>
      <c r="AQ445" t="s">
        <v>126</v>
      </c>
      <c r="AR445" t="s">
        <v>9386</v>
      </c>
      <c r="AS445" t="b">
        <v>1</v>
      </c>
      <c r="AT445" t="b">
        <v>0</v>
      </c>
      <c r="AV445">
        <v>7.0</v>
      </c>
      <c r="AW445" t="b">
        <v>0</v>
      </c>
      <c r="AZ445" t="b">
        <v>0</v>
      </c>
      <c r="BA445" t="b">
        <v>1</v>
      </c>
      <c r="BB445" t="b">
        <v>0</v>
      </c>
      <c r="BC445" t="s">
        <v>9387</v>
      </c>
      <c r="BH445" t="s">
        <v>132</v>
      </c>
      <c r="BI445">
        <v>4.0</v>
      </c>
      <c r="BJ445" t="s">
        <v>9139</v>
      </c>
      <c r="BK445">
        <v>4.0</v>
      </c>
      <c r="BL445">
        <v>5.0</v>
      </c>
      <c r="BM445" t="s">
        <v>9386</v>
      </c>
      <c r="BN445">
        <v>6.0</v>
      </c>
      <c r="BO445">
        <v>6.0</v>
      </c>
      <c r="BP445" t="s">
        <v>9388</v>
      </c>
      <c r="BQ445" t="s">
        <v>1416</v>
      </c>
      <c r="BR445" t="s">
        <v>9389</v>
      </c>
      <c r="BS445" t="s">
        <v>9390</v>
      </c>
      <c r="BU445" t="s">
        <v>139</v>
      </c>
      <c r="BV445" s="3" t="str">
        <f>HYPERLINK("https://api.typeform.com/responses/files/2d0dae14fe49ab4c538ff390f547a6599676eb84bfcd93e85111dce84fca3605/GENESIS_MUNOZ___SPEAKHIRE_2021___Parent_Consent_Form.pdf")</f>
        <v>https://api.typeform.com/responses/files/2d0dae14fe49ab4c538ff390f547a6599676eb84bfcd93e85111dce84fca3605/GENESIS_MUNOZ___SPEAKHIRE_2021___Parent_Consent_Form.pdf</v>
      </c>
      <c r="BW445" t="b">
        <v>1</v>
      </c>
      <c r="BX445" t="s">
        <v>1394</v>
      </c>
      <c r="BY445" t="s">
        <v>140</v>
      </c>
      <c r="CA445" t="s">
        <v>1395</v>
      </c>
      <c r="CD445">
        <v>0.0</v>
      </c>
      <c r="CF445" t="b">
        <v>1</v>
      </c>
      <c r="CG445" t="b">
        <v>1</v>
      </c>
      <c r="CH445" t="s">
        <v>1935</v>
      </c>
      <c r="CJ445" t="b">
        <v>1</v>
      </c>
      <c r="CK445" t="b">
        <v>1</v>
      </c>
      <c r="CL445" t="s">
        <v>198</v>
      </c>
      <c r="CO445" t="s">
        <v>2500</v>
      </c>
      <c r="CS445" t="b">
        <v>1</v>
      </c>
      <c r="CT445">
        <v>2.0</v>
      </c>
      <c r="CU445">
        <v>0.0</v>
      </c>
      <c r="CX445" s="4" t="s">
        <v>3933</v>
      </c>
      <c r="CZ445" s="5">
        <v>44553.63582175926</v>
      </c>
      <c r="DA445" t="s">
        <v>9391</v>
      </c>
    </row>
    <row r="446">
      <c r="A446" t="s">
        <v>98</v>
      </c>
      <c r="D446" t="s">
        <v>9392</v>
      </c>
      <c r="E446" t="s">
        <v>5155</v>
      </c>
      <c r="F446" s="2">
        <v>38334.0</v>
      </c>
      <c r="G446" t="s">
        <v>1360</v>
      </c>
      <c r="I446" s="3" t="str">
        <f>HYPERLINK("https://api.typeform.com/responses/files/c841d83251f0e374977b1c709f7b3f3d02765eb470adf74ffe5fdb92702bb8b6/IMG_9885.jpg")</f>
        <v>https://api.typeform.com/responses/files/c841d83251f0e374977b1c709f7b3f3d02765eb470adf74ffe5fdb92702bb8b6/IMG_9885.jpg</v>
      </c>
      <c r="J446" t="s">
        <v>9393</v>
      </c>
      <c r="K446" t="b">
        <v>1</v>
      </c>
      <c r="L446" s="4" t="s">
        <v>9394</v>
      </c>
      <c r="M446" t="s">
        <v>9395</v>
      </c>
      <c r="N446" t="s">
        <v>255</v>
      </c>
      <c r="O446" t="s">
        <v>9396</v>
      </c>
      <c r="P446" t="s">
        <v>9397</v>
      </c>
      <c r="Q446" t="s">
        <v>152</v>
      </c>
      <c r="R446" t="s">
        <v>8191</v>
      </c>
      <c r="S446" t="s">
        <v>9395</v>
      </c>
      <c r="T446" s="4" t="s">
        <v>9398</v>
      </c>
      <c r="U446" t="s">
        <v>9399</v>
      </c>
      <c r="V446" t="s">
        <v>9400</v>
      </c>
      <c r="W446" t="s">
        <v>2290</v>
      </c>
      <c r="Y446" t="s">
        <v>158</v>
      </c>
      <c r="Z446" t="s">
        <v>262</v>
      </c>
      <c r="AC446" s="3" t="str">
        <f>HYPERLINK("https://api.typeform.com/responses/files/ad63eeaaf23ec9a0c01b0d8eeb1c08c67e5fe2209fa2b439bcd9e2022352de1c/IMG_9876.jpg")</f>
        <v>https://api.typeform.com/responses/files/ad63eeaaf23ec9a0c01b0d8eeb1c08c67e5fe2209fa2b439bcd9e2022352de1c/IMG_9876.jpg</v>
      </c>
      <c r="AD446" t="s">
        <v>118</v>
      </c>
      <c r="AE446" t="s">
        <v>729</v>
      </c>
      <c r="AF446" t="s">
        <v>9401</v>
      </c>
      <c r="AG446">
        <v>15.0</v>
      </c>
      <c r="AH446" t="s">
        <v>9402</v>
      </c>
      <c r="AI446" t="s">
        <v>162</v>
      </c>
      <c r="AK446" t="s">
        <v>9403</v>
      </c>
      <c r="AL446" t="s">
        <v>9404</v>
      </c>
      <c r="AO446" t="s">
        <v>125</v>
      </c>
      <c r="AP446">
        <v>4.0</v>
      </c>
      <c r="AQ446" t="s">
        <v>126</v>
      </c>
      <c r="AR446" t="s">
        <v>9405</v>
      </c>
      <c r="AS446" t="b">
        <v>1</v>
      </c>
      <c r="AT446" t="b">
        <v>0</v>
      </c>
      <c r="AV446">
        <v>5.0</v>
      </c>
      <c r="AW446" t="b">
        <v>0</v>
      </c>
      <c r="AZ446" t="b">
        <v>1</v>
      </c>
      <c r="BA446" t="b">
        <v>0</v>
      </c>
      <c r="BD446" t="s">
        <v>840</v>
      </c>
      <c r="BH446" t="s">
        <v>132</v>
      </c>
      <c r="BI446">
        <v>3.0</v>
      </c>
      <c r="BJ446" t="s">
        <v>9406</v>
      </c>
      <c r="BK446">
        <v>4.0</v>
      </c>
      <c r="BL446">
        <v>4.0</v>
      </c>
      <c r="BM446" t="s">
        <v>9407</v>
      </c>
      <c r="BN446">
        <v>4.0</v>
      </c>
      <c r="BO446">
        <v>5.0</v>
      </c>
      <c r="BP446" t="s">
        <v>9408</v>
      </c>
      <c r="BQ446" t="s">
        <v>1931</v>
      </c>
      <c r="BR446" t="s">
        <v>9409</v>
      </c>
      <c r="BS446" t="s">
        <v>9410</v>
      </c>
      <c r="BU446" t="s">
        <v>528</v>
      </c>
      <c r="BV446" s="3" t="str">
        <f>HYPERLINK("https://api.typeform.com/responses/files/75b1fe8dc68870ad6d306850759cfc45e80d14c65f60e263d0660dff8436a3a6/Screen_Shot_2021_12_23_at_11.24.11_AM.png")</f>
        <v>https://api.typeform.com/responses/files/75b1fe8dc68870ad6d306850759cfc45e80d14c65f60e263d0660dff8436a3a6/Screen_Shot_2021_12_23_at_11.24.11_AM.png</v>
      </c>
      <c r="BW446" t="b">
        <v>1</v>
      </c>
      <c r="BX446" t="s">
        <v>1394</v>
      </c>
      <c r="BY446" t="s">
        <v>140</v>
      </c>
      <c r="CA446" t="s">
        <v>1395</v>
      </c>
      <c r="CD446">
        <v>0.0</v>
      </c>
      <c r="CF446" t="b">
        <v>1</v>
      </c>
      <c r="CG446" t="b">
        <v>1</v>
      </c>
      <c r="CH446" t="s">
        <v>1420</v>
      </c>
      <c r="CJ446" t="b">
        <v>1</v>
      </c>
      <c r="CK446" t="b">
        <v>1</v>
      </c>
      <c r="CL446" t="s">
        <v>198</v>
      </c>
      <c r="CM446" t="s">
        <v>198</v>
      </c>
      <c r="CO446" t="s">
        <v>1688</v>
      </c>
      <c r="CR446" t="b">
        <v>1</v>
      </c>
      <c r="CT446">
        <v>1.0</v>
      </c>
      <c r="CU446">
        <v>0.0</v>
      </c>
      <c r="CX446" s="4" t="s">
        <v>941</v>
      </c>
      <c r="CZ446" s="5">
        <v>44553.68430555556</v>
      </c>
      <c r="DA446" t="s">
        <v>9411</v>
      </c>
    </row>
    <row r="447">
      <c r="A447" t="s">
        <v>98</v>
      </c>
      <c r="D447" t="s">
        <v>9412</v>
      </c>
      <c r="E447" t="s">
        <v>7641</v>
      </c>
      <c r="F447" s="2">
        <v>38571.0</v>
      </c>
      <c r="G447" t="s">
        <v>1466</v>
      </c>
      <c r="I447" s="3" t="str">
        <f>HYPERLINK("https://api.typeform.com/responses/files/b293a1cea923e87593232a60adeb83b1d68ad8d4f25542117e7d3a79505efe70/Photo_on_12_23_21_at_11.13_AM__2.jpg")</f>
        <v>https://api.typeform.com/responses/files/b293a1cea923e87593232a60adeb83b1d68ad8d4f25542117e7d3a79505efe70/Photo_on_12_23_21_at_11.13_AM__2.jpg</v>
      </c>
      <c r="J447" t="s">
        <v>9413</v>
      </c>
      <c r="K447" t="b">
        <v>1</v>
      </c>
      <c r="L447" s="4" t="s">
        <v>9414</v>
      </c>
      <c r="M447" t="s">
        <v>9415</v>
      </c>
      <c r="N447" t="s">
        <v>255</v>
      </c>
      <c r="P447" t="s">
        <v>9416</v>
      </c>
      <c r="Q447" t="s">
        <v>189</v>
      </c>
      <c r="R447" t="s">
        <v>9417</v>
      </c>
      <c r="S447" t="s">
        <v>9415</v>
      </c>
      <c r="T447" s="4" t="s">
        <v>9418</v>
      </c>
      <c r="U447" t="s">
        <v>7424</v>
      </c>
      <c r="V447" t="s">
        <v>7425</v>
      </c>
      <c r="W447" t="s">
        <v>2290</v>
      </c>
      <c r="Y447" t="s">
        <v>158</v>
      </c>
      <c r="Z447" t="s">
        <v>262</v>
      </c>
      <c r="AC447" s="3" t="str">
        <f>HYPERLINK("https://api.typeform.com/responses/files/2830eef6bcbcd41612fa3adf1e4334e0fa46b25954d4472b9f0770e1290b9d4e/Screen_Shot_2021_12_23_at_11.21.19_AM.png")</f>
        <v>https://api.typeform.com/responses/files/2830eef6bcbcd41612fa3adf1e4334e0fa46b25954d4472b9f0770e1290b9d4e/Screen_Shot_2021_12_23_at_11.21.19_AM.png</v>
      </c>
      <c r="AD447" t="s">
        <v>118</v>
      </c>
      <c r="AE447" t="s">
        <v>729</v>
      </c>
      <c r="AF447" t="s">
        <v>1731</v>
      </c>
      <c r="AG447">
        <v>12.0</v>
      </c>
      <c r="AH447" s="4" t="s">
        <v>547</v>
      </c>
      <c r="AI447" t="s">
        <v>205</v>
      </c>
      <c r="AK447" t="s">
        <v>606</v>
      </c>
      <c r="AL447" t="s">
        <v>2676</v>
      </c>
      <c r="AO447" t="s">
        <v>335</v>
      </c>
      <c r="AP447">
        <v>4.0</v>
      </c>
      <c r="AQ447" t="s">
        <v>303</v>
      </c>
      <c r="AR447" t="s">
        <v>6087</v>
      </c>
      <c r="AS447" t="b">
        <v>1</v>
      </c>
      <c r="AT447" t="b">
        <v>0</v>
      </c>
      <c r="AV447">
        <v>4.0</v>
      </c>
      <c r="AW447" t="b">
        <v>0</v>
      </c>
      <c r="AZ447" t="b">
        <v>0</v>
      </c>
      <c r="BA447" t="b">
        <v>1</v>
      </c>
      <c r="BB447" t="b">
        <v>1</v>
      </c>
      <c r="BC447" t="s">
        <v>9419</v>
      </c>
      <c r="BH447" t="s">
        <v>132</v>
      </c>
      <c r="BI447">
        <v>4.0</v>
      </c>
      <c r="BJ447" t="s">
        <v>9420</v>
      </c>
      <c r="BK447">
        <v>4.0</v>
      </c>
      <c r="BL447">
        <v>4.0</v>
      </c>
      <c r="BM447" t="s">
        <v>9421</v>
      </c>
      <c r="BN447">
        <v>3.0</v>
      </c>
      <c r="BO447">
        <v>3.0</v>
      </c>
      <c r="BP447" t="s">
        <v>9422</v>
      </c>
      <c r="BQ447" t="s">
        <v>977</v>
      </c>
      <c r="BR447" t="s">
        <v>9423</v>
      </c>
      <c r="BS447" t="s">
        <v>9424</v>
      </c>
      <c r="BU447" t="s">
        <v>9425</v>
      </c>
      <c r="BV447" s="3" t="str">
        <f>HYPERLINK("https://api.typeform.com/responses/files/5c31a488b9de2eb61c3f7c136cd3de8d463f57ca0c29306c8deb23c21ac5e170/NILOY_AHMED___SPEAKHIRE_2021___Parent_Consent_Form.pdf")</f>
        <v>https://api.typeform.com/responses/files/5c31a488b9de2eb61c3f7c136cd3de8d463f57ca0c29306c8deb23c21ac5e170/NILOY_AHMED___SPEAKHIRE_2021___Parent_Consent_Form.pdf</v>
      </c>
      <c r="BW447" t="b">
        <v>1</v>
      </c>
      <c r="BX447" t="s">
        <v>1394</v>
      </c>
      <c r="BY447" t="s">
        <v>140</v>
      </c>
      <c r="CA447" t="s">
        <v>1395</v>
      </c>
      <c r="CD447">
        <v>0.0</v>
      </c>
      <c r="CF447" t="b">
        <v>1</v>
      </c>
      <c r="CG447" t="b">
        <v>1</v>
      </c>
      <c r="CH447" t="s">
        <v>1935</v>
      </c>
      <c r="CJ447" t="b">
        <v>1</v>
      </c>
      <c r="CK447" t="b">
        <v>1</v>
      </c>
      <c r="CL447" t="s">
        <v>636</v>
      </c>
      <c r="CO447" t="s">
        <v>124</v>
      </c>
      <c r="CR447" t="b">
        <v>1</v>
      </c>
      <c r="CT447">
        <v>1.0</v>
      </c>
      <c r="CU447">
        <v>0.0</v>
      </c>
      <c r="CX447" s="4" t="s">
        <v>2914</v>
      </c>
      <c r="CZ447" s="5">
        <v>44553.697858796295</v>
      </c>
      <c r="DA447" t="s">
        <v>9426</v>
      </c>
    </row>
    <row r="448">
      <c r="A448" t="s">
        <v>98</v>
      </c>
      <c r="D448" t="s">
        <v>9427</v>
      </c>
      <c r="E448" t="s">
        <v>667</v>
      </c>
      <c r="F448" s="2">
        <v>37684.0</v>
      </c>
      <c r="G448" t="s">
        <v>1466</v>
      </c>
      <c r="I448" s="3" t="str">
        <f>HYPERLINK("https://api.typeform.com/responses/files/380d45bb523050f5af4fa837ee4cc7b414346bd29fddc3299cc06dcd0c35d6e8/IMG_6899.jpg")</f>
        <v>https://api.typeform.com/responses/files/380d45bb523050f5af4fa837ee4cc7b414346bd29fddc3299cc06dcd0c35d6e8/IMG_6899.jpg</v>
      </c>
      <c r="J448" t="s">
        <v>9428</v>
      </c>
      <c r="K448" t="b">
        <v>1</v>
      </c>
      <c r="L448" s="4" t="s">
        <v>9429</v>
      </c>
      <c r="M448" t="s">
        <v>9430</v>
      </c>
      <c r="N448" t="s">
        <v>354</v>
      </c>
      <c r="O448" t="s">
        <v>355</v>
      </c>
      <c r="P448" t="s">
        <v>9431</v>
      </c>
      <c r="Q448" t="s">
        <v>189</v>
      </c>
      <c r="R448" t="s">
        <v>8191</v>
      </c>
      <c r="S448" t="s">
        <v>9432</v>
      </c>
      <c r="T448" s="4" t="s">
        <v>9433</v>
      </c>
      <c r="U448" t="s">
        <v>9399</v>
      </c>
      <c r="V448" t="s">
        <v>9434</v>
      </c>
      <c r="W448" t="s">
        <v>2290</v>
      </c>
      <c r="Y448" t="s">
        <v>158</v>
      </c>
      <c r="Z448" t="s">
        <v>262</v>
      </c>
      <c r="AC448" s="3" t="str">
        <f>HYPERLINK("https://api.typeform.com/responses/files/c8e66d5ec0538dcee3dc4e1fb05c457021a0762ea3996082b945d8a10389b516/IMG_6856.jpg")</f>
        <v>https://api.typeform.com/responses/files/c8e66d5ec0538dcee3dc4e1fb05c457021a0762ea3996082b945d8a10389b516/IMG_6856.jpg</v>
      </c>
      <c r="AD448" t="s">
        <v>118</v>
      </c>
      <c r="AE448" t="s">
        <v>729</v>
      </c>
      <c r="AF448" t="s">
        <v>4450</v>
      </c>
      <c r="AG448">
        <v>16.0</v>
      </c>
      <c r="AH448" s="4" t="s">
        <v>639</v>
      </c>
      <c r="AI448" t="s">
        <v>543</v>
      </c>
      <c r="AL448" t="s">
        <v>199</v>
      </c>
      <c r="AO448" t="s">
        <v>335</v>
      </c>
      <c r="AP448">
        <v>6.0</v>
      </c>
      <c r="AQ448" t="s">
        <v>201</v>
      </c>
      <c r="AR448" t="s">
        <v>4633</v>
      </c>
      <c r="AS448" t="b">
        <v>1</v>
      </c>
      <c r="AT448" t="b">
        <v>1</v>
      </c>
      <c r="AV448">
        <v>5.0</v>
      </c>
      <c r="AW448" t="b">
        <v>0</v>
      </c>
      <c r="AZ448" t="b">
        <v>0</v>
      </c>
      <c r="BA448" t="b">
        <v>1</v>
      </c>
      <c r="BB448" t="b">
        <v>0</v>
      </c>
      <c r="BC448" t="s">
        <v>4633</v>
      </c>
      <c r="BH448" t="s">
        <v>132</v>
      </c>
      <c r="BI448">
        <v>1.0</v>
      </c>
      <c r="BJ448" t="s">
        <v>9435</v>
      </c>
      <c r="BK448">
        <v>3.0</v>
      </c>
      <c r="BL448">
        <v>3.0</v>
      </c>
      <c r="BM448" t="s">
        <v>7922</v>
      </c>
      <c r="BN448">
        <v>3.0</v>
      </c>
      <c r="BO448">
        <v>3.0</v>
      </c>
      <c r="BP448" t="s">
        <v>9436</v>
      </c>
      <c r="BQ448" t="s">
        <v>1931</v>
      </c>
      <c r="BR448" t="s">
        <v>9437</v>
      </c>
      <c r="BS448" t="s">
        <v>9438</v>
      </c>
      <c r="BU448" t="s">
        <v>139</v>
      </c>
      <c r="BV448" s="3" t="str">
        <f>HYPERLINK("https://api.typeform.com/responses/files/15ae471fd8755f7771abbac4716a6e4028e2784199557eb5e046179b6d80af23/YONATHAN_DAVID_MARTINEZ_PEREZ___SPEAKHIRE_2021___Parent_Consent_Form.pdf")</f>
        <v>https://api.typeform.com/responses/files/15ae471fd8755f7771abbac4716a6e4028e2784199557eb5e046179b6d80af23/YONATHAN_DAVID_MARTINEZ_PEREZ___SPEAKHIRE_2021___Parent_Consent_Form.pdf</v>
      </c>
      <c r="BW448" t="b">
        <v>1</v>
      </c>
      <c r="BX448" t="s">
        <v>1394</v>
      </c>
      <c r="BY448" t="s">
        <v>140</v>
      </c>
      <c r="CA448" t="s">
        <v>1395</v>
      </c>
      <c r="CD448">
        <v>0.0</v>
      </c>
      <c r="CF448" t="b">
        <v>1</v>
      </c>
      <c r="CG448" t="b">
        <v>0</v>
      </c>
      <c r="CH448" t="s">
        <v>9439</v>
      </c>
      <c r="CJ448" t="b">
        <v>0</v>
      </c>
      <c r="CK448" t="b">
        <v>1</v>
      </c>
      <c r="CL448" t="s">
        <v>387</v>
      </c>
      <c r="CO448" t="s">
        <v>1688</v>
      </c>
      <c r="CR448" t="b">
        <v>1</v>
      </c>
      <c r="CT448">
        <v>0.0</v>
      </c>
      <c r="CU448">
        <v>0.0</v>
      </c>
      <c r="CX448" s="4" t="s">
        <v>734</v>
      </c>
      <c r="CZ448" s="5">
        <v>44553.72835648148</v>
      </c>
      <c r="DA448" t="s">
        <v>9440</v>
      </c>
    </row>
    <row r="449">
      <c r="A449" t="s">
        <v>98</v>
      </c>
      <c r="D449" t="s">
        <v>9441</v>
      </c>
      <c r="E449" t="s">
        <v>5979</v>
      </c>
      <c r="F449" s="2">
        <v>37807.0</v>
      </c>
      <c r="G449" t="s">
        <v>1360</v>
      </c>
      <c r="I449" s="3" t="str">
        <f>HYPERLINK("https://api.typeform.com/responses/files/e1ce4ba90f30e22176637aade37143e1fa9bfdaac9f7e84d5b665f7647230b90/39fc2d4e_8029_4f86_825e_5b22c933609f__1_.JPG")</f>
        <v>https://api.typeform.com/responses/files/e1ce4ba90f30e22176637aade37143e1fa9bfdaac9f7e84d5b665f7647230b90/39fc2d4e_8029_4f86_825e_5b22c933609f__1_.JPG</v>
      </c>
      <c r="J449" t="s">
        <v>9442</v>
      </c>
      <c r="K449" t="b">
        <v>1</v>
      </c>
      <c r="L449" s="4" t="s">
        <v>9443</v>
      </c>
      <c r="M449" t="s">
        <v>9444</v>
      </c>
      <c r="N449" t="s">
        <v>149</v>
      </c>
      <c r="O449" t="s">
        <v>9445</v>
      </c>
      <c r="P449" t="s">
        <v>9446</v>
      </c>
      <c r="Q449" t="s">
        <v>189</v>
      </c>
      <c r="R449" t="s">
        <v>9442</v>
      </c>
      <c r="S449" t="s">
        <v>9444</v>
      </c>
      <c r="T449" s="4" t="s">
        <v>9447</v>
      </c>
      <c r="U449" t="s">
        <v>7489</v>
      </c>
      <c r="V449" t="s">
        <v>8676</v>
      </c>
      <c r="W449" t="s">
        <v>2290</v>
      </c>
      <c r="Y449" t="s">
        <v>114</v>
      </c>
      <c r="Z449" t="s">
        <v>262</v>
      </c>
      <c r="AC449" s="3" t="str">
        <f>HYPERLINK("https://api.typeform.com/responses/files/1e0999bf4c01fc0613406cb5818f0e52c29156c07afd74f18dcad80ab3bed142/Progress_Report_for_Josselyn_Rivera_2021_12_21_15_11__1_.pdf")</f>
        <v>https://api.typeform.com/responses/files/1e0999bf4c01fc0613406cb5818f0e52c29156c07afd74f18dcad80ab3bed142/Progress_Report_for_Josselyn_Rivera_2021_12_21_15_11__1_.pdf</v>
      </c>
      <c r="AD449" t="s">
        <v>118</v>
      </c>
      <c r="AE449" t="s">
        <v>729</v>
      </c>
      <c r="AF449" t="s">
        <v>4450</v>
      </c>
      <c r="AG449">
        <v>16.0</v>
      </c>
      <c r="AH449" t="s">
        <v>9448</v>
      </c>
      <c r="AI449" t="s">
        <v>205</v>
      </c>
      <c r="AK449" t="s">
        <v>9449</v>
      </c>
      <c r="AL449" t="s">
        <v>199</v>
      </c>
      <c r="AO449" t="s">
        <v>125</v>
      </c>
      <c r="AP449">
        <v>3.0</v>
      </c>
      <c r="AQ449" t="s">
        <v>126</v>
      </c>
      <c r="AR449" t="s">
        <v>9450</v>
      </c>
      <c r="AS449" t="b">
        <v>1</v>
      </c>
      <c r="AT449" t="b">
        <v>0</v>
      </c>
      <c r="AV449">
        <v>6.0</v>
      </c>
      <c r="AW449" t="b">
        <v>0</v>
      </c>
      <c r="AZ449" t="b">
        <v>0</v>
      </c>
      <c r="BA449" t="b">
        <v>0</v>
      </c>
      <c r="BD449" t="s">
        <v>1348</v>
      </c>
      <c r="BH449" t="s">
        <v>132</v>
      </c>
      <c r="BI449">
        <v>2.0</v>
      </c>
      <c r="BJ449" t="s">
        <v>9451</v>
      </c>
      <c r="BK449">
        <v>2.0</v>
      </c>
      <c r="BL449">
        <v>3.0</v>
      </c>
      <c r="BM449" t="s">
        <v>9452</v>
      </c>
      <c r="BN449">
        <v>2.0</v>
      </c>
      <c r="BO449">
        <v>3.0</v>
      </c>
      <c r="BP449" t="s">
        <v>9453</v>
      </c>
      <c r="BQ449" t="s">
        <v>1258</v>
      </c>
      <c r="BR449" t="s">
        <v>9454</v>
      </c>
      <c r="BS449" t="s">
        <v>9455</v>
      </c>
      <c r="BU449" t="s">
        <v>1348</v>
      </c>
      <c r="BV449" s="3" t="str">
        <f>HYPERLINK("https://api.typeform.com/responses/files/db305bde739a24513c1bd35aa755de66123f4c0a78b4c9fad4846a8077ace1e0/JOSSELYN_RIVERA___SPEAKHIRE_2021___Parent_Consent_Form.pdf")</f>
        <v>https://api.typeform.com/responses/files/db305bde739a24513c1bd35aa755de66123f4c0a78b4c9fad4846a8077ace1e0/JOSSELYN_RIVERA___SPEAKHIRE_2021___Parent_Consent_Form.pdf</v>
      </c>
      <c r="BW449" t="b">
        <v>1</v>
      </c>
      <c r="BX449" t="s">
        <v>1394</v>
      </c>
      <c r="BY449" t="s">
        <v>140</v>
      </c>
      <c r="CA449" t="s">
        <v>1395</v>
      </c>
      <c r="CD449">
        <v>0.0</v>
      </c>
      <c r="CF449" t="b">
        <v>1</v>
      </c>
      <c r="CG449" t="b">
        <v>1</v>
      </c>
      <c r="CH449" t="s">
        <v>1886</v>
      </c>
      <c r="CJ449" t="b">
        <v>1</v>
      </c>
      <c r="CK449" t="b">
        <v>1</v>
      </c>
      <c r="CL449" t="s">
        <v>2301</v>
      </c>
      <c r="CO449" t="s">
        <v>4986</v>
      </c>
      <c r="CR449" t="b">
        <v>1</v>
      </c>
      <c r="CT449">
        <v>0.0</v>
      </c>
      <c r="CU449">
        <v>2.0</v>
      </c>
      <c r="CX449" s="4" t="s">
        <v>2914</v>
      </c>
      <c r="CZ449" s="5">
        <v>44553.73253472222</v>
      </c>
      <c r="DA449" t="s">
        <v>9456</v>
      </c>
    </row>
    <row r="450">
      <c r="A450" t="s">
        <v>98</v>
      </c>
      <c r="D450" t="s">
        <v>8449</v>
      </c>
      <c r="E450" t="s">
        <v>2611</v>
      </c>
      <c r="F450" s="2">
        <v>38598.0</v>
      </c>
      <c r="G450" t="s">
        <v>1562</v>
      </c>
      <c r="I450" s="3" t="str">
        <f>HYPERLINK("https://api.typeform.com/responses/files/da4ab878d94342b790f8862f7add139862d055448ff3f71d45b310edc7cdf3bd/IMG_8125.jpg")</f>
        <v>https://api.typeform.com/responses/files/da4ab878d94342b790f8862f7add139862d055448ff3f71d45b310edc7cdf3bd/IMG_8125.jpg</v>
      </c>
      <c r="J450" t="s">
        <v>9457</v>
      </c>
      <c r="K450" t="b">
        <v>1</v>
      </c>
      <c r="L450" s="4" t="s">
        <v>9458</v>
      </c>
      <c r="M450" t="s">
        <v>9459</v>
      </c>
      <c r="N450" t="s">
        <v>255</v>
      </c>
      <c r="O450" t="s">
        <v>9460</v>
      </c>
      <c r="P450" t="s">
        <v>9461</v>
      </c>
      <c r="Q450" t="s">
        <v>189</v>
      </c>
      <c r="R450" t="s">
        <v>9457</v>
      </c>
      <c r="S450" t="s">
        <v>9459</v>
      </c>
      <c r="T450" s="4" t="s">
        <v>9462</v>
      </c>
      <c r="U450" t="s">
        <v>9463</v>
      </c>
      <c r="V450" t="s">
        <v>8676</v>
      </c>
      <c r="W450" t="s">
        <v>2290</v>
      </c>
      <c r="Y450" t="s">
        <v>158</v>
      </c>
      <c r="Z450" t="s">
        <v>262</v>
      </c>
      <c r="AC450" s="3" t="str">
        <f>HYPERLINK("https://api.typeform.com/responses/files/a5db9c96a0182b9227cd8e100bdab5f5be37439d8fa9d9ac011638d90c909887/IMG_8050.jpg")</f>
        <v>https://api.typeform.com/responses/files/a5db9c96a0182b9227cd8e100bdab5f5be37439d8fa9d9ac011638d90c909887/IMG_8050.jpg</v>
      </c>
      <c r="AD450" t="s">
        <v>118</v>
      </c>
      <c r="AE450" t="s">
        <v>729</v>
      </c>
      <c r="AF450" t="s">
        <v>4450</v>
      </c>
      <c r="AG450">
        <v>14.0</v>
      </c>
      <c r="AH450" t="s">
        <v>7222</v>
      </c>
      <c r="AI450" t="s">
        <v>543</v>
      </c>
      <c r="AK450" t="s">
        <v>139</v>
      </c>
      <c r="AL450" t="s">
        <v>1043</v>
      </c>
      <c r="AO450" t="s">
        <v>335</v>
      </c>
      <c r="AP450">
        <v>5.0</v>
      </c>
      <c r="AQ450" t="s">
        <v>1070</v>
      </c>
      <c r="AR450" t="s">
        <v>9464</v>
      </c>
      <c r="AS450" t="b">
        <v>1</v>
      </c>
      <c r="AT450" t="b">
        <v>0</v>
      </c>
      <c r="AV450">
        <v>5.0</v>
      </c>
      <c r="AW450" t="b">
        <v>1</v>
      </c>
      <c r="AX450" t="s">
        <v>1902</v>
      </c>
      <c r="AY450" s="4" t="s">
        <v>170</v>
      </c>
      <c r="AZ450" t="b">
        <v>1</v>
      </c>
      <c r="BA450" t="b">
        <v>1</v>
      </c>
      <c r="BB450" t="b">
        <v>0</v>
      </c>
      <c r="BC450" t="s">
        <v>9465</v>
      </c>
      <c r="BH450" t="s">
        <v>132</v>
      </c>
      <c r="BI450">
        <v>6.0</v>
      </c>
      <c r="BJ450" t="s">
        <v>9466</v>
      </c>
      <c r="BK450">
        <v>5.0</v>
      </c>
      <c r="BL450">
        <v>7.0</v>
      </c>
      <c r="BM450" t="s">
        <v>9467</v>
      </c>
      <c r="BN450">
        <v>6.0</v>
      </c>
      <c r="BO450">
        <v>5.0</v>
      </c>
      <c r="BP450" t="s">
        <v>9468</v>
      </c>
      <c r="BQ450" t="s">
        <v>1050</v>
      </c>
      <c r="BR450" t="s">
        <v>9469</v>
      </c>
      <c r="BS450" t="s">
        <v>9470</v>
      </c>
      <c r="BU450" t="s">
        <v>139</v>
      </c>
      <c r="BV450" s="3" t="str">
        <f>HYPERLINK("https://api.typeform.com/responses/files/fcaca1e51ba4fe10fd528787be2b1e7aad2f6884b62a659a4cdd32f23c113d41/Screen_Shot_2021_12_23_at_12.53.56_PM.png")</f>
        <v>https://api.typeform.com/responses/files/fcaca1e51ba4fe10fd528787be2b1e7aad2f6884b62a659a4cdd32f23c113d41/Screen_Shot_2021_12_23_at_12.53.56_PM.png</v>
      </c>
      <c r="BW450" t="b">
        <v>1</v>
      </c>
      <c r="BX450" t="s">
        <v>1394</v>
      </c>
      <c r="BY450" t="s">
        <v>140</v>
      </c>
      <c r="CA450" t="s">
        <v>1395</v>
      </c>
      <c r="CD450">
        <v>0.0</v>
      </c>
      <c r="CF450" t="b">
        <v>0</v>
      </c>
      <c r="CG450" t="b">
        <v>0</v>
      </c>
      <c r="CH450" t="s">
        <v>168</v>
      </c>
      <c r="CJ450" t="b">
        <v>1</v>
      </c>
      <c r="CK450" t="b">
        <v>1</v>
      </c>
      <c r="CL450" t="s">
        <v>387</v>
      </c>
      <c r="CN450" t="s">
        <v>7222</v>
      </c>
      <c r="CO450" t="s">
        <v>2500</v>
      </c>
      <c r="CR450" t="b">
        <v>1</v>
      </c>
      <c r="CT450">
        <v>1.0</v>
      </c>
      <c r="CU450">
        <v>0.0</v>
      </c>
      <c r="CX450" s="4" t="s">
        <v>3882</v>
      </c>
      <c r="CZ450" s="5">
        <v>44553.74653935185</v>
      </c>
      <c r="DA450" t="s">
        <v>9471</v>
      </c>
    </row>
    <row r="451">
      <c r="A451" t="s">
        <v>98</v>
      </c>
      <c r="D451" t="s">
        <v>9472</v>
      </c>
      <c r="E451" t="s">
        <v>3633</v>
      </c>
      <c r="F451" s="2">
        <v>38462.0</v>
      </c>
      <c r="G451" t="s">
        <v>1466</v>
      </c>
      <c r="I451" s="3" t="str">
        <f>HYPERLINK("https://api.typeform.com/responses/files/50ae2b3c49edbdc94e6a681130ae5d85ffec179387eb6f3dca1e863e6a6bc764/abdul.png")</f>
        <v>https://api.typeform.com/responses/files/50ae2b3c49edbdc94e6a681130ae5d85ffec179387eb6f3dca1e863e6a6bc764/abdul.png</v>
      </c>
      <c r="J451" t="s">
        <v>9473</v>
      </c>
      <c r="K451" t="b">
        <v>1</v>
      </c>
      <c r="L451" s="4" t="s">
        <v>9474</v>
      </c>
      <c r="M451" t="s">
        <v>9475</v>
      </c>
      <c r="N451" t="s">
        <v>255</v>
      </c>
      <c r="P451" t="s">
        <v>3633</v>
      </c>
      <c r="Q451" t="s">
        <v>152</v>
      </c>
      <c r="R451" t="s">
        <v>9476</v>
      </c>
      <c r="S451" t="s">
        <v>9477</v>
      </c>
      <c r="T451" s="4" t="s">
        <v>9478</v>
      </c>
      <c r="U451" t="s">
        <v>7919</v>
      </c>
      <c r="V451" t="s">
        <v>7802</v>
      </c>
      <c r="W451" t="s">
        <v>1412</v>
      </c>
      <c r="Y451" t="s">
        <v>158</v>
      </c>
      <c r="Z451" t="s">
        <v>262</v>
      </c>
      <c r="AC451" s="3" t="str">
        <f>HYPERLINK("https://api.typeform.com/responses/files/7e1a6914fe0d9294867a6604837b5a8857c0d668560d857f23b1d0d6f720f7d5/_Copy.docx")</f>
        <v>https://api.typeform.com/responses/files/7e1a6914fe0d9294867a6604837b5a8857c0d668560d857f23b1d0d6f720f7d5/_Copy.docx</v>
      </c>
      <c r="AD451" t="s">
        <v>118</v>
      </c>
      <c r="AE451" t="s">
        <v>729</v>
      </c>
      <c r="AF451" t="s">
        <v>9479</v>
      </c>
      <c r="AG451">
        <v>11.0</v>
      </c>
      <c r="AH451" s="4" t="s">
        <v>1428</v>
      </c>
      <c r="AI451" t="s">
        <v>121</v>
      </c>
      <c r="AK451" t="s">
        <v>9480</v>
      </c>
      <c r="AL451" t="s">
        <v>165</v>
      </c>
      <c r="AO451" t="s">
        <v>125</v>
      </c>
      <c r="AP451">
        <v>5.0</v>
      </c>
      <c r="AQ451" t="s">
        <v>303</v>
      </c>
      <c r="AR451" t="s">
        <v>6087</v>
      </c>
      <c r="AS451" t="b">
        <v>1</v>
      </c>
      <c r="AT451" t="b">
        <v>0</v>
      </c>
      <c r="AV451">
        <v>7.0</v>
      </c>
      <c r="AW451" t="b">
        <v>1</v>
      </c>
      <c r="AX451" s="4" t="s">
        <v>1521</v>
      </c>
      <c r="AY451" t="s">
        <v>1045</v>
      </c>
      <c r="AZ451" t="b">
        <v>0</v>
      </c>
      <c r="BA451" t="b">
        <v>1</v>
      </c>
      <c r="BB451" t="b">
        <v>0</v>
      </c>
      <c r="BC451" t="s">
        <v>9481</v>
      </c>
      <c r="BH451" t="s">
        <v>132</v>
      </c>
      <c r="BI451">
        <v>4.0</v>
      </c>
      <c r="BJ451" t="s">
        <v>9482</v>
      </c>
      <c r="BK451">
        <v>5.0</v>
      </c>
      <c r="BL451">
        <v>7.0</v>
      </c>
      <c r="BM451" t="s">
        <v>9483</v>
      </c>
      <c r="BN451">
        <v>5.0</v>
      </c>
      <c r="BO451">
        <v>5.0</v>
      </c>
      <c r="BP451" t="s">
        <v>7205</v>
      </c>
      <c r="BQ451" t="s">
        <v>1881</v>
      </c>
      <c r="BR451" t="s">
        <v>9484</v>
      </c>
      <c r="BS451" t="s">
        <v>9485</v>
      </c>
      <c r="BU451" t="s">
        <v>9486</v>
      </c>
      <c r="BV451" s="3" t="str">
        <f>HYPERLINK("https://api.typeform.com/responses/files/828e5f0655c2da21eb0101fed775e4365948d6186d78f4e7a7581001eddda9be/ali.pdf")</f>
        <v>https://api.typeform.com/responses/files/828e5f0655c2da21eb0101fed775e4365948d6186d78f4e7a7581001eddda9be/ali.pdf</v>
      </c>
      <c r="BW451" t="b">
        <v>1</v>
      </c>
      <c r="BX451" t="s">
        <v>1394</v>
      </c>
      <c r="BY451" t="s">
        <v>140</v>
      </c>
      <c r="CA451" t="s">
        <v>1395</v>
      </c>
      <c r="CD451">
        <v>0.0</v>
      </c>
      <c r="CF451" t="b">
        <v>1</v>
      </c>
      <c r="CG451" t="b">
        <v>1</v>
      </c>
      <c r="CH451" t="s">
        <v>9487</v>
      </c>
      <c r="CJ451" t="b">
        <v>1</v>
      </c>
      <c r="CK451" t="b">
        <v>1</v>
      </c>
      <c r="CL451" t="s">
        <v>163</v>
      </c>
      <c r="CO451" t="s">
        <v>124</v>
      </c>
      <c r="CR451" t="b">
        <v>1</v>
      </c>
      <c r="CT451">
        <v>1.0</v>
      </c>
      <c r="CU451">
        <v>1.0</v>
      </c>
      <c r="CX451" s="4" t="s">
        <v>9488</v>
      </c>
      <c r="CZ451" s="5">
        <v>44553.776030092595</v>
      </c>
      <c r="DA451" t="s">
        <v>9489</v>
      </c>
    </row>
    <row r="452">
      <c r="A452" t="s">
        <v>98</v>
      </c>
      <c r="D452" t="s">
        <v>8487</v>
      </c>
      <c r="E452" t="s">
        <v>9490</v>
      </c>
      <c r="F452" s="2">
        <v>38270.0</v>
      </c>
      <c r="G452" t="s">
        <v>1360</v>
      </c>
      <c r="I452" s="3" t="str">
        <f>HYPERLINK("https://api.typeform.com/responses/files/ef676f5a2d7a2b396be5f426aa9fa118f68a340c87bb67801fbf55aaf453e40e/Screen_Shot_2021_12_23_at_1.22.41_PM.png")</f>
        <v>https://api.typeform.com/responses/files/ef676f5a2d7a2b396be5f426aa9fa118f68a340c87bb67801fbf55aaf453e40e/Screen_Shot_2021_12_23_at_1.22.41_PM.png</v>
      </c>
      <c r="J452" t="s">
        <v>9491</v>
      </c>
      <c r="K452" t="b">
        <v>1</v>
      </c>
      <c r="L452" s="4" t="s">
        <v>9492</v>
      </c>
      <c r="M452" t="s">
        <v>9493</v>
      </c>
      <c r="N452" t="s">
        <v>255</v>
      </c>
      <c r="O452" t="s">
        <v>9494</v>
      </c>
      <c r="P452" t="s">
        <v>9495</v>
      </c>
      <c r="Q452" t="s">
        <v>292</v>
      </c>
      <c r="R452" t="s">
        <v>8191</v>
      </c>
      <c r="S452" t="s">
        <v>9493</v>
      </c>
      <c r="T452" s="4" t="s">
        <v>9496</v>
      </c>
      <c r="U452" t="s">
        <v>7424</v>
      </c>
      <c r="V452" t="s">
        <v>9497</v>
      </c>
      <c r="W452" t="s">
        <v>261</v>
      </c>
      <c r="Y452" t="s">
        <v>158</v>
      </c>
      <c r="Z452" t="s">
        <v>262</v>
      </c>
      <c r="AC452" s="3" t="str">
        <f>HYPERLINK("https://api.typeform.com/responses/files/36436c5d428d6cb3e8d41bbb83b15798c7143923082726d217bf81a9d1add2d6/Screen_Shot_2021_12_23_at_1.29.30_PM.png")</f>
        <v>https://api.typeform.com/responses/files/36436c5d428d6cb3e8d41bbb83b15798c7143923082726d217bf81a9d1add2d6/Screen_Shot_2021_12_23_at_1.29.30_PM.png</v>
      </c>
      <c r="AD452" t="s">
        <v>118</v>
      </c>
      <c r="AE452" t="s">
        <v>729</v>
      </c>
      <c r="AF452" t="s">
        <v>2651</v>
      </c>
      <c r="AG452">
        <v>14.0</v>
      </c>
      <c r="AH452" s="4" t="s">
        <v>547</v>
      </c>
      <c r="AI452" t="s">
        <v>205</v>
      </c>
      <c r="AK452" t="s">
        <v>4747</v>
      </c>
      <c r="AL452" t="s">
        <v>199</v>
      </c>
      <c r="AO452" t="s">
        <v>125</v>
      </c>
      <c r="AP452">
        <v>3.0</v>
      </c>
      <c r="AQ452" t="s">
        <v>303</v>
      </c>
      <c r="AR452" t="s">
        <v>9498</v>
      </c>
      <c r="AS452" t="b">
        <v>1</v>
      </c>
      <c r="AT452" t="b">
        <v>1</v>
      </c>
      <c r="AV452">
        <v>5.0</v>
      </c>
      <c r="AW452" t="b">
        <v>1</v>
      </c>
      <c r="AX452" t="s">
        <v>1902</v>
      </c>
      <c r="AY452" t="s">
        <v>706</v>
      </c>
      <c r="AZ452" t="b">
        <v>1</v>
      </c>
      <c r="BA452" t="b">
        <v>1</v>
      </c>
      <c r="BB452" t="b">
        <v>0</v>
      </c>
      <c r="BC452" t="s">
        <v>9499</v>
      </c>
      <c r="BH452" t="s">
        <v>132</v>
      </c>
      <c r="BI452">
        <v>4.0</v>
      </c>
      <c r="BJ452" t="s">
        <v>9500</v>
      </c>
      <c r="BK452">
        <v>3.0</v>
      </c>
      <c r="BL452">
        <v>4.0</v>
      </c>
      <c r="BM452" t="s">
        <v>9501</v>
      </c>
      <c r="BN452">
        <v>4.0</v>
      </c>
      <c r="BO452">
        <v>4.0</v>
      </c>
      <c r="BP452" t="s">
        <v>9502</v>
      </c>
      <c r="BQ452" t="s">
        <v>5321</v>
      </c>
      <c r="BR452" t="s">
        <v>9503</v>
      </c>
      <c r="BS452" t="s">
        <v>9504</v>
      </c>
      <c r="BU452" t="s">
        <v>179</v>
      </c>
      <c r="BV452" s="3" t="str">
        <f>HYPERLINK("https://api.typeform.com/responses/files/26d28978a5615d92e2336f1e15024927d8e14a7651e1868d7184e7d74d4b05ec/LADY_CALLE___SPEAKHIRE_2021_Parent_Consent_Form.pdf")</f>
        <v>https://api.typeform.com/responses/files/26d28978a5615d92e2336f1e15024927d8e14a7651e1868d7184e7d74d4b05ec/LADY_CALLE___SPEAKHIRE_2021_Parent_Consent_Form.pdf</v>
      </c>
      <c r="BW452" t="b">
        <v>1</v>
      </c>
      <c r="BX452" t="s">
        <v>1394</v>
      </c>
      <c r="BY452" t="s">
        <v>140</v>
      </c>
      <c r="CA452" t="s">
        <v>1395</v>
      </c>
      <c r="CD452">
        <v>0.0</v>
      </c>
      <c r="CF452" t="b">
        <v>0</v>
      </c>
      <c r="CG452" t="b">
        <v>0</v>
      </c>
      <c r="CH452" t="s">
        <v>7946</v>
      </c>
      <c r="CJ452" t="b">
        <v>1</v>
      </c>
      <c r="CK452" t="b">
        <v>1</v>
      </c>
      <c r="CL452" t="s">
        <v>2301</v>
      </c>
      <c r="CO452" t="s">
        <v>1635</v>
      </c>
      <c r="CR452" t="b">
        <v>1</v>
      </c>
      <c r="CT452">
        <v>0.0</v>
      </c>
      <c r="CU452">
        <v>0.0</v>
      </c>
      <c r="CX452" t="s">
        <v>9505</v>
      </c>
      <c r="CZ452" s="5">
        <v>44553.78988425926</v>
      </c>
      <c r="DA452" t="s">
        <v>9506</v>
      </c>
    </row>
    <row r="453">
      <c r="A453" t="s">
        <v>98</v>
      </c>
      <c r="D453" t="s">
        <v>9507</v>
      </c>
      <c r="E453" t="s">
        <v>9508</v>
      </c>
      <c r="F453" s="2">
        <v>38546.0</v>
      </c>
      <c r="G453" t="s">
        <v>1466</v>
      </c>
      <c r="I453" s="3" t="str">
        <f>HYPERLINK("https://api.typeform.com/responses/files/074927c62f621459bd54b66bd7e19d74cef62b1b7ec6aef3b3005dcfd6c58045/B38FA940_85B7_458D_A321_EBB9DE387160.jpg")</f>
        <v>https://api.typeform.com/responses/files/074927c62f621459bd54b66bd7e19d74cef62b1b7ec6aef3b3005dcfd6c58045/B38FA940_85B7_458D_A321_EBB9DE387160.jpg</v>
      </c>
      <c r="J453" t="s">
        <v>9509</v>
      </c>
      <c r="K453" t="b">
        <v>1</v>
      </c>
      <c r="L453" s="4" t="s">
        <v>9510</v>
      </c>
      <c r="M453" t="s">
        <v>9511</v>
      </c>
      <c r="N453" t="s">
        <v>255</v>
      </c>
      <c r="P453" t="s">
        <v>9512</v>
      </c>
      <c r="Q453" t="s">
        <v>189</v>
      </c>
      <c r="R453" t="s">
        <v>9513</v>
      </c>
      <c r="S453" t="s">
        <v>9511</v>
      </c>
      <c r="T453" s="4" t="s">
        <v>9514</v>
      </c>
      <c r="U453" t="s">
        <v>8100</v>
      </c>
      <c r="V453" t="s">
        <v>9515</v>
      </c>
      <c r="W453" t="s">
        <v>1412</v>
      </c>
      <c r="Y453" t="s">
        <v>158</v>
      </c>
      <c r="Z453" t="s">
        <v>262</v>
      </c>
      <c r="AC453" s="3" t="str">
        <f>HYPERLINK("https://api.typeform.com/responses/files/bebcf376b0b998afb391380b7104d25be21924b77108599bf8694dc71f5d7bc9/Report.docx")</f>
        <v>https://api.typeform.com/responses/files/bebcf376b0b998afb391380b7104d25be21924b77108599bf8694dc71f5d7bc9/Report.docx</v>
      </c>
      <c r="AD453" t="s">
        <v>118</v>
      </c>
      <c r="AE453" t="s">
        <v>729</v>
      </c>
      <c r="AF453" t="s">
        <v>1019</v>
      </c>
      <c r="AG453">
        <v>15.0</v>
      </c>
      <c r="AH453" s="4" t="s">
        <v>130</v>
      </c>
      <c r="AI453" t="s">
        <v>386</v>
      </c>
      <c r="AK453" t="s">
        <v>9516</v>
      </c>
      <c r="AL453" t="s">
        <v>199</v>
      </c>
      <c r="AO453" t="s">
        <v>125</v>
      </c>
      <c r="AP453">
        <v>4.0</v>
      </c>
      <c r="AQ453" t="s">
        <v>126</v>
      </c>
      <c r="AR453" t="s">
        <v>9517</v>
      </c>
      <c r="AS453" t="b">
        <v>1</v>
      </c>
      <c r="AT453" t="b">
        <v>0</v>
      </c>
      <c r="AV453">
        <v>7.0</v>
      </c>
      <c r="AW453" t="b">
        <v>1</v>
      </c>
      <c r="AX453" t="s">
        <v>1902</v>
      </c>
      <c r="AY453" s="4" t="s">
        <v>518</v>
      </c>
      <c r="AZ453" t="b">
        <v>0</v>
      </c>
      <c r="BA453" t="b">
        <v>0</v>
      </c>
      <c r="BD453" t="s">
        <v>9518</v>
      </c>
      <c r="BH453" t="s">
        <v>132</v>
      </c>
      <c r="BI453">
        <v>7.0</v>
      </c>
      <c r="BJ453" t="s">
        <v>9519</v>
      </c>
      <c r="BK453">
        <v>4.0</v>
      </c>
      <c r="BL453">
        <v>7.0</v>
      </c>
      <c r="BM453" t="s">
        <v>9520</v>
      </c>
      <c r="BN453">
        <v>5.0</v>
      </c>
      <c r="BO453">
        <v>5.0</v>
      </c>
      <c r="BP453" t="s">
        <v>9521</v>
      </c>
      <c r="BQ453" t="s">
        <v>1179</v>
      </c>
      <c r="BR453" t="s">
        <v>9522</v>
      </c>
      <c r="BS453" t="s">
        <v>9523</v>
      </c>
      <c r="BU453" t="s">
        <v>139</v>
      </c>
      <c r="BV453" s="3" t="str">
        <f>HYPERLINK("https://api.typeform.com/responses/files/bc22dca5876da122519efb3cd4c49fe1a2bcf1a8c477b0b2f500106a61b74777/20211223125144914.pdf")</f>
        <v>https://api.typeform.com/responses/files/bc22dca5876da122519efb3cd4c49fe1a2bcf1a8c477b0b2f500106a61b74777/20211223125144914.pdf</v>
      </c>
      <c r="BW453" t="b">
        <v>1</v>
      </c>
      <c r="BX453" t="s">
        <v>1394</v>
      </c>
      <c r="BY453" t="s">
        <v>140</v>
      </c>
      <c r="CA453" t="s">
        <v>1395</v>
      </c>
      <c r="CD453">
        <v>0.0</v>
      </c>
      <c r="CF453" t="b">
        <v>1</v>
      </c>
      <c r="CG453" t="b">
        <v>1</v>
      </c>
      <c r="CH453" t="s">
        <v>9524</v>
      </c>
      <c r="CJ453" t="b">
        <v>1</v>
      </c>
      <c r="CK453" t="b">
        <v>1</v>
      </c>
      <c r="CL453" t="s">
        <v>387</v>
      </c>
      <c r="CM453" t="s">
        <v>387</v>
      </c>
      <c r="CO453" t="s">
        <v>1635</v>
      </c>
      <c r="CR453" t="b">
        <v>1</v>
      </c>
      <c r="CT453">
        <v>1.0</v>
      </c>
      <c r="CU453">
        <v>2.0</v>
      </c>
      <c r="CX453" s="4" t="s">
        <v>9525</v>
      </c>
      <c r="CZ453" s="5">
        <v>44553.80228009259</v>
      </c>
      <c r="DA453" t="s">
        <v>9526</v>
      </c>
    </row>
    <row r="454">
      <c r="A454" t="s">
        <v>98</v>
      </c>
      <c r="D454" t="s">
        <v>9527</v>
      </c>
      <c r="E454" t="s">
        <v>4131</v>
      </c>
      <c r="F454" s="2">
        <v>37449.0</v>
      </c>
      <c r="G454" t="s">
        <v>1466</v>
      </c>
      <c r="I454" s="3" t="str">
        <f>HYPERLINK("https://api.typeform.com/responses/files/bf57638e471b987c8f286115e85f5ffe23328a995344495c9a283590222902ae/20190927_160250.jpg")</f>
        <v>https://api.typeform.com/responses/files/bf57638e471b987c8f286115e85f5ffe23328a995344495c9a283590222902ae/20190927_160250.jpg</v>
      </c>
      <c r="J454" t="s">
        <v>9528</v>
      </c>
      <c r="K454" t="b">
        <v>1</v>
      </c>
      <c r="L454" s="4" t="s">
        <v>9529</v>
      </c>
      <c r="M454" t="s">
        <v>9530</v>
      </c>
      <c r="N454" t="s">
        <v>354</v>
      </c>
      <c r="P454" t="s">
        <v>9531</v>
      </c>
      <c r="Q454" t="s">
        <v>189</v>
      </c>
      <c r="R454" t="s">
        <v>9532</v>
      </c>
      <c r="S454" t="s">
        <v>9533</v>
      </c>
      <c r="T454" s="4" t="s">
        <v>9534</v>
      </c>
      <c r="U454" t="s">
        <v>8100</v>
      </c>
      <c r="V454" t="s">
        <v>9535</v>
      </c>
      <c r="W454" t="s">
        <v>1412</v>
      </c>
      <c r="Y454" t="s">
        <v>158</v>
      </c>
      <c r="Z454" t="s">
        <v>262</v>
      </c>
      <c r="AC454" s="3" t="str">
        <f>HYPERLINK("https://api.typeform.com/responses/files/4b09f5039af095803a0d945a9775ff732776ee9490dc9d05fe43ae261d938480/Report.docx")</f>
        <v>https://api.typeform.com/responses/files/4b09f5039af095803a0d945a9775ff732776ee9490dc9d05fe43ae261d938480/Report.docx</v>
      </c>
      <c r="AD454" t="s">
        <v>118</v>
      </c>
      <c r="AE454" t="s">
        <v>729</v>
      </c>
      <c r="AF454" t="s">
        <v>1196</v>
      </c>
      <c r="AG454">
        <v>16.0</v>
      </c>
      <c r="AH454" s="4" t="s">
        <v>4159</v>
      </c>
      <c r="AI454" t="s">
        <v>205</v>
      </c>
      <c r="AK454" t="s">
        <v>1196</v>
      </c>
      <c r="AL454" t="s">
        <v>1043</v>
      </c>
      <c r="AO454" t="s">
        <v>335</v>
      </c>
      <c r="AP454">
        <v>4.0</v>
      </c>
      <c r="AQ454" t="s">
        <v>1520</v>
      </c>
      <c r="AR454" t="s">
        <v>9536</v>
      </c>
      <c r="AS454" t="b">
        <v>1</v>
      </c>
      <c r="AT454" t="b">
        <v>1</v>
      </c>
      <c r="AV454">
        <v>4.0</v>
      </c>
      <c r="AW454" t="b">
        <v>0</v>
      </c>
      <c r="AZ454" t="b">
        <v>0</v>
      </c>
      <c r="BA454" t="b">
        <v>1</v>
      </c>
      <c r="BB454" t="b">
        <v>1</v>
      </c>
      <c r="BC454" t="s">
        <v>9537</v>
      </c>
      <c r="BH454" t="s">
        <v>132</v>
      </c>
      <c r="BI454">
        <v>2.0</v>
      </c>
      <c r="BJ454" t="s">
        <v>9538</v>
      </c>
      <c r="BK454">
        <v>3.0</v>
      </c>
      <c r="BL454">
        <v>3.0</v>
      </c>
      <c r="BM454" t="s">
        <v>9539</v>
      </c>
      <c r="BN454">
        <v>3.0</v>
      </c>
      <c r="BO454">
        <v>3.0</v>
      </c>
      <c r="BP454" t="s">
        <v>9540</v>
      </c>
      <c r="BQ454" t="s">
        <v>916</v>
      </c>
      <c r="BR454" t="s">
        <v>9541</v>
      </c>
      <c r="BS454" t="s">
        <v>9542</v>
      </c>
      <c r="BU454" t="s">
        <v>9543</v>
      </c>
      <c r="BV454" s="3" t="str">
        <f>HYPERLINK("https://api.typeform.com/responses/files/859120ceba6039fbb46be62d67debf881ca17c4a79e18b6663507fb0ea50ee7e/20211223125307705.pdf")</f>
        <v>https://api.typeform.com/responses/files/859120ceba6039fbb46be62d67debf881ca17c4a79e18b6663507fb0ea50ee7e/20211223125307705.pdf</v>
      </c>
      <c r="BW454" t="b">
        <v>1</v>
      </c>
      <c r="BX454" t="s">
        <v>1394</v>
      </c>
      <c r="BY454" t="s">
        <v>140</v>
      </c>
      <c r="CA454" t="s">
        <v>1395</v>
      </c>
      <c r="CD454">
        <v>0.0</v>
      </c>
      <c r="CF454" t="b">
        <v>1</v>
      </c>
      <c r="CG454" t="b">
        <v>0</v>
      </c>
      <c r="CH454" t="s">
        <v>1557</v>
      </c>
      <c r="CJ454" t="b">
        <v>0</v>
      </c>
      <c r="CK454" t="b">
        <v>1</v>
      </c>
      <c r="CL454" t="s">
        <v>387</v>
      </c>
      <c r="CM454" t="s">
        <v>541</v>
      </c>
      <c r="CO454" t="s">
        <v>1635</v>
      </c>
      <c r="CQ454" t="s">
        <v>2301</v>
      </c>
      <c r="CR454" t="b">
        <v>1</v>
      </c>
      <c r="CT454">
        <v>1.0</v>
      </c>
      <c r="CU454">
        <v>5.0</v>
      </c>
      <c r="CX454" s="4" t="s">
        <v>9544</v>
      </c>
      <c r="CZ454" s="5">
        <v>44553.814988425926</v>
      </c>
      <c r="DA454" t="s">
        <v>9545</v>
      </c>
    </row>
    <row r="455">
      <c r="A455" t="s">
        <v>98</v>
      </c>
      <c r="D455" t="s">
        <v>9546</v>
      </c>
      <c r="E455" t="s">
        <v>9547</v>
      </c>
      <c r="F455" s="2">
        <v>38616.0</v>
      </c>
      <c r="G455" t="s">
        <v>1466</v>
      </c>
      <c r="I455" s="3" t="str">
        <f>HYPERLINK("https://api.typeform.com/responses/files/c565a8763fcec48fb39487f47d0a8ff95b7e4626ec35e2810d2b3a4613b9ad5e/image_6487327.JPG")</f>
        <v>https://api.typeform.com/responses/files/c565a8763fcec48fb39487f47d0a8ff95b7e4626ec35e2810d2b3a4613b9ad5e/image_6487327.JPG</v>
      </c>
      <c r="J455" t="s">
        <v>9548</v>
      </c>
      <c r="K455" t="b">
        <v>1</v>
      </c>
      <c r="L455" s="4" t="s">
        <v>9549</v>
      </c>
      <c r="M455" t="s">
        <v>9550</v>
      </c>
      <c r="N455" t="s">
        <v>255</v>
      </c>
      <c r="P455" t="s">
        <v>9551</v>
      </c>
      <c r="Q455" t="s">
        <v>152</v>
      </c>
      <c r="R455" t="s">
        <v>9552</v>
      </c>
      <c r="S455" t="s">
        <v>9553</v>
      </c>
      <c r="T455" s="4" t="s">
        <v>9554</v>
      </c>
      <c r="U455" t="s">
        <v>9555</v>
      </c>
      <c r="V455" t="s">
        <v>7825</v>
      </c>
      <c r="W455" t="s">
        <v>1412</v>
      </c>
      <c r="Y455" t="s">
        <v>158</v>
      </c>
      <c r="Z455" t="s">
        <v>262</v>
      </c>
      <c r="AC455" s="3" t="str">
        <f>HYPERLINK("https://api.typeform.com/responses/files/84933d688c61dc457cccc930e7517c631cfe5f76c35f9ace910dc80ce8e0e27d/Report.docx")</f>
        <v>https://api.typeform.com/responses/files/84933d688c61dc457cccc930e7517c631cfe5f76c35f9ace910dc80ce8e0e27d/Report.docx</v>
      </c>
      <c r="AD455" t="s">
        <v>118</v>
      </c>
      <c r="AE455" t="s">
        <v>729</v>
      </c>
      <c r="AF455" t="s">
        <v>9556</v>
      </c>
      <c r="AG455">
        <v>12.0</v>
      </c>
      <c r="AH455" t="s">
        <v>258</v>
      </c>
      <c r="AI455" t="s">
        <v>205</v>
      </c>
      <c r="AK455" t="s">
        <v>9557</v>
      </c>
      <c r="AL455" t="s">
        <v>9558</v>
      </c>
      <c r="AO455" t="s">
        <v>335</v>
      </c>
      <c r="AP455">
        <v>7.0</v>
      </c>
      <c r="AQ455" t="s">
        <v>126</v>
      </c>
      <c r="AR455" t="s">
        <v>127</v>
      </c>
      <c r="AS455" t="b">
        <v>1</v>
      </c>
      <c r="AT455" t="b">
        <v>0</v>
      </c>
      <c r="AV455">
        <v>7.0</v>
      </c>
      <c r="AW455" t="b">
        <v>1</v>
      </c>
      <c r="AX455" t="s">
        <v>1902</v>
      </c>
      <c r="AY455" t="s">
        <v>8422</v>
      </c>
      <c r="AZ455" t="b">
        <v>1</v>
      </c>
      <c r="BA455" t="b">
        <v>1</v>
      </c>
      <c r="BB455" t="b">
        <v>0</v>
      </c>
      <c r="BC455" t="s">
        <v>9559</v>
      </c>
      <c r="BH455" t="s">
        <v>132</v>
      </c>
      <c r="BI455">
        <v>4.0</v>
      </c>
      <c r="BJ455" t="s">
        <v>9560</v>
      </c>
      <c r="BK455">
        <v>5.0</v>
      </c>
      <c r="BL455">
        <v>4.0</v>
      </c>
      <c r="BM455" t="s">
        <v>9561</v>
      </c>
      <c r="BN455">
        <v>5.0</v>
      </c>
      <c r="BO455">
        <v>6.0</v>
      </c>
      <c r="BP455" t="s">
        <v>9562</v>
      </c>
      <c r="BQ455" t="s">
        <v>1906</v>
      </c>
      <c r="BR455" t="s">
        <v>9563</v>
      </c>
      <c r="BS455" t="s">
        <v>9564</v>
      </c>
      <c r="BU455" t="s">
        <v>9565</v>
      </c>
      <c r="BV455" s="3" t="str">
        <f>HYPERLINK("https://api.typeform.com/responses/files/67faa9eb00192f816b42b1127ed3993452e0d5439e17433ba6b5a025ab7555e9/Report.docx")</f>
        <v>https://api.typeform.com/responses/files/67faa9eb00192f816b42b1127ed3993452e0d5439e17433ba6b5a025ab7555e9/Report.docx</v>
      </c>
      <c r="BW455" t="b">
        <v>1</v>
      </c>
      <c r="BX455" t="s">
        <v>1394</v>
      </c>
      <c r="BY455" t="s">
        <v>140</v>
      </c>
      <c r="CA455" t="s">
        <v>1395</v>
      </c>
      <c r="CD455">
        <v>0.0</v>
      </c>
      <c r="CF455" t="b">
        <v>1</v>
      </c>
      <c r="CG455" t="b">
        <v>1</v>
      </c>
      <c r="CH455" t="s">
        <v>2553</v>
      </c>
      <c r="CJ455" t="b">
        <v>1</v>
      </c>
      <c r="CK455" t="b">
        <v>1</v>
      </c>
      <c r="CL455" t="s">
        <v>413</v>
      </c>
      <c r="CM455" t="s">
        <v>1489</v>
      </c>
      <c r="CO455" t="s">
        <v>124</v>
      </c>
      <c r="CQ455" t="s">
        <v>3213</v>
      </c>
      <c r="CR455" t="b">
        <v>1</v>
      </c>
      <c r="CT455">
        <v>2.0</v>
      </c>
      <c r="CU455">
        <v>2.0</v>
      </c>
      <c r="CX455" s="4" t="s">
        <v>9566</v>
      </c>
      <c r="CZ455" s="5">
        <v>44553.815983796296</v>
      </c>
      <c r="DA455" t="s">
        <v>9567</v>
      </c>
    </row>
    <row r="456">
      <c r="A456" t="s">
        <v>98</v>
      </c>
      <c r="D456" t="s">
        <v>9568</v>
      </c>
      <c r="E456" t="s">
        <v>9569</v>
      </c>
      <c r="F456" s="2">
        <v>38757.0</v>
      </c>
      <c r="G456" t="s">
        <v>1360</v>
      </c>
      <c r="I456" s="3" t="str">
        <f>HYPERLINK("https://api.typeform.com/responses/files/067cb2ab96d4272869f721c4ec44555931ff7c576c15cbc0eafd81cbbaddb667/DED0C6AE_43D7_47DB_A461_171FAD75D7F4.jpeg")</f>
        <v>https://api.typeform.com/responses/files/067cb2ab96d4272869f721c4ec44555931ff7c576c15cbc0eafd81cbbaddb667/DED0C6AE_43D7_47DB_A461_171FAD75D7F4.jpeg</v>
      </c>
      <c r="J456" t="s">
        <v>9570</v>
      </c>
      <c r="K456" t="b">
        <v>1</v>
      </c>
      <c r="L456" s="4" t="s">
        <v>9571</v>
      </c>
      <c r="M456" t="s">
        <v>9572</v>
      </c>
      <c r="N456" t="s">
        <v>255</v>
      </c>
      <c r="O456" t="s">
        <v>9573</v>
      </c>
      <c r="P456" t="s">
        <v>9574</v>
      </c>
      <c r="Q456" t="s">
        <v>292</v>
      </c>
      <c r="R456" t="s">
        <v>9575</v>
      </c>
      <c r="S456" t="s">
        <v>9572</v>
      </c>
      <c r="T456" s="4" t="s">
        <v>9576</v>
      </c>
      <c r="U456" t="s">
        <v>8154</v>
      </c>
      <c r="V456" t="s">
        <v>9577</v>
      </c>
      <c r="W456" t="s">
        <v>261</v>
      </c>
      <c r="Y456" t="s">
        <v>158</v>
      </c>
      <c r="Z456" t="s">
        <v>195</v>
      </c>
      <c r="AC456" s="3" t="str">
        <f>HYPERLINK("https://api.typeform.com/responses/files/6aefdc447e18d9810369583e13d9dab59c9b2d388da4048076e016b081fe7faf/14DC763F_2403_4951_BDFD_5C08D9711A6E.jpeg")</f>
        <v>https://api.typeform.com/responses/files/6aefdc447e18d9810369583e13d9dab59c9b2d388da4048076e016b081fe7faf/14DC763F_2403_4951_BDFD_5C08D9711A6E.jpeg</v>
      </c>
      <c r="AD456" t="s">
        <v>118</v>
      </c>
      <c r="AE456" t="s">
        <v>729</v>
      </c>
      <c r="AF456" t="s">
        <v>197</v>
      </c>
      <c r="AG456">
        <v>6.0</v>
      </c>
      <c r="AH456" t="s">
        <v>8775</v>
      </c>
      <c r="AI456" t="s">
        <v>162</v>
      </c>
      <c r="AK456" t="s">
        <v>9578</v>
      </c>
      <c r="AL456" t="s">
        <v>199</v>
      </c>
      <c r="AO456" t="s">
        <v>335</v>
      </c>
      <c r="AP456">
        <v>6.0</v>
      </c>
      <c r="AQ456" t="s">
        <v>1480</v>
      </c>
      <c r="AR456" t="s">
        <v>9579</v>
      </c>
      <c r="AS456" t="b">
        <v>1</v>
      </c>
      <c r="AT456" t="b">
        <v>0</v>
      </c>
      <c r="AV456">
        <v>5.0</v>
      </c>
      <c r="AW456" t="b">
        <v>1</v>
      </c>
      <c r="AX456" t="s">
        <v>1902</v>
      </c>
      <c r="AY456" s="4" t="s">
        <v>170</v>
      </c>
      <c r="AZ456" t="b">
        <v>0</v>
      </c>
      <c r="BA456" t="b">
        <v>0</v>
      </c>
      <c r="BD456" t="s">
        <v>9580</v>
      </c>
      <c r="BH456" t="s">
        <v>132</v>
      </c>
      <c r="BI456">
        <v>5.0</v>
      </c>
      <c r="BJ456" t="s">
        <v>9581</v>
      </c>
      <c r="BK456">
        <v>5.0</v>
      </c>
      <c r="BL456">
        <v>5.0</v>
      </c>
      <c r="BM456" t="s">
        <v>9582</v>
      </c>
      <c r="BN456">
        <v>4.0</v>
      </c>
      <c r="BO456">
        <v>5.0</v>
      </c>
      <c r="BP456" t="s">
        <v>9583</v>
      </c>
      <c r="BQ456" t="s">
        <v>945</v>
      </c>
      <c r="BR456" t="s">
        <v>9584</v>
      </c>
      <c r="BS456" t="s">
        <v>9585</v>
      </c>
      <c r="BU456" t="s">
        <v>9586</v>
      </c>
      <c r="BV456" s="3" t="str">
        <f>HYPERLINK("https://api.typeform.com/responses/files/7c6d609eceed7afa046ed402bd5e0151b5e9f65d518e2b4ac3ee006c0617b8fd/2E4057FE_4D36_4B99_8990_B0C638797ABE.jpeg")</f>
        <v>https://api.typeform.com/responses/files/7c6d609eceed7afa046ed402bd5e0151b5e9f65d518e2b4ac3ee006c0617b8fd/2E4057FE_4D36_4B99_8990_B0C638797ABE.jpeg</v>
      </c>
      <c r="BW456" t="b">
        <v>1</v>
      </c>
      <c r="BX456" t="s">
        <v>1394</v>
      </c>
      <c r="BY456" t="s">
        <v>140</v>
      </c>
      <c r="CA456" t="s">
        <v>1395</v>
      </c>
      <c r="CD456">
        <v>0.0</v>
      </c>
      <c r="CF456" t="b">
        <v>1</v>
      </c>
      <c r="CG456" t="b">
        <v>0</v>
      </c>
      <c r="CH456" t="s">
        <v>128</v>
      </c>
      <c r="CJ456" t="b">
        <v>1</v>
      </c>
      <c r="CK456" t="b">
        <v>1</v>
      </c>
      <c r="CL456" t="s">
        <v>198</v>
      </c>
      <c r="CO456" t="s">
        <v>200</v>
      </c>
      <c r="CR456" t="b">
        <v>1</v>
      </c>
      <c r="CT456">
        <v>2.0</v>
      </c>
      <c r="CU456">
        <v>2.0</v>
      </c>
      <c r="CX456" s="4" t="s">
        <v>9587</v>
      </c>
      <c r="CZ456" s="5">
        <v>44553.952048611114</v>
      </c>
      <c r="DA456" t="s">
        <v>9588</v>
      </c>
    </row>
    <row r="457">
      <c r="A457" t="s">
        <v>98</v>
      </c>
      <c r="D457" t="s">
        <v>9589</v>
      </c>
      <c r="E457" t="s">
        <v>4327</v>
      </c>
      <c r="F457" s="2">
        <v>38583.0</v>
      </c>
      <c r="G457" t="s">
        <v>1360</v>
      </c>
      <c r="I457" s="3" t="str">
        <f>HYPERLINK("https://api.typeform.com/responses/files/a2be82b21ae2a22cb1f86eeda95e3f1c39301ac780e8b75a7d288b2402949e6e/IMG_6510.jpg")</f>
        <v>https://api.typeform.com/responses/files/a2be82b21ae2a22cb1f86eeda95e3f1c39301ac780e8b75a7d288b2402949e6e/IMG_6510.jpg</v>
      </c>
      <c r="J457" t="s">
        <v>9590</v>
      </c>
      <c r="K457" t="b">
        <v>1</v>
      </c>
      <c r="L457" s="4" t="s">
        <v>9591</v>
      </c>
      <c r="M457" t="s">
        <v>9592</v>
      </c>
      <c r="N457" t="s">
        <v>105</v>
      </c>
      <c r="O457" t="s">
        <v>620</v>
      </c>
      <c r="P457" t="s">
        <v>9593</v>
      </c>
      <c r="Q457" t="s">
        <v>189</v>
      </c>
      <c r="R457" t="s">
        <v>9594</v>
      </c>
      <c r="S457" t="s">
        <v>9592</v>
      </c>
      <c r="T457" s="4" t="s">
        <v>9595</v>
      </c>
      <c r="U457" t="s">
        <v>9596</v>
      </c>
      <c r="V457" t="s">
        <v>9229</v>
      </c>
      <c r="W457" t="s">
        <v>261</v>
      </c>
      <c r="Y457" t="s">
        <v>158</v>
      </c>
      <c r="Z457" t="s">
        <v>262</v>
      </c>
      <c r="AC457" s="3" t="str">
        <f>HYPERLINK("https://api.typeform.com/responses/files/9b4fc5fe931fd68779a0b6a519168c38e9f201c27ad655acba059ad4fa6f244e/IMG_6514.jpg")</f>
        <v>https://api.typeform.com/responses/files/9b4fc5fe931fd68779a0b6a519168c38e9f201c27ad655acba059ad4fa6f244e/IMG_6514.jpg</v>
      </c>
      <c r="AD457" t="s">
        <v>118</v>
      </c>
      <c r="AE457" t="s">
        <v>1220</v>
      </c>
      <c r="AF457" t="s">
        <v>197</v>
      </c>
      <c r="AG457">
        <v>0.0</v>
      </c>
      <c r="AH457" t="s">
        <v>9597</v>
      </c>
      <c r="AI457" t="s">
        <v>121</v>
      </c>
      <c r="AK457" t="s">
        <v>258</v>
      </c>
      <c r="AL457" t="s">
        <v>9598</v>
      </c>
      <c r="AO457" t="s">
        <v>335</v>
      </c>
      <c r="AP457">
        <v>6.0</v>
      </c>
      <c r="AQ457" t="s">
        <v>1070</v>
      </c>
      <c r="AR457" t="s">
        <v>9599</v>
      </c>
      <c r="AS457" t="b">
        <v>1</v>
      </c>
      <c r="AT457" t="b">
        <v>0</v>
      </c>
      <c r="AV457">
        <v>4.0</v>
      </c>
      <c r="AW457" t="b">
        <v>1</v>
      </c>
      <c r="AX457" t="s">
        <v>1902</v>
      </c>
      <c r="AY457" s="4" t="s">
        <v>518</v>
      </c>
      <c r="AZ457" t="b">
        <v>0</v>
      </c>
      <c r="BA457" t="b">
        <v>0</v>
      </c>
      <c r="BD457" t="s">
        <v>9600</v>
      </c>
      <c r="BH457" t="s">
        <v>132</v>
      </c>
      <c r="BI457">
        <v>7.0</v>
      </c>
      <c r="BJ457" t="s">
        <v>9601</v>
      </c>
      <c r="BK457">
        <v>5.0</v>
      </c>
      <c r="BL457">
        <v>6.0</v>
      </c>
      <c r="BM457" t="s">
        <v>9602</v>
      </c>
      <c r="BN457">
        <v>4.0</v>
      </c>
      <c r="BO457">
        <v>5.0</v>
      </c>
      <c r="BP457" t="s">
        <v>9603</v>
      </c>
      <c r="BQ457" t="s">
        <v>7477</v>
      </c>
      <c r="BR457" t="s">
        <v>9604</v>
      </c>
      <c r="BS457" t="s">
        <v>9605</v>
      </c>
      <c r="BU457" t="s">
        <v>9606</v>
      </c>
      <c r="BV457" s="3" t="str">
        <f>HYPERLINK("https://api.typeform.com/responses/files/053144cc4953a2dca17299961a35581703a8f7c181fa28f8b48947ebe0844c3d/image_123927839.JPG")</f>
        <v>https://api.typeform.com/responses/files/053144cc4953a2dca17299961a35581703a8f7c181fa28f8b48947ebe0844c3d/image_123927839.JPG</v>
      </c>
      <c r="BW457" t="b">
        <v>1</v>
      </c>
      <c r="BX457" t="s">
        <v>1394</v>
      </c>
      <c r="BY457" t="s">
        <v>140</v>
      </c>
      <c r="CA457" t="s">
        <v>1395</v>
      </c>
      <c r="CD457">
        <v>0.0</v>
      </c>
      <c r="CF457" t="b">
        <v>1</v>
      </c>
      <c r="CG457" t="b">
        <v>1</v>
      </c>
      <c r="CH457" t="s">
        <v>2553</v>
      </c>
      <c r="CJ457" t="b">
        <v>1</v>
      </c>
      <c r="CK457" t="b">
        <v>1</v>
      </c>
      <c r="CL457" t="s">
        <v>541</v>
      </c>
      <c r="CO457" t="s">
        <v>9607</v>
      </c>
      <c r="CR457" t="b">
        <v>1</v>
      </c>
      <c r="CT457">
        <v>0.0</v>
      </c>
      <c r="CU457">
        <v>1.0</v>
      </c>
      <c r="CX457" s="4" t="s">
        <v>9608</v>
      </c>
      <c r="CZ457" s="5">
        <v>44554.09240740741</v>
      </c>
      <c r="DA457" t="s">
        <v>9609</v>
      </c>
    </row>
    <row r="458">
      <c r="A458" t="s">
        <v>98</v>
      </c>
      <c r="D458" t="s">
        <v>249</v>
      </c>
      <c r="E458" t="s">
        <v>250</v>
      </c>
      <c r="F458" s="2" t="s">
        <v>9610</v>
      </c>
      <c r="G458" t="s">
        <v>1360</v>
      </c>
      <c r="I458" s="3" t="str">
        <f>HYPERLINK("https://api.typeform.com/responses/files/ac30d964a6d7d7c3cc7919685f9e91d3786cf411dde849245c0d1fd9453cd7b9/unnamed.jpg")</f>
        <v>https://api.typeform.com/responses/files/ac30d964a6d7d7c3cc7919685f9e91d3786cf411dde849245c0d1fd9453cd7b9/unnamed.jpg</v>
      </c>
      <c r="J458" t="s">
        <v>9611</v>
      </c>
      <c r="K458" t="b">
        <v>1</v>
      </c>
      <c r="L458" s="4" t="s">
        <v>9612</v>
      </c>
      <c r="M458" t="s">
        <v>9613</v>
      </c>
      <c r="N458" t="s">
        <v>354</v>
      </c>
      <c r="O458" t="s">
        <v>9614</v>
      </c>
      <c r="P458" t="s">
        <v>9615</v>
      </c>
      <c r="Q458" t="s">
        <v>152</v>
      </c>
      <c r="R458" t="s">
        <v>9616</v>
      </c>
      <c r="S458" t="s">
        <v>9617</v>
      </c>
      <c r="T458" s="4" t="s">
        <v>9612</v>
      </c>
      <c r="U458" t="s">
        <v>9618</v>
      </c>
      <c r="V458" t="s">
        <v>9229</v>
      </c>
      <c r="W458" t="s">
        <v>543</v>
      </c>
      <c r="Y458" t="s">
        <v>158</v>
      </c>
      <c r="Z458" t="s">
        <v>159</v>
      </c>
      <c r="AC458" s="3" t="str">
        <f>HYPERLINK("https://api.typeform.com/responses/files/cde37ea04eb20bb31166142f7b8962ef42882c1b90e52aa04e3f1593856a3593/12_FOX___MARIAMA_DIALLO.pdf")</f>
        <v>https://api.typeform.com/responses/files/cde37ea04eb20bb31166142f7b8962ef42882c1b90e52aa04e3f1593856a3593/12_FOX___MARIAMA_DIALLO.pdf</v>
      </c>
      <c r="AD458" t="s">
        <v>118</v>
      </c>
      <c r="AE458" t="s">
        <v>729</v>
      </c>
      <c r="AF458" t="s">
        <v>264</v>
      </c>
      <c r="AG458">
        <v>15.0</v>
      </c>
      <c r="AH458" t="s">
        <v>9619</v>
      </c>
      <c r="AI458" t="s">
        <v>121</v>
      </c>
      <c r="AK458" t="s">
        <v>9620</v>
      </c>
      <c r="AL458" t="s">
        <v>9621</v>
      </c>
      <c r="AO458" t="s">
        <v>125</v>
      </c>
      <c r="AP458">
        <v>4.0</v>
      </c>
      <c r="AQ458" t="s">
        <v>2240</v>
      </c>
      <c r="AR458" t="s">
        <v>1734</v>
      </c>
      <c r="AS458" t="b">
        <v>1</v>
      </c>
      <c r="AT458" t="b">
        <v>1</v>
      </c>
      <c r="AV458">
        <v>2.0</v>
      </c>
      <c r="AW458" t="b">
        <v>0</v>
      </c>
      <c r="AZ458" t="b">
        <v>0</v>
      </c>
      <c r="BA458" t="b">
        <v>0</v>
      </c>
      <c r="BD458" t="s">
        <v>9622</v>
      </c>
      <c r="BH458" t="s">
        <v>132</v>
      </c>
      <c r="BI458">
        <v>4.0</v>
      </c>
      <c r="BJ458" t="s">
        <v>9623</v>
      </c>
      <c r="BK458">
        <v>3.0</v>
      </c>
      <c r="BL458">
        <v>1.0</v>
      </c>
      <c r="BM458" t="s">
        <v>9624</v>
      </c>
      <c r="BN458">
        <v>1.0</v>
      </c>
      <c r="BO458">
        <v>1.0</v>
      </c>
      <c r="BP458" t="s">
        <v>5933</v>
      </c>
      <c r="BQ458" t="s">
        <v>9625</v>
      </c>
      <c r="BR458" t="s">
        <v>9626</v>
      </c>
      <c r="BS458" t="s">
        <v>9627</v>
      </c>
      <c r="BU458" t="s">
        <v>9628</v>
      </c>
      <c r="BV458" s="3" t="str">
        <f>HYPERLINK("https://api.typeform.com/responses/files/6865bd5af22a998c3685ece31ba0fc39a7a3e92ca93daeac046a7719321e0f9b/SPEAKHIRE_Parent.Guardian_Consent_Form.pdf")</f>
        <v>https://api.typeform.com/responses/files/6865bd5af22a998c3685ece31ba0fc39a7a3e92ca93daeac046a7719321e0f9b/SPEAKHIRE_Parent.Guardian_Consent_Form.pdf</v>
      </c>
      <c r="BW458" t="b">
        <v>1</v>
      </c>
      <c r="BX458" t="s">
        <v>1394</v>
      </c>
      <c r="BY458" t="s">
        <v>140</v>
      </c>
      <c r="CA458" t="s">
        <v>1395</v>
      </c>
      <c r="CD458">
        <v>0.0</v>
      </c>
      <c r="CF458" t="b">
        <v>1</v>
      </c>
      <c r="CG458" t="b">
        <v>1</v>
      </c>
      <c r="CH458" t="s">
        <v>168</v>
      </c>
      <c r="CJ458" t="b">
        <v>1</v>
      </c>
      <c r="CK458" t="b">
        <v>1</v>
      </c>
      <c r="CL458" t="s">
        <v>300</v>
      </c>
      <c r="CO458" t="s">
        <v>124</v>
      </c>
      <c r="CR458" t="b">
        <v>1</v>
      </c>
      <c r="CT458">
        <v>0.0</v>
      </c>
      <c r="CU458">
        <v>0.0</v>
      </c>
      <c r="CX458" s="4" t="s">
        <v>3727</v>
      </c>
      <c r="CY458" t="s">
        <v>9629</v>
      </c>
      <c r="CZ458" s="5">
        <v>44562.98113425926</v>
      </c>
      <c r="DA458" t="s">
        <v>9630</v>
      </c>
    </row>
    <row r="459">
      <c r="A459" t="s">
        <v>98</v>
      </c>
      <c r="D459" t="s">
        <v>9631</v>
      </c>
      <c r="E459" t="s">
        <v>9183</v>
      </c>
      <c r="F459" s="2">
        <v>38492.0</v>
      </c>
      <c r="G459" t="s">
        <v>1360</v>
      </c>
      <c r="I459" s="3" t="str">
        <f>HYPERLINK("https://api.typeform.com/responses/files/3a5959fd12333a8bdf25780743853780e84ce60590284eb43fc16d797d9f6904/headshot.jpg")</f>
        <v>https://api.typeform.com/responses/files/3a5959fd12333a8bdf25780743853780e84ce60590284eb43fc16d797d9f6904/headshot.jpg</v>
      </c>
      <c r="J459" t="s">
        <v>9632</v>
      </c>
      <c r="K459" t="b">
        <v>1</v>
      </c>
      <c r="L459" s="4" t="s">
        <v>9633</v>
      </c>
      <c r="M459" t="s">
        <v>9634</v>
      </c>
      <c r="N459" t="s">
        <v>105</v>
      </c>
      <c r="O459" t="s">
        <v>9635</v>
      </c>
      <c r="P459" t="s">
        <v>9636</v>
      </c>
      <c r="Q459" t="s">
        <v>152</v>
      </c>
      <c r="R459" t="s">
        <v>9637</v>
      </c>
      <c r="S459" t="s">
        <v>9634</v>
      </c>
      <c r="T459" s="4" t="s">
        <v>9638</v>
      </c>
      <c r="U459" t="s">
        <v>8154</v>
      </c>
      <c r="V459" t="s">
        <v>9639</v>
      </c>
      <c r="W459" t="s">
        <v>261</v>
      </c>
      <c r="Y459" t="s">
        <v>158</v>
      </c>
      <c r="Z459" t="s">
        <v>262</v>
      </c>
      <c r="AC459" s="3" t="str">
        <f>HYPERLINK("https://api.typeform.com/responses/files/8282169b1e40e27e0edb54346689e3c79e4c0456fc52e48ac34ec1ab42e879d3/akemipr1.pdf")</f>
        <v>https://api.typeform.com/responses/files/8282169b1e40e27e0edb54346689e3c79e4c0456fc52e48ac34ec1ab42e879d3/akemipr1.pdf</v>
      </c>
      <c r="AD459" t="s">
        <v>118</v>
      </c>
      <c r="AE459" t="s">
        <v>1220</v>
      </c>
      <c r="AF459" t="s">
        <v>197</v>
      </c>
      <c r="AG459">
        <v>0.0</v>
      </c>
      <c r="AH459" s="4" t="s">
        <v>9640</v>
      </c>
      <c r="AI459" t="s">
        <v>121</v>
      </c>
      <c r="AL459" t="s">
        <v>9313</v>
      </c>
      <c r="AO459" t="s">
        <v>486</v>
      </c>
      <c r="AP459">
        <v>5.0</v>
      </c>
      <c r="AQ459" t="s">
        <v>1070</v>
      </c>
      <c r="AR459" t="s">
        <v>9192</v>
      </c>
      <c r="AS459" t="b">
        <v>1</v>
      </c>
      <c r="AT459" t="b">
        <v>0</v>
      </c>
      <c r="AV459">
        <v>2.0</v>
      </c>
      <c r="AW459" t="b">
        <v>0</v>
      </c>
      <c r="AZ459" t="b">
        <v>0</v>
      </c>
      <c r="BA459" t="b">
        <v>0</v>
      </c>
      <c r="BD459" t="s">
        <v>9641</v>
      </c>
      <c r="BH459" t="s">
        <v>132</v>
      </c>
      <c r="BI459">
        <v>4.0</v>
      </c>
      <c r="BJ459" t="s">
        <v>9642</v>
      </c>
      <c r="BK459">
        <v>6.0</v>
      </c>
      <c r="BL459">
        <v>6.0</v>
      </c>
      <c r="BM459" t="s">
        <v>9643</v>
      </c>
      <c r="BN459">
        <v>5.0</v>
      </c>
      <c r="BO459">
        <v>6.0</v>
      </c>
      <c r="BP459" t="s">
        <v>9644</v>
      </c>
      <c r="BQ459" t="s">
        <v>9625</v>
      </c>
      <c r="BR459" t="s">
        <v>9645</v>
      </c>
      <c r="BS459" t="s">
        <v>9646</v>
      </c>
      <c r="BU459" t="s">
        <v>9647</v>
      </c>
      <c r="BV459" s="3" t="str">
        <f>HYPERLINK("https://api.typeform.com/responses/files/97c562edd30183855b82286178de2f815b30ad2df856ea4423edd50d086d7b3e/IMG_5107.JPG")</f>
        <v>https://api.typeform.com/responses/files/97c562edd30183855b82286178de2f815b30ad2df856ea4423edd50d086d7b3e/IMG_5107.JPG</v>
      </c>
      <c r="BW459" t="b">
        <v>1</v>
      </c>
      <c r="BX459" t="s">
        <v>1394</v>
      </c>
      <c r="BY459" t="s">
        <v>140</v>
      </c>
      <c r="CA459" t="s">
        <v>1395</v>
      </c>
      <c r="CD459">
        <v>0.0</v>
      </c>
      <c r="CF459" t="b">
        <v>1</v>
      </c>
      <c r="CG459" t="b">
        <v>1</v>
      </c>
      <c r="CH459" t="s">
        <v>628</v>
      </c>
      <c r="CJ459" t="b">
        <v>1</v>
      </c>
      <c r="CK459" t="b">
        <v>0</v>
      </c>
      <c r="CL459" t="s">
        <v>198</v>
      </c>
      <c r="CM459" t="s">
        <v>300</v>
      </c>
      <c r="CO459" t="s">
        <v>9648</v>
      </c>
      <c r="CR459" t="b">
        <v>1</v>
      </c>
      <c r="CT459">
        <v>0.0</v>
      </c>
      <c r="CU459">
        <v>0.0</v>
      </c>
      <c r="CX459" s="4" t="s">
        <v>3862</v>
      </c>
      <c r="CZ459" s="5">
        <v>44565.27787037037</v>
      </c>
      <c r="DA459" t="s">
        <v>9649</v>
      </c>
    </row>
    <row r="460">
      <c r="A460" t="s">
        <v>98</v>
      </c>
      <c r="D460" t="s">
        <v>9650</v>
      </c>
      <c r="E460" t="s">
        <v>9651</v>
      </c>
      <c r="F460" s="2">
        <v>38778.0</v>
      </c>
      <c r="G460" t="s">
        <v>1360</v>
      </c>
      <c r="I460" s="3" t="str">
        <f>HYPERLINK("https://api.typeform.com/responses/files/9ecabcc59bfc0a5d2a9db35fcddb0b930299121bd2f8ba6077fea9d067159f2f/90F99A62_BBBF_495E_959A_647EB9809336.jpg")</f>
        <v>https://api.typeform.com/responses/files/9ecabcc59bfc0a5d2a9db35fcddb0b930299121bd2f8ba6077fea9d067159f2f/90F99A62_BBBF_495E_959A_647EB9809336.jpg</v>
      </c>
      <c r="J460" t="s">
        <v>9652</v>
      </c>
      <c r="K460" t="b">
        <v>1</v>
      </c>
      <c r="L460" s="4" t="s">
        <v>9653</v>
      </c>
      <c r="M460" t="s">
        <v>9654</v>
      </c>
      <c r="N460" t="s">
        <v>255</v>
      </c>
      <c r="O460" t="s">
        <v>9655</v>
      </c>
      <c r="P460" t="s">
        <v>9656</v>
      </c>
      <c r="Q460" t="s">
        <v>152</v>
      </c>
      <c r="R460" t="s">
        <v>9657</v>
      </c>
      <c r="S460" t="s">
        <v>9654</v>
      </c>
      <c r="T460" s="4" t="s">
        <v>9658</v>
      </c>
      <c r="U460" t="s">
        <v>7424</v>
      </c>
      <c r="V460" t="s">
        <v>7425</v>
      </c>
      <c r="W460" t="s">
        <v>2290</v>
      </c>
      <c r="Y460" t="s">
        <v>158</v>
      </c>
      <c r="Z460" t="s">
        <v>262</v>
      </c>
      <c r="AC460" s="3" t="str">
        <f>HYPERLINK("https://api.typeform.com/responses/files/5aef4e57a9253ca618976567e9b3cc1e8c728e0154e805c9cd61c5a810ed7bc5/Screenshot_2022_01_04_9.07.04_AM.png")</f>
        <v>https://api.typeform.com/responses/files/5aef4e57a9253ca618976567e9b3cc1e8c728e0154e805c9cd61c5a810ed7bc5/Screenshot_2022_01_04_9.07.04_AM.png</v>
      </c>
      <c r="AD460" t="s">
        <v>118</v>
      </c>
      <c r="AE460" t="s">
        <v>729</v>
      </c>
      <c r="AF460" t="s">
        <v>540</v>
      </c>
      <c r="AG460">
        <v>11.0</v>
      </c>
      <c r="AH460" t="s">
        <v>620</v>
      </c>
      <c r="AI460" t="s">
        <v>205</v>
      </c>
      <c r="AL460" t="s">
        <v>9659</v>
      </c>
      <c r="AO460" t="s">
        <v>335</v>
      </c>
      <c r="AP460">
        <v>5.0</v>
      </c>
      <c r="AQ460" t="s">
        <v>126</v>
      </c>
      <c r="AR460" t="s">
        <v>9660</v>
      </c>
      <c r="AS460" t="b">
        <v>1</v>
      </c>
      <c r="AT460" t="b">
        <v>1</v>
      </c>
      <c r="AV460">
        <v>6.0</v>
      </c>
      <c r="AW460" t="b">
        <v>1</v>
      </c>
      <c r="AX460" t="s">
        <v>1902</v>
      </c>
      <c r="AY460" s="4" t="s">
        <v>518</v>
      </c>
      <c r="AZ460" t="b">
        <v>0</v>
      </c>
      <c r="BA460" t="b">
        <v>0</v>
      </c>
      <c r="BD460" t="s">
        <v>9661</v>
      </c>
      <c r="BH460" t="s">
        <v>132</v>
      </c>
      <c r="BI460">
        <v>5.0</v>
      </c>
      <c r="BJ460" t="s">
        <v>9662</v>
      </c>
      <c r="BK460">
        <v>4.0</v>
      </c>
      <c r="BL460">
        <v>6.0</v>
      </c>
      <c r="BM460" t="s">
        <v>9663</v>
      </c>
      <c r="BN460">
        <v>4.0</v>
      </c>
      <c r="BO460">
        <v>4.0</v>
      </c>
      <c r="BP460" t="s">
        <v>9664</v>
      </c>
      <c r="BQ460" t="s">
        <v>1258</v>
      </c>
      <c r="BR460" t="s">
        <v>9665</v>
      </c>
      <c r="BS460" t="s">
        <v>9666</v>
      </c>
      <c r="BU460" t="s">
        <v>9667</v>
      </c>
      <c r="BV460" s="3" t="str">
        <f>HYPERLINK("https://api.typeform.com/responses/files/275b6b1e52f529d21ab06396bfae6288be33cb681b8a9a5f6f74a252cade57b7/MYRNY_ST_VIL___SPEAKHIRE_2021___Parent_Consent_Form__1_.pdf")</f>
        <v>https://api.typeform.com/responses/files/275b6b1e52f529d21ab06396bfae6288be33cb681b8a9a5f6f74a252cade57b7/MYRNY_ST_VIL___SPEAKHIRE_2021___Parent_Consent_Form__1_.pdf</v>
      </c>
      <c r="BW460" t="b">
        <v>1</v>
      </c>
      <c r="BX460" t="s">
        <v>1394</v>
      </c>
      <c r="BY460" t="s">
        <v>140</v>
      </c>
      <c r="CA460" t="s">
        <v>1395</v>
      </c>
      <c r="CD460">
        <v>0.0</v>
      </c>
      <c r="CF460" t="b">
        <v>1</v>
      </c>
      <c r="CG460" t="b">
        <v>1</v>
      </c>
      <c r="CH460" t="s">
        <v>366</v>
      </c>
      <c r="CJ460" t="b">
        <v>1</v>
      </c>
      <c r="CK460" t="b">
        <v>1</v>
      </c>
      <c r="CL460" t="s">
        <v>198</v>
      </c>
      <c r="CO460" t="s">
        <v>200</v>
      </c>
      <c r="CR460" t="b">
        <v>1</v>
      </c>
      <c r="CT460">
        <v>5.0</v>
      </c>
      <c r="CU460">
        <v>2.0</v>
      </c>
      <c r="CX460" s="4" t="s">
        <v>3042</v>
      </c>
      <c r="CZ460" s="5">
        <v>44565.59045138889</v>
      </c>
      <c r="DA460" t="s">
        <v>9668</v>
      </c>
    </row>
    <row r="461">
      <c r="A461" t="s">
        <v>98</v>
      </c>
      <c r="D461" t="s">
        <v>9669</v>
      </c>
      <c r="E461" t="s">
        <v>9670</v>
      </c>
      <c r="F461" s="2">
        <v>37867.0</v>
      </c>
      <c r="G461" t="s">
        <v>1466</v>
      </c>
      <c r="I461" s="3" t="str">
        <f>HYPERLINK("https://api.typeform.com/responses/files/d2e610baead4842b281059f7507c366439792c7176cfb45b001fa22c54c5e3fa/0.jpg")</f>
        <v>https://api.typeform.com/responses/files/d2e610baead4842b281059f7507c366439792c7176cfb45b001fa22c54c5e3fa/0.jpg</v>
      </c>
      <c r="J461" t="s">
        <v>9671</v>
      </c>
      <c r="K461" t="b">
        <v>1</v>
      </c>
      <c r="L461" s="4" t="s">
        <v>9672</v>
      </c>
      <c r="M461" t="s">
        <v>9673</v>
      </c>
      <c r="N461" t="s">
        <v>105</v>
      </c>
      <c r="P461" t="s">
        <v>9674</v>
      </c>
      <c r="Q461" t="s">
        <v>152</v>
      </c>
      <c r="R461" t="s">
        <v>9675</v>
      </c>
      <c r="S461" t="s">
        <v>9673</v>
      </c>
      <c r="T461" s="4" t="s">
        <v>9676</v>
      </c>
      <c r="U461" t="s">
        <v>9677</v>
      </c>
      <c r="V461" t="s">
        <v>9678</v>
      </c>
      <c r="W461" t="s">
        <v>113</v>
      </c>
      <c r="Y461" t="s">
        <v>158</v>
      </c>
      <c r="Z461" t="s">
        <v>262</v>
      </c>
      <c r="AC461" s="3" t="str">
        <f>HYPERLINK("https://api.typeform.com/responses/files/d358cbc0332c9730af75440ab04eeef103248ad02abe7ff43461f57d20f9885f/0.png")</f>
        <v>https://api.typeform.com/responses/files/d358cbc0332c9730af75440ab04eeef103248ad02abe7ff43461f57d20f9885f/0.png</v>
      </c>
      <c r="AD461" t="s">
        <v>118</v>
      </c>
      <c r="AE461" t="s">
        <v>1780</v>
      </c>
      <c r="AI461" t="s">
        <v>121</v>
      </c>
      <c r="AK461" t="s">
        <v>9679</v>
      </c>
      <c r="AL461" t="s">
        <v>621</v>
      </c>
      <c r="AO461" t="s">
        <v>486</v>
      </c>
      <c r="AP461">
        <v>1.0</v>
      </c>
      <c r="AQ461" t="s">
        <v>2240</v>
      </c>
      <c r="AR461" t="s">
        <v>9680</v>
      </c>
      <c r="AS461" t="b">
        <v>1</v>
      </c>
      <c r="AT461" t="b">
        <v>1</v>
      </c>
      <c r="AV461">
        <v>7.0</v>
      </c>
      <c r="AW461" t="b">
        <v>0</v>
      </c>
      <c r="AZ461" t="b">
        <v>1</v>
      </c>
      <c r="BA461" t="b">
        <v>1</v>
      </c>
      <c r="BB461" t="b">
        <v>1</v>
      </c>
      <c r="BC461" t="s">
        <v>9681</v>
      </c>
      <c r="BH461" t="s">
        <v>132</v>
      </c>
      <c r="BI461">
        <v>4.0</v>
      </c>
      <c r="BJ461" t="s">
        <v>9682</v>
      </c>
      <c r="BK461">
        <v>7.0</v>
      </c>
      <c r="BL461">
        <v>4.0</v>
      </c>
      <c r="BM461" t="s">
        <v>9683</v>
      </c>
      <c r="BN461">
        <v>4.0</v>
      </c>
      <c r="BO461">
        <v>6.0</v>
      </c>
      <c r="BP461" t="s">
        <v>9684</v>
      </c>
      <c r="BQ461" t="s">
        <v>9685</v>
      </c>
      <c r="BR461" t="s">
        <v>9686</v>
      </c>
      <c r="BS461" t="s">
        <v>9687</v>
      </c>
      <c r="BU461" t="s">
        <v>9688</v>
      </c>
      <c r="BV461" s="3" t="str">
        <f>HYPERLINK("https://api.typeform.com/responses/files/8b660dcfefb945c981f1c584b75cbf07dd6d7820b19596909d2fd53b5a5e8c27/SPEAKHIRE_Parent.Guardian_Consent_Form.docx")</f>
        <v>https://api.typeform.com/responses/files/8b660dcfefb945c981f1c584b75cbf07dd6d7820b19596909d2fd53b5a5e8c27/SPEAKHIRE_Parent.Guardian_Consent_Form.docx</v>
      </c>
      <c r="BW461" t="b">
        <v>1</v>
      </c>
      <c r="BX461" t="s">
        <v>1394</v>
      </c>
      <c r="BY461" t="s">
        <v>140</v>
      </c>
      <c r="CA461" t="s">
        <v>1395</v>
      </c>
      <c r="CD461">
        <v>0.0</v>
      </c>
      <c r="CF461" t="b">
        <v>0</v>
      </c>
      <c r="CG461" t="b">
        <v>1</v>
      </c>
      <c r="CH461" t="s">
        <v>168</v>
      </c>
      <c r="CJ461" t="b">
        <v>0</v>
      </c>
      <c r="CK461" t="b">
        <v>1</v>
      </c>
      <c r="CL461" t="s">
        <v>541</v>
      </c>
      <c r="CO461" t="s">
        <v>9689</v>
      </c>
      <c r="CR461" t="b">
        <v>1</v>
      </c>
      <c r="CT461">
        <v>0.0</v>
      </c>
      <c r="CU461">
        <v>0.0</v>
      </c>
      <c r="CX461" t="s">
        <v>620</v>
      </c>
      <c r="CZ461" s="5">
        <v>44565.69619212963</v>
      </c>
      <c r="DA461" t="s">
        <v>9690</v>
      </c>
    </row>
    <row r="462">
      <c r="A462" t="s">
        <v>98</v>
      </c>
      <c r="D462" t="s">
        <v>8431</v>
      </c>
      <c r="E462" t="s">
        <v>9691</v>
      </c>
      <c r="F462" s="2">
        <v>38027.0</v>
      </c>
      <c r="G462" t="s">
        <v>1466</v>
      </c>
      <c r="I462" s="3" t="str">
        <f>HYPERLINK("https://api.typeform.com/responses/files/35d5503022c8ad41ae8e441be613debc2d548b7c0675a6a93665cc44dcbe762f/IMG_20220104_125458.jpg")</f>
        <v>https://api.typeform.com/responses/files/35d5503022c8ad41ae8e441be613debc2d548b7c0675a6a93665cc44dcbe762f/IMG_20220104_125458.jpg</v>
      </c>
      <c r="J462" t="s">
        <v>9692</v>
      </c>
      <c r="K462" t="b">
        <v>0</v>
      </c>
      <c r="M462" t="s">
        <v>9693</v>
      </c>
      <c r="N462" t="s">
        <v>255</v>
      </c>
      <c r="P462" t="s">
        <v>9694</v>
      </c>
      <c r="Q462" t="s">
        <v>152</v>
      </c>
      <c r="R462" t="s">
        <v>9695</v>
      </c>
      <c r="S462" t="s">
        <v>9696</v>
      </c>
      <c r="T462" s="4" t="s">
        <v>9697</v>
      </c>
      <c r="U462" t="s">
        <v>9698</v>
      </c>
      <c r="V462" t="s">
        <v>7760</v>
      </c>
      <c r="W462" t="s">
        <v>113</v>
      </c>
      <c r="Y462" t="s">
        <v>158</v>
      </c>
      <c r="Z462" t="s">
        <v>262</v>
      </c>
      <c r="AC462" s="3" t="str">
        <f>HYPERLINK("https://api.typeform.com/responses/files/ba8337635080cd8adfe14861d90ae4f413095e899c84f413615b877d968ea2b7/Screenshot_2022_01_04_12.37.57_PM.png")</f>
        <v>https://api.typeform.com/responses/files/ba8337635080cd8adfe14861d90ae4f413095e899c84f413615b877d968ea2b7/Screenshot_2022_01_04_12.37.57_PM.png</v>
      </c>
      <c r="AD462" t="s">
        <v>118</v>
      </c>
      <c r="AE462" t="s">
        <v>1780</v>
      </c>
      <c r="AI462" t="s">
        <v>121</v>
      </c>
      <c r="AK462" t="s">
        <v>9699</v>
      </c>
      <c r="AL462" t="s">
        <v>621</v>
      </c>
      <c r="AO462" t="s">
        <v>486</v>
      </c>
      <c r="AP462">
        <v>4.0</v>
      </c>
      <c r="AQ462" t="s">
        <v>2240</v>
      </c>
      <c r="AR462" t="s">
        <v>9700</v>
      </c>
      <c r="AS462" t="b">
        <v>1</v>
      </c>
      <c r="AT462" t="b">
        <v>1</v>
      </c>
      <c r="AV462">
        <v>3.0</v>
      </c>
      <c r="AW462" t="b">
        <v>1</v>
      </c>
      <c r="AX462" t="s">
        <v>1481</v>
      </c>
      <c r="AY462" t="s">
        <v>2597</v>
      </c>
      <c r="AZ462" t="b">
        <v>0</v>
      </c>
      <c r="BA462" t="b">
        <v>1</v>
      </c>
      <c r="BB462" t="b">
        <v>1</v>
      </c>
      <c r="BC462" t="s">
        <v>9701</v>
      </c>
      <c r="BH462" t="s">
        <v>132</v>
      </c>
      <c r="BI462">
        <v>4.0</v>
      </c>
      <c r="BJ462" t="s">
        <v>258</v>
      </c>
      <c r="BK462">
        <v>5.0</v>
      </c>
      <c r="BL462">
        <v>6.0</v>
      </c>
      <c r="BM462" t="s">
        <v>258</v>
      </c>
      <c r="BN462">
        <v>6.0</v>
      </c>
      <c r="BO462">
        <v>5.0</v>
      </c>
      <c r="BP462" t="s">
        <v>258</v>
      </c>
      <c r="BQ462" t="s">
        <v>1931</v>
      </c>
      <c r="BR462" t="s">
        <v>7593</v>
      </c>
      <c r="BS462" t="s">
        <v>7593</v>
      </c>
      <c r="BU462" t="s">
        <v>7593</v>
      </c>
      <c r="BV462" s="3" t="str">
        <f>HYPERLINK("https://api.typeform.com/responses/files/c3eb493bda1955adc74d684ea4310933b5f64eda1592a682984fba05372223b1/IMG_20220104_125458.jpg")</f>
        <v>https://api.typeform.com/responses/files/c3eb493bda1955adc74d684ea4310933b5f64eda1592a682984fba05372223b1/IMG_20220104_125458.jpg</v>
      </c>
      <c r="BW462" t="b">
        <v>1</v>
      </c>
      <c r="BX462" t="s">
        <v>1394</v>
      </c>
      <c r="BY462" t="s">
        <v>140</v>
      </c>
      <c r="CA462" t="s">
        <v>1395</v>
      </c>
      <c r="CD462">
        <v>0.0</v>
      </c>
      <c r="CF462" t="b">
        <v>1</v>
      </c>
      <c r="CG462" t="b">
        <v>1</v>
      </c>
      <c r="CH462" t="s">
        <v>4747</v>
      </c>
      <c r="CJ462" t="b">
        <v>1</v>
      </c>
      <c r="CK462" t="b">
        <v>0</v>
      </c>
      <c r="CL462" t="s">
        <v>541</v>
      </c>
      <c r="CO462" t="s">
        <v>388</v>
      </c>
      <c r="CR462" t="b">
        <v>1</v>
      </c>
      <c r="CT462">
        <v>2.0</v>
      </c>
      <c r="CU462">
        <v>0.0</v>
      </c>
      <c r="CX462" t="s">
        <v>620</v>
      </c>
      <c r="CZ462" s="5">
        <v>44565.7734375</v>
      </c>
      <c r="DA462" t="s">
        <v>9702</v>
      </c>
    </row>
    <row r="463">
      <c r="A463" t="s">
        <v>98</v>
      </c>
      <c r="D463" t="s">
        <v>9703</v>
      </c>
      <c r="E463" t="s">
        <v>9704</v>
      </c>
      <c r="F463" s="2">
        <v>37866.0</v>
      </c>
      <c r="G463" t="s">
        <v>1466</v>
      </c>
      <c r="I463" s="3" t="str">
        <f>HYPERLINK("https://api.typeform.com/responses/files/cdb7be755fc342aa2ba1adbc5e96dd3e7fd488a401f1a966730b41d57eb4875f/65AED4EB_1513_4014_A40A_73CCA277F694.jpeg")</f>
        <v>https://api.typeform.com/responses/files/cdb7be755fc342aa2ba1adbc5e96dd3e7fd488a401f1a966730b41d57eb4875f/65AED4EB_1513_4014_A40A_73CCA277F694.jpeg</v>
      </c>
      <c r="J463" t="s">
        <v>9705</v>
      </c>
      <c r="K463" t="b">
        <v>1</v>
      </c>
      <c r="L463" s="4" t="s">
        <v>9706</v>
      </c>
      <c r="M463" t="s">
        <v>9707</v>
      </c>
      <c r="N463" t="s">
        <v>354</v>
      </c>
      <c r="O463" t="s">
        <v>9708</v>
      </c>
      <c r="P463" t="s">
        <v>9709</v>
      </c>
      <c r="Q463" t="s">
        <v>152</v>
      </c>
      <c r="R463" t="s">
        <v>9710</v>
      </c>
      <c r="S463" t="s">
        <v>9711</v>
      </c>
      <c r="T463" s="4" t="s">
        <v>9712</v>
      </c>
      <c r="U463" t="s">
        <v>9713</v>
      </c>
      <c r="V463" t="s">
        <v>9714</v>
      </c>
      <c r="W463" t="s">
        <v>261</v>
      </c>
      <c r="Y463" t="s">
        <v>158</v>
      </c>
      <c r="Z463" t="s">
        <v>262</v>
      </c>
      <c r="AC463" s="3" t="str">
        <f>HYPERLINK("https://api.typeform.com/responses/files/461f4e2454e7d60f4c1122067caad35d2e46aae8e0bc6c936ee72dbfe3e15447/Rising_11th_graders_transcripts__dragged_.pdf")</f>
        <v>https://api.typeform.com/responses/files/461f4e2454e7d60f4c1122067caad35d2e46aae8e0bc6c936ee72dbfe3e15447/Rising_11th_graders_transcripts__dragged_.pdf</v>
      </c>
      <c r="AD463" t="s">
        <v>118</v>
      </c>
      <c r="AE463" t="s">
        <v>729</v>
      </c>
      <c r="AF463" t="s">
        <v>9715</v>
      </c>
      <c r="AG463">
        <v>17.0</v>
      </c>
      <c r="AH463" t="s">
        <v>9716</v>
      </c>
      <c r="AI463" t="s">
        <v>543</v>
      </c>
      <c r="AK463" t="s">
        <v>1182</v>
      </c>
      <c r="AL463" t="s">
        <v>9717</v>
      </c>
      <c r="AO463" t="s">
        <v>125</v>
      </c>
      <c r="AP463">
        <v>6.0</v>
      </c>
      <c r="AQ463" t="s">
        <v>2625</v>
      </c>
      <c r="AR463" t="s">
        <v>9718</v>
      </c>
      <c r="AS463" t="b">
        <v>0</v>
      </c>
      <c r="AV463">
        <v>6.0</v>
      </c>
      <c r="AW463" t="b">
        <v>1</v>
      </c>
      <c r="AX463" t="s">
        <v>1902</v>
      </c>
      <c r="AY463" s="4" t="s">
        <v>518</v>
      </c>
      <c r="AZ463" t="b">
        <v>0</v>
      </c>
      <c r="BA463" t="b">
        <v>1</v>
      </c>
      <c r="BB463" t="b">
        <v>0</v>
      </c>
      <c r="BC463" t="s">
        <v>9719</v>
      </c>
      <c r="BH463" t="s">
        <v>974</v>
      </c>
      <c r="BL463">
        <v>6.0</v>
      </c>
      <c r="BM463" t="s">
        <v>9720</v>
      </c>
      <c r="BN463">
        <v>5.0</v>
      </c>
      <c r="BO463">
        <v>5.0</v>
      </c>
      <c r="BP463" t="s">
        <v>9721</v>
      </c>
      <c r="BQ463" t="s">
        <v>1931</v>
      </c>
      <c r="BR463" t="s">
        <v>9722</v>
      </c>
      <c r="BS463" t="s">
        <v>9723</v>
      </c>
      <c r="BU463" t="s">
        <v>309</v>
      </c>
      <c r="BV463" s="3" t="str">
        <f>HYPERLINK("https://api.typeform.com/responses/files/d667099a5e080a22cc66f6b290a3db8e6c968852bb2d5e035f6c3aeea62333b9/65AED4EB_1513_4014_A40A_73CCA277F694.jpeg")</f>
        <v>https://api.typeform.com/responses/files/d667099a5e080a22cc66f6b290a3db8e6c968852bb2d5e035f6c3aeea62333b9/65AED4EB_1513_4014_A40A_73CCA277F694.jpeg</v>
      </c>
      <c r="BW463" t="b">
        <v>1</v>
      </c>
      <c r="BX463" t="s">
        <v>1394</v>
      </c>
      <c r="BY463" t="s">
        <v>140</v>
      </c>
      <c r="CA463" t="s">
        <v>1395</v>
      </c>
      <c r="CD463">
        <v>0.0</v>
      </c>
      <c r="CF463" t="b">
        <v>1</v>
      </c>
      <c r="CG463" t="b">
        <v>1</v>
      </c>
      <c r="CH463" t="s">
        <v>9724</v>
      </c>
      <c r="CJ463" t="b">
        <v>1</v>
      </c>
      <c r="CK463" t="b">
        <v>0</v>
      </c>
      <c r="CL463" t="s">
        <v>163</v>
      </c>
      <c r="CN463" t="s">
        <v>9725</v>
      </c>
      <c r="CO463" t="s">
        <v>9726</v>
      </c>
      <c r="CR463" t="b">
        <v>1</v>
      </c>
      <c r="CT463">
        <v>1.0</v>
      </c>
      <c r="CU463">
        <v>2.0</v>
      </c>
      <c r="CX463" s="4" t="s">
        <v>9727</v>
      </c>
      <c r="CZ463" s="5">
        <v>44565.852222222224</v>
      </c>
      <c r="DA463" t="s">
        <v>9728</v>
      </c>
    </row>
    <row r="464">
      <c r="A464" t="s">
        <v>98</v>
      </c>
      <c r="D464" t="s">
        <v>7715</v>
      </c>
      <c r="E464" t="s">
        <v>9729</v>
      </c>
      <c r="F464" s="2">
        <v>38581.0</v>
      </c>
      <c r="G464" t="s">
        <v>1360</v>
      </c>
      <c r="I464" s="3" t="str">
        <f>HYPERLINK("https://api.typeform.com/responses/files/dc8ae0a46b8a373dc88deee9c23c94c0649f47a349c823c14e4e317bd67dceb4/image0.jpeg")</f>
        <v>https://api.typeform.com/responses/files/dc8ae0a46b8a373dc88deee9c23c94c0649f47a349c823c14e4e317bd67dceb4/image0.jpeg</v>
      </c>
      <c r="J464" t="s">
        <v>9730</v>
      </c>
      <c r="K464" t="b">
        <v>1</v>
      </c>
      <c r="L464" s="4" t="s">
        <v>9731</v>
      </c>
      <c r="M464" t="s">
        <v>9732</v>
      </c>
      <c r="N464" t="s">
        <v>255</v>
      </c>
      <c r="O464" t="s">
        <v>9733</v>
      </c>
      <c r="P464" t="s">
        <v>9734</v>
      </c>
      <c r="Q464" t="s">
        <v>189</v>
      </c>
      <c r="R464" t="s">
        <v>9735</v>
      </c>
      <c r="S464" t="s">
        <v>9736</v>
      </c>
      <c r="T464" s="4" t="s">
        <v>9737</v>
      </c>
      <c r="U464" t="s">
        <v>8313</v>
      </c>
      <c r="V464" t="s">
        <v>8336</v>
      </c>
      <c r="W464" t="s">
        <v>261</v>
      </c>
      <c r="Y464" t="s">
        <v>158</v>
      </c>
      <c r="Z464" t="s">
        <v>262</v>
      </c>
      <c r="AC464" s="3" t="str">
        <f>HYPERLINK("https://api.typeform.com/responses/files/b8efb464c7d89a1afc05d33921e77c1d33d3726210dff391ac959c8f1fd43d10/Rising_11th_graders_transcripts__dragged_.pdf")</f>
        <v>https://api.typeform.com/responses/files/b8efb464c7d89a1afc05d33921e77c1d33d3726210dff391ac959c8f1fd43d10/Rising_11th_graders_transcripts__dragged_.pdf</v>
      </c>
      <c r="AD464" t="s">
        <v>118</v>
      </c>
      <c r="AE464" t="s">
        <v>1220</v>
      </c>
      <c r="AF464" t="s">
        <v>2651</v>
      </c>
      <c r="AG464">
        <v>2016.0</v>
      </c>
      <c r="AH464" t="s">
        <v>9738</v>
      </c>
      <c r="AI464" t="s">
        <v>386</v>
      </c>
      <c r="AK464" t="s">
        <v>139</v>
      </c>
      <c r="AL464" t="s">
        <v>9739</v>
      </c>
      <c r="AO464" t="s">
        <v>335</v>
      </c>
      <c r="AP464">
        <v>6.0</v>
      </c>
      <c r="AQ464" t="s">
        <v>126</v>
      </c>
      <c r="AR464" t="s">
        <v>9740</v>
      </c>
      <c r="AS464" t="b">
        <v>1</v>
      </c>
      <c r="AT464" t="b">
        <v>0</v>
      </c>
      <c r="AV464">
        <v>6.0</v>
      </c>
      <c r="AW464" t="b">
        <v>1</v>
      </c>
      <c r="AX464" s="4" t="s">
        <v>130</v>
      </c>
      <c r="AY464" s="4" t="s">
        <v>518</v>
      </c>
      <c r="AZ464" t="b">
        <v>0</v>
      </c>
      <c r="BA464" t="b">
        <v>1</v>
      </c>
      <c r="BB464" t="b">
        <v>0</v>
      </c>
      <c r="BC464" t="s">
        <v>9741</v>
      </c>
      <c r="BH464" t="s">
        <v>132</v>
      </c>
      <c r="BI464">
        <v>1.0</v>
      </c>
      <c r="BJ464" t="s">
        <v>679</v>
      </c>
      <c r="BK464">
        <v>3.0</v>
      </c>
      <c r="BL464">
        <v>7.0</v>
      </c>
      <c r="BM464" t="s">
        <v>9742</v>
      </c>
      <c r="BN464">
        <v>6.0</v>
      </c>
      <c r="BO464">
        <v>6.0</v>
      </c>
      <c r="BP464" t="s">
        <v>9743</v>
      </c>
      <c r="BQ464" t="s">
        <v>1050</v>
      </c>
      <c r="BR464" t="s">
        <v>9744</v>
      </c>
      <c r="BS464" t="s">
        <v>9745</v>
      </c>
      <c r="BU464" t="s">
        <v>301</v>
      </c>
      <c r="BV464" s="3" t="str">
        <f>HYPERLINK("https://api.typeform.com/responses/files/e14e4cb3696a6df4bcbda2a7741925498410b8911794cf91c58131cc2b1df2d1/Rising_11th_graders_transcripts__dragged_.pdf")</f>
        <v>https://api.typeform.com/responses/files/e14e4cb3696a6df4bcbda2a7741925498410b8911794cf91c58131cc2b1df2d1/Rising_11th_graders_transcripts__dragged_.pdf</v>
      </c>
      <c r="BW464" t="b">
        <v>1</v>
      </c>
      <c r="BX464" t="s">
        <v>1394</v>
      </c>
      <c r="BY464" t="s">
        <v>140</v>
      </c>
      <c r="CA464" t="s">
        <v>1395</v>
      </c>
      <c r="CD464">
        <v>0.0</v>
      </c>
      <c r="CF464" t="b">
        <v>1</v>
      </c>
      <c r="CG464" t="b">
        <v>1</v>
      </c>
      <c r="CH464" t="s">
        <v>9746</v>
      </c>
      <c r="CJ464" t="b">
        <v>1</v>
      </c>
      <c r="CK464" t="b">
        <v>1</v>
      </c>
      <c r="CL464" t="s">
        <v>2301</v>
      </c>
      <c r="CM464" t="s">
        <v>2301</v>
      </c>
      <c r="CO464" t="s">
        <v>2888</v>
      </c>
      <c r="CQ464" t="s">
        <v>2301</v>
      </c>
      <c r="CR464" t="b">
        <v>1</v>
      </c>
      <c r="CT464">
        <v>2.0</v>
      </c>
      <c r="CU464">
        <v>1.0</v>
      </c>
      <c r="CX464" s="4" t="s">
        <v>9747</v>
      </c>
      <c r="CZ464" s="5">
        <v>44565.855729166666</v>
      </c>
      <c r="DA464" t="s">
        <v>9748</v>
      </c>
    </row>
    <row r="465">
      <c r="A465" t="s">
        <v>98</v>
      </c>
      <c r="D465" t="s">
        <v>9749</v>
      </c>
      <c r="E465" t="s">
        <v>9749</v>
      </c>
      <c r="F465" s="2">
        <v>37995.0</v>
      </c>
      <c r="G465" t="s">
        <v>1360</v>
      </c>
      <c r="I465" s="3" t="str">
        <f>HYPERLINK("https://api.typeform.com/responses/files/81bff907275d9086c4c08f60412f71b9916b196111ac1ff198d337da03943af1/Geograph.png")</f>
        <v>https://api.typeform.com/responses/files/81bff907275d9086c4c08f60412f71b9916b196111ac1ff198d337da03943af1/Geograph.png</v>
      </c>
      <c r="J465" t="s">
        <v>9750</v>
      </c>
      <c r="K465" t="b">
        <v>0</v>
      </c>
      <c r="M465" t="s">
        <v>9749</v>
      </c>
      <c r="N465" t="s">
        <v>105</v>
      </c>
      <c r="P465" t="s">
        <v>9749</v>
      </c>
      <c r="Q465" t="s">
        <v>152</v>
      </c>
      <c r="R465" t="s">
        <v>9750</v>
      </c>
      <c r="S465" t="s">
        <v>9749</v>
      </c>
      <c r="T465" s="4" t="s">
        <v>9751</v>
      </c>
      <c r="U465" t="s">
        <v>9749</v>
      </c>
      <c r="V465" t="s">
        <v>9749</v>
      </c>
      <c r="W465" t="s">
        <v>261</v>
      </c>
      <c r="Y465" t="s">
        <v>114</v>
      </c>
      <c r="Z465" t="s">
        <v>262</v>
      </c>
      <c r="AC465" s="3" t="str">
        <f>HYPERLINK("https://api.typeform.com/responses/files/4abc8831957f9e5e8db1c99719c572d83efc9010a061a98bc5612f719f1d219d/Geograph.png")</f>
        <v>https://api.typeform.com/responses/files/4abc8831957f9e5e8db1c99719c572d83efc9010a061a98bc5612f719f1d219d/Geograph.png</v>
      </c>
      <c r="AD465" t="s">
        <v>758</v>
      </c>
      <c r="AE465" t="s">
        <v>1220</v>
      </c>
      <c r="AF465" t="s">
        <v>9749</v>
      </c>
      <c r="AG465">
        <v>11.0</v>
      </c>
      <c r="AH465" s="4" t="s">
        <v>273</v>
      </c>
      <c r="AI465" t="s">
        <v>162</v>
      </c>
      <c r="AL465" t="s">
        <v>9749</v>
      </c>
      <c r="AO465" t="s">
        <v>125</v>
      </c>
      <c r="AP465">
        <v>2.0</v>
      </c>
      <c r="AQ465" t="s">
        <v>1520</v>
      </c>
      <c r="AR465" t="s">
        <v>9749</v>
      </c>
      <c r="AS465" t="b">
        <v>1</v>
      </c>
      <c r="AT465" t="b">
        <v>1</v>
      </c>
      <c r="AV465">
        <v>1.0</v>
      </c>
      <c r="AW465" t="b">
        <v>1</v>
      </c>
      <c r="AX465" s="4" t="s">
        <v>130</v>
      </c>
      <c r="AY465" s="4" t="s">
        <v>518</v>
      </c>
      <c r="AZ465" t="b">
        <v>1</v>
      </c>
      <c r="BA465" t="b">
        <v>1</v>
      </c>
      <c r="BB465" t="b">
        <v>0</v>
      </c>
      <c r="BC465" t="s">
        <v>9749</v>
      </c>
      <c r="BH465" t="s">
        <v>132</v>
      </c>
      <c r="BI465">
        <v>1.0</v>
      </c>
      <c r="BJ465" t="s">
        <v>9749</v>
      </c>
      <c r="BK465">
        <v>1.0</v>
      </c>
      <c r="BL465">
        <v>1.0</v>
      </c>
      <c r="BM465" t="s">
        <v>9749</v>
      </c>
      <c r="BN465">
        <v>1.0</v>
      </c>
      <c r="BO465">
        <v>1.0</v>
      </c>
      <c r="BP465" t="s">
        <v>9749</v>
      </c>
      <c r="BQ465" t="s">
        <v>1931</v>
      </c>
      <c r="BR465" t="s">
        <v>9749</v>
      </c>
      <c r="BS465" t="s">
        <v>9749</v>
      </c>
      <c r="BU465" t="s">
        <v>9749</v>
      </c>
      <c r="BV465" s="3" t="str">
        <f>HYPERLINK("https://api.typeform.com/responses/files/af9642f710e3a3979d98be1a54b9b2687362df1994ad4de8931cbbea74b7b2a5/Geograph.png")</f>
        <v>https://api.typeform.com/responses/files/af9642f710e3a3979d98be1a54b9b2687362df1994ad4de8931cbbea74b7b2a5/Geograph.png</v>
      </c>
      <c r="BW465" t="b">
        <v>1</v>
      </c>
      <c r="BX465" t="s">
        <v>1394</v>
      </c>
      <c r="BY465" t="s">
        <v>140</v>
      </c>
      <c r="CA465" t="s">
        <v>1395</v>
      </c>
      <c r="CD465">
        <v>0.0</v>
      </c>
      <c r="CF465" t="b">
        <v>1</v>
      </c>
      <c r="CG465" t="b">
        <v>0</v>
      </c>
      <c r="CH465" t="s">
        <v>9749</v>
      </c>
      <c r="CJ465" t="b">
        <v>1</v>
      </c>
      <c r="CK465" t="b">
        <v>0</v>
      </c>
      <c r="CL465" t="s">
        <v>9752</v>
      </c>
      <c r="CO465" t="s">
        <v>9749</v>
      </c>
      <c r="CR465" t="b">
        <v>1</v>
      </c>
      <c r="CT465">
        <v>1.0</v>
      </c>
      <c r="CU465">
        <v>1.0</v>
      </c>
      <c r="CX465" s="4" t="s">
        <v>339</v>
      </c>
      <c r="CZ465" s="5">
        <v>44565.97109953704</v>
      </c>
      <c r="DA465" t="s">
        <v>9753</v>
      </c>
    </row>
    <row r="466">
      <c r="A466" t="s">
        <v>98</v>
      </c>
      <c r="D466" t="s">
        <v>3190</v>
      </c>
      <c r="E466" t="s">
        <v>9754</v>
      </c>
      <c r="F466" s="2" t="s">
        <v>9755</v>
      </c>
      <c r="G466" t="s">
        <v>1466</v>
      </c>
      <c r="I466" s="3" t="str">
        <f>HYPERLINK("https://api.typeform.com/responses/files/d6189be23687b95f9a1ecb032fb81aea2529ac18dd366a60e8e9ff924a30704d/IMG_20220105_125007.jpg")</f>
        <v>https://api.typeform.com/responses/files/d6189be23687b95f9a1ecb032fb81aea2529ac18dd366a60e8e9ff924a30704d/IMG_20220105_125007.jpg</v>
      </c>
      <c r="J466" t="s">
        <v>9756</v>
      </c>
      <c r="K466" t="b">
        <v>0</v>
      </c>
      <c r="M466" t="s">
        <v>9757</v>
      </c>
      <c r="N466" t="s">
        <v>255</v>
      </c>
      <c r="O466" t="s">
        <v>9758</v>
      </c>
      <c r="P466" t="s">
        <v>9759</v>
      </c>
      <c r="Q466" t="s">
        <v>152</v>
      </c>
      <c r="R466" t="s">
        <v>9760</v>
      </c>
      <c r="S466" t="s">
        <v>9761</v>
      </c>
      <c r="T466" s="4" t="s">
        <v>1404</v>
      </c>
      <c r="U466" t="s">
        <v>9762</v>
      </c>
      <c r="V466" t="s">
        <v>9763</v>
      </c>
      <c r="W466" t="s">
        <v>261</v>
      </c>
      <c r="Y466" t="s">
        <v>158</v>
      </c>
      <c r="Z466" t="s">
        <v>262</v>
      </c>
      <c r="AC466" s="3" t="str">
        <f>HYPERLINK("https://api.typeform.com/responses/files/73e0ef3f39f21ad42869177aca702c5c49527674743efd69dc975d0791a7afd9/IMG_20220105_125007.jpg")</f>
        <v>https://api.typeform.com/responses/files/73e0ef3f39f21ad42869177aca702c5c49527674743efd69dc975d0791a7afd9/IMG_20220105_125007.jpg</v>
      </c>
      <c r="AD466" t="s">
        <v>3642</v>
      </c>
      <c r="AE466" t="s">
        <v>729</v>
      </c>
      <c r="AF466" t="s">
        <v>2874</v>
      </c>
      <c r="AG466">
        <v>8.0</v>
      </c>
      <c r="AH466" s="4" t="s">
        <v>130</v>
      </c>
      <c r="AI466" t="s">
        <v>121</v>
      </c>
      <c r="AK466" t="s">
        <v>139</v>
      </c>
      <c r="AL466" t="s">
        <v>199</v>
      </c>
      <c r="AO466" t="s">
        <v>335</v>
      </c>
      <c r="AP466">
        <v>4.0</v>
      </c>
      <c r="AQ466" t="s">
        <v>268</v>
      </c>
      <c r="AR466" t="s">
        <v>9764</v>
      </c>
      <c r="AS466" t="b">
        <v>1</v>
      </c>
      <c r="AT466" t="b">
        <v>0</v>
      </c>
      <c r="AV466">
        <v>5.0</v>
      </c>
      <c r="AW466" t="b">
        <v>1</v>
      </c>
      <c r="AX466" t="s">
        <v>1902</v>
      </c>
      <c r="AY466" t="s">
        <v>706</v>
      </c>
      <c r="AZ466" t="b">
        <v>1</v>
      </c>
      <c r="BA466" t="b">
        <v>1</v>
      </c>
      <c r="BB466" t="b">
        <v>1</v>
      </c>
      <c r="BC466" t="s">
        <v>9765</v>
      </c>
      <c r="BH466" t="s">
        <v>132</v>
      </c>
      <c r="BI466">
        <v>4.0</v>
      </c>
      <c r="BJ466" t="s">
        <v>258</v>
      </c>
      <c r="BK466">
        <v>5.0</v>
      </c>
      <c r="BL466">
        <v>5.0</v>
      </c>
      <c r="BM466" t="s">
        <v>258</v>
      </c>
      <c r="BN466">
        <v>6.0</v>
      </c>
      <c r="BO466">
        <v>7.0</v>
      </c>
      <c r="BP466" t="s">
        <v>9766</v>
      </c>
      <c r="BQ466" t="s">
        <v>1050</v>
      </c>
      <c r="BR466" t="s">
        <v>9767</v>
      </c>
      <c r="BS466" t="s">
        <v>9768</v>
      </c>
      <c r="BU466" t="s">
        <v>139</v>
      </c>
      <c r="BV466" s="3" t="str">
        <f>HYPERLINK("https://api.typeform.com/responses/files/5418f6d5520693d8cac254b057362b61b70f66a20bbb8345d9ac64752db9434a/IMG_20220105_125007.jpg")</f>
        <v>https://api.typeform.com/responses/files/5418f6d5520693d8cac254b057362b61b70f66a20bbb8345d9ac64752db9434a/IMG_20220105_125007.jpg</v>
      </c>
      <c r="BW466" t="b">
        <v>1</v>
      </c>
      <c r="BX466" t="s">
        <v>1394</v>
      </c>
      <c r="BY466" t="s">
        <v>140</v>
      </c>
      <c r="CA466" t="s">
        <v>1395</v>
      </c>
      <c r="CD466">
        <v>0.0</v>
      </c>
      <c r="CF466" t="b">
        <v>0</v>
      </c>
      <c r="CG466" t="b">
        <v>0</v>
      </c>
      <c r="CH466" t="s">
        <v>4188</v>
      </c>
      <c r="CJ466" t="b">
        <v>1</v>
      </c>
      <c r="CK466" t="b">
        <v>0</v>
      </c>
      <c r="CL466" t="s">
        <v>541</v>
      </c>
      <c r="CM466" t="s">
        <v>541</v>
      </c>
      <c r="CO466" t="s">
        <v>9769</v>
      </c>
      <c r="CR466" t="b">
        <v>1</v>
      </c>
      <c r="CT466">
        <v>0.0</v>
      </c>
      <c r="CU466">
        <v>2.0</v>
      </c>
      <c r="CX466" t="s">
        <v>258</v>
      </c>
      <c r="CZ466" s="5">
        <v>44566.75478009259</v>
      </c>
      <c r="DA466" t="s">
        <v>9770</v>
      </c>
    </row>
    <row r="467">
      <c r="A467" t="s">
        <v>98</v>
      </c>
      <c r="D467" t="s">
        <v>9771</v>
      </c>
      <c r="E467" t="s">
        <v>667</v>
      </c>
      <c r="F467" s="2">
        <v>38904.0</v>
      </c>
      <c r="G467" t="s">
        <v>1466</v>
      </c>
      <c r="I467" s="3" t="str">
        <f>HYPERLINK("https://api.typeform.com/responses/files/e712457becd7ab42fa2166a2cde314957dca4baaef049e0ba47292721b46a10f/Op_Art_BBK__Jan_5__2022_at_1_11_PM_")</f>
        <v>https://api.typeform.com/responses/files/e712457becd7ab42fa2166a2cde314957dca4baaef049e0ba47292721b46a10f/Op_Art_BBK__Jan_5__2022_at_1_11_PM_</v>
      </c>
      <c r="J467" t="s">
        <v>9772</v>
      </c>
      <c r="K467" t="b">
        <v>1</v>
      </c>
      <c r="L467" s="4" t="s">
        <v>9773</v>
      </c>
      <c r="M467" t="s">
        <v>9774</v>
      </c>
      <c r="N467" t="s">
        <v>105</v>
      </c>
      <c r="P467" t="s">
        <v>9775</v>
      </c>
      <c r="Q467" t="s">
        <v>189</v>
      </c>
      <c r="R467" t="s">
        <v>9776</v>
      </c>
      <c r="S467" t="s">
        <v>9774</v>
      </c>
      <c r="T467" s="4" t="s">
        <v>9777</v>
      </c>
      <c r="U467" t="s">
        <v>8154</v>
      </c>
      <c r="V467" t="s">
        <v>9778</v>
      </c>
      <c r="W467" t="s">
        <v>261</v>
      </c>
      <c r="Y467" t="s">
        <v>158</v>
      </c>
      <c r="Z467" t="s">
        <v>195</v>
      </c>
      <c r="AC467" s="3" t="str">
        <f>HYPERLINK("https://api.typeform.com/responses/files/a4ff5daa9f2493c6fe8e372a9fa40cdb3266659584836bf6495d1e4bf5b99869/I._Martinez_Transcript_PDF.pdf")</f>
        <v>https://api.typeform.com/responses/files/a4ff5daa9f2493c6fe8e372a9fa40cdb3266659584836bf6495d1e4bf5b99869/I._Martinez_Transcript_PDF.pdf</v>
      </c>
      <c r="AD467" t="s">
        <v>118</v>
      </c>
      <c r="AE467" t="s">
        <v>1220</v>
      </c>
      <c r="AF467" t="s">
        <v>197</v>
      </c>
      <c r="AG467">
        <v>1.0</v>
      </c>
      <c r="AH467" t="s">
        <v>9779</v>
      </c>
      <c r="AI467" t="s">
        <v>121</v>
      </c>
      <c r="AK467" t="s">
        <v>139</v>
      </c>
      <c r="AL467" t="s">
        <v>9780</v>
      </c>
      <c r="AO467" t="s">
        <v>125</v>
      </c>
      <c r="AP467">
        <v>7.0</v>
      </c>
      <c r="AQ467" t="s">
        <v>6146</v>
      </c>
      <c r="AR467" t="s">
        <v>8677</v>
      </c>
      <c r="AS467" t="b">
        <v>1</v>
      </c>
      <c r="AT467" t="b">
        <v>0</v>
      </c>
      <c r="AV467">
        <v>6.0</v>
      </c>
      <c r="AW467" t="b">
        <v>0</v>
      </c>
      <c r="AZ467" t="b">
        <v>0</v>
      </c>
      <c r="BA467" t="b">
        <v>0</v>
      </c>
      <c r="BD467" t="s">
        <v>8677</v>
      </c>
      <c r="BH467" t="s">
        <v>132</v>
      </c>
      <c r="BI467">
        <v>3.0</v>
      </c>
      <c r="BJ467" t="s">
        <v>9781</v>
      </c>
      <c r="BK467">
        <v>6.0</v>
      </c>
      <c r="BL467">
        <v>6.0</v>
      </c>
      <c r="BM467" t="s">
        <v>9782</v>
      </c>
      <c r="BN467">
        <v>7.0</v>
      </c>
      <c r="BO467">
        <v>7.0</v>
      </c>
      <c r="BP467" t="s">
        <v>9783</v>
      </c>
      <c r="BQ467" t="s">
        <v>176</v>
      </c>
      <c r="BR467" t="s">
        <v>9784</v>
      </c>
      <c r="BS467" t="s">
        <v>9785</v>
      </c>
      <c r="BU467" t="s">
        <v>9786</v>
      </c>
      <c r="BV467" s="3" t="str">
        <f>HYPERLINK("https://api.typeform.com/responses/files/a1ecc7b3c289104f526538e49ca5d4f2e0e4af18820abe14b411b3c6f814f399/Screenshot_2022_01_05_1.51.07_PM.png")</f>
        <v>https://api.typeform.com/responses/files/a1ecc7b3c289104f526538e49ca5d4f2e0e4af18820abe14b411b3c6f814f399/Screenshot_2022_01_05_1.51.07_PM.png</v>
      </c>
      <c r="BW467" t="b">
        <v>1</v>
      </c>
      <c r="BX467" t="s">
        <v>1394</v>
      </c>
      <c r="BY467" t="s">
        <v>140</v>
      </c>
      <c r="CA467" t="s">
        <v>1395</v>
      </c>
      <c r="CD467">
        <v>0.0</v>
      </c>
      <c r="CF467" t="b">
        <v>0</v>
      </c>
      <c r="CG467" t="b">
        <v>0</v>
      </c>
      <c r="CH467" t="s">
        <v>1886</v>
      </c>
      <c r="CJ467" t="b">
        <v>0</v>
      </c>
      <c r="CK467" t="b">
        <v>1</v>
      </c>
      <c r="CL467" t="s">
        <v>541</v>
      </c>
      <c r="CO467" t="s">
        <v>388</v>
      </c>
      <c r="CR467" t="b">
        <v>1</v>
      </c>
      <c r="CT467">
        <v>0.0</v>
      </c>
      <c r="CU467">
        <v>0.0</v>
      </c>
      <c r="CX467" s="4" t="s">
        <v>9787</v>
      </c>
      <c r="CZ467" s="5">
        <v>44566.78665509259</v>
      </c>
      <c r="DA467" t="s">
        <v>9788</v>
      </c>
    </row>
    <row r="468">
      <c r="A468" t="s">
        <v>98</v>
      </c>
      <c r="D468" t="s">
        <v>9789</v>
      </c>
      <c r="E468" t="s">
        <v>9790</v>
      </c>
      <c r="F468" s="2">
        <v>38594.0</v>
      </c>
      <c r="G468" t="s">
        <v>1360</v>
      </c>
      <c r="I468" s="3" t="str">
        <f>HYPERLINK("https://api.typeform.com/responses/files/4b14a86ee5527d71bb3d54e2d8daeb9d7e55602f2610f6b811ee08ca253e9501/IMG_0272__1_.jpg")</f>
        <v>https://api.typeform.com/responses/files/4b14a86ee5527d71bb3d54e2d8daeb9d7e55602f2610f6b811ee08ca253e9501/IMG_0272__1_.jpg</v>
      </c>
      <c r="J468" t="s">
        <v>9791</v>
      </c>
      <c r="K468" t="b">
        <v>1</v>
      </c>
      <c r="L468" s="4" t="s">
        <v>9792</v>
      </c>
      <c r="M468" t="s">
        <v>9793</v>
      </c>
      <c r="N468" t="s">
        <v>255</v>
      </c>
      <c r="O468" t="s">
        <v>990</v>
      </c>
      <c r="P468" t="s">
        <v>9794</v>
      </c>
      <c r="Q468" t="s">
        <v>152</v>
      </c>
      <c r="R468" t="s">
        <v>9795</v>
      </c>
      <c r="S468" t="s">
        <v>9793</v>
      </c>
      <c r="T468" s="4" t="s">
        <v>9796</v>
      </c>
      <c r="U468" t="s">
        <v>9797</v>
      </c>
      <c r="V468" t="s">
        <v>9798</v>
      </c>
      <c r="W468" t="s">
        <v>261</v>
      </c>
      <c r="Y468" t="s">
        <v>158</v>
      </c>
      <c r="Z468" t="s">
        <v>262</v>
      </c>
      <c r="AC468" s="3" t="str">
        <f>HYPERLINK("https://api.typeform.com/responses/files/4375c57cf6662c6b076fcd537b4a79115cdef05a397ef7761be929bab59cb43e/Rising_11th_graders_transcripts__dragged_.pdf")</f>
        <v>https://api.typeform.com/responses/files/4375c57cf6662c6b076fcd537b4a79115cdef05a397ef7761be929bab59cb43e/Rising_11th_graders_transcripts__dragged_.pdf</v>
      </c>
      <c r="AD468" t="s">
        <v>543</v>
      </c>
      <c r="AE468" t="s">
        <v>729</v>
      </c>
      <c r="AF468" t="s">
        <v>197</v>
      </c>
      <c r="AG468">
        <v>11.0</v>
      </c>
      <c r="AH468" s="4" t="s">
        <v>7244</v>
      </c>
      <c r="AI468" t="s">
        <v>162</v>
      </c>
      <c r="AL468" t="s">
        <v>199</v>
      </c>
      <c r="AO468" t="s">
        <v>125</v>
      </c>
      <c r="AP468">
        <v>6.0</v>
      </c>
      <c r="AQ468" t="s">
        <v>201</v>
      </c>
      <c r="AR468" t="s">
        <v>9799</v>
      </c>
      <c r="AS468" t="b">
        <v>1</v>
      </c>
      <c r="AT468" t="b">
        <v>1</v>
      </c>
      <c r="AV468">
        <v>7.0</v>
      </c>
      <c r="AW468" t="b">
        <v>0</v>
      </c>
      <c r="AZ468" t="b">
        <v>0</v>
      </c>
      <c r="BA468" t="b">
        <v>1</v>
      </c>
      <c r="BB468" t="b">
        <v>0</v>
      </c>
      <c r="BC468" t="s">
        <v>764</v>
      </c>
      <c r="BH468" t="s">
        <v>132</v>
      </c>
      <c r="BI468">
        <v>7.0</v>
      </c>
      <c r="BJ468" t="s">
        <v>9800</v>
      </c>
      <c r="BK468">
        <v>7.0</v>
      </c>
      <c r="BL468">
        <v>7.0</v>
      </c>
      <c r="BM468" t="s">
        <v>9801</v>
      </c>
      <c r="BN468">
        <v>6.0</v>
      </c>
      <c r="BO468">
        <v>7.0</v>
      </c>
      <c r="BP468" t="s">
        <v>9802</v>
      </c>
      <c r="BQ468" t="s">
        <v>9803</v>
      </c>
      <c r="BR468" t="s">
        <v>9804</v>
      </c>
      <c r="BS468" t="s">
        <v>9805</v>
      </c>
      <c r="BU468" t="s">
        <v>139</v>
      </c>
      <c r="BV468" s="3" t="str">
        <f>HYPERLINK("https://api.typeform.com/responses/files/6a1c6acc0c083ac7b4c97ea292e940fab3fa20419749db24f33bccc21c06973d/IMG_0272__1_.jpg")</f>
        <v>https://api.typeform.com/responses/files/6a1c6acc0c083ac7b4c97ea292e940fab3fa20419749db24f33bccc21c06973d/IMG_0272__1_.jpg</v>
      </c>
      <c r="BW468" t="b">
        <v>1</v>
      </c>
      <c r="BX468" t="s">
        <v>1394</v>
      </c>
      <c r="BY468" t="s">
        <v>140</v>
      </c>
      <c r="CA468" t="s">
        <v>1395</v>
      </c>
      <c r="CD468">
        <v>0.0</v>
      </c>
      <c r="CF468" t="b">
        <v>1</v>
      </c>
      <c r="CG468" t="b">
        <v>1</v>
      </c>
      <c r="CH468" t="s">
        <v>2553</v>
      </c>
      <c r="CJ468" t="b">
        <v>1</v>
      </c>
      <c r="CK468" t="b">
        <v>0</v>
      </c>
      <c r="CL468" t="s">
        <v>387</v>
      </c>
      <c r="CO468" t="s">
        <v>200</v>
      </c>
      <c r="CR468" t="b">
        <v>1</v>
      </c>
      <c r="CT468">
        <v>0.0</v>
      </c>
      <c r="CU468">
        <v>0.0</v>
      </c>
      <c r="CV468" t="s">
        <v>9806</v>
      </c>
      <c r="CX468" s="4" t="s">
        <v>9807</v>
      </c>
      <c r="CZ468" s="5">
        <v>44567.839583333334</v>
      </c>
      <c r="DA468" t="s">
        <v>9808</v>
      </c>
    </row>
    <row r="469">
      <c r="A469" t="s">
        <v>98</v>
      </c>
      <c r="D469" t="s">
        <v>9809</v>
      </c>
      <c r="E469" t="s">
        <v>9810</v>
      </c>
      <c r="F469" s="2">
        <v>38910.0</v>
      </c>
      <c r="G469" t="s">
        <v>1360</v>
      </c>
      <c r="I469" s="3" t="str">
        <f>HYPERLINK("https://api.typeform.com/responses/files/07030d3617b8174fc5a56c9cef1ff55fc2bcf507c41fa235e93db1294867d7c4/unnamed.jpg")</f>
        <v>https://api.typeform.com/responses/files/07030d3617b8174fc5a56c9cef1ff55fc2bcf507c41fa235e93db1294867d7c4/unnamed.jpg</v>
      </c>
      <c r="J469" t="s">
        <v>9811</v>
      </c>
      <c r="K469" t="b">
        <v>1</v>
      </c>
      <c r="L469" s="4" t="s">
        <v>9812</v>
      </c>
      <c r="M469" t="s">
        <v>9813</v>
      </c>
      <c r="N469" t="s">
        <v>255</v>
      </c>
      <c r="P469" t="s">
        <v>9814</v>
      </c>
      <c r="Q469" t="s">
        <v>189</v>
      </c>
      <c r="R469" t="s">
        <v>9815</v>
      </c>
      <c r="S469" t="s">
        <v>9816</v>
      </c>
      <c r="T469" s="4" t="s">
        <v>9817</v>
      </c>
      <c r="U469" t="s">
        <v>8154</v>
      </c>
      <c r="V469" t="s">
        <v>9818</v>
      </c>
      <c r="W469" t="s">
        <v>261</v>
      </c>
      <c r="Y469" t="s">
        <v>158</v>
      </c>
      <c r="Z469" t="s">
        <v>195</v>
      </c>
      <c r="AC469" s="3" t="str">
        <f>HYPERLINK("https://api.typeform.com/responses/files/182ae55cfbf8b5114ff757a0238ebd31bf903233808740ade9f634ccfce67528/IMG_0576.jpg")</f>
        <v>https://api.typeform.com/responses/files/182ae55cfbf8b5114ff757a0238ebd31bf903233808740ade9f634ccfce67528/IMG_0576.jpg</v>
      </c>
      <c r="AD469" t="s">
        <v>3642</v>
      </c>
      <c r="AE469" t="s">
        <v>1220</v>
      </c>
      <c r="AF469" t="s">
        <v>197</v>
      </c>
      <c r="AG469">
        <v>0.0</v>
      </c>
      <c r="AH469" s="4" t="s">
        <v>8458</v>
      </c>
      <c r="AI469" t="s">
        <v>121</v>
      </c>
      <c r="AK469" t="s">
        <v>2624</v>
      </c>
      <c r="AL469" t="s">
        <v>199</v>
      </c>
      <c r="AO469" t="s">
        <v>335</v>
      </c>
      <c r="AP469">
        <v>5.0</v>
      </c>
      <c r="AQ469" t="s">
        <v>126</v>
      </c>
      <c r="AR469" t="s">
        <v>9819</v>
      </c>
      <c r="AS469" t="b">
        <v>1</v>
      </c>
      <c r="AT469" t="b">
        <v>0</v>
      </c>
      <c r="AV469">
        <v>6.0</v>
      </c>
      <c r="AW469" t="b">
        <v>0</v>
      </c>
      <c r="AZ469" t="b">
        <v>0</v>
      </c>
      <c r="BA469" t="b">
        <v>0</v>
      </c>
      <c r="BD469" t="s">
        <v>9820</v>
      </c>
      <c r="BH469" t="s">
        <v>132</v>
      </c>
      <c r="BI469">
        <v>4.0</v>
      </c>
      <c r="BJ469" t="s">
        <v>9821</v>
      </c>
      <c r="BK469">
        <v>3.0</v>
      </c>
      <c r="BL469">
        <v>4.0</v>
      </c>
      <c r="BM469" t="s">
        <v>9822</v>
      </c>
      <c r="BN469">
        <v>3.0</v>
      </c>
      <c r="BO469">
        <v>4.0</v>
      </c>
      <c r="BP469" t="s">
        <v>9823</v>
      </c>
      <c r="BQ469" t="s">
        <v>9824</v>
      </c>
      <c r="BR469" t="s">
        <v>9825</v>
      </c>
      <c r="BS469" t="s">
        <v>9826</v>
      </c>
      <c r="BU469" t="s">
        <v>9827</v>
      </c>
      <c r="BV469" s="3" t="str">
        <f>HYPERLINK("https://api.typeform.com/responses/files/15831add21ee134ca4a8fbdef0b6ac9cb7b27d3497c76f997cf224368540b52b/IMG_0677.jpg")</f>
        <v>https://api.typeform.com/responses/files/15831add21ee134ca4a8fbdef0b6ac9cb7b27d3497c76f997cf224368540b52b/IMG_0677.jpg</v>
      </c>
      <c r="BW469" t="b">
        <v>1</v>
      </c>
      <c r="BX469" t="s">
        <v>1394</v>
      </c>
      <c r="BY469" t="s">
        <v>140</v>
      </c>
      <c r="CA469" t="s">
        <v>1395</v>
      </c>
      <c r="CD469">
        <v>0.0</v>
      </c>
      <c r="CF469" t="b">
        <v>1</v>
      </c>
      <c r="CG469" t="b">
        <v>0</v>
      </c>
      <c r="CH469" t="s">
        <v>2553</v>
      </c>
      <c r="CJ469" t="b">
        <v>1</v>
      </c>
      <c r="CK469" t="b">
        <v>0</v>
      </c>
      <c r="CL469" t="s">
        <v>541</v>
      </c>
      <c r="CO469" t="s">
        <v>1248</v>
      </c>
      <c r="CR469" t="b">
        <v>1</v>
      </c>
      <c r="CT469">
        <v>0.0</v>
      </c>
      <c r="CU469">
        <v>0.0</v>
      </c>
      <c r="CX469" s="4" t="s">
        <v>9828</v>
      </c>
      <c r="CZ469" s="5">
        <v>44568.643645833334</v>
      </c>
      <c r="DA469" t="s">
        <v>9829</v>
      </c>
    </row>
    <row r="470">
      <c r="A470" t="s">
        <v>98</v>
      </c>
      <c r="D470" t="s">
        <v>9830</v>
      </c>
      <c r="E470" t="s">
        <v>9831</v>
      </c>
      <c r="F470" s="2">
        <v>38063.0</v>
      </c>
      <c r="G470" t="s">
        <v>1466</v>
      </c>
      <c r="I470" s="3" t="str">
        <f>HYPERLINK("https://api.typeform.com/responses/files/5d3daab5177d04d90f35f237ba85bb7af21bff015445a0117a1f6c2968c0cd1a/IMG_20220107_090957.jpg")</f>
        <v>https://api.typeform.com/responses/files/5d3daab5177d04d90f35f237ba85bb7af21bff015445a0117a1f6c2968c0cd1a/IMG_20220107_090957.jpg</v>
      </c>
      <c r="J470" t="s">
        <v>9832</v>
      </c>
      <c r="K470" t="b">
        <v>1</v>
      </c>
      <c r="L470" s="4" t="s">
        <v>9833</v>
      </c>
      <c r="M470" t="s">
        <v>9834</v>
      </c>
      <c r="N470" t="s">
        <v>105</v>
      </c>
      <c r="P470" t="s">
        <v>9835</v>
      </c>
      <c r="Q470" t="s">
        <v>189</v>
      </c>
      <c r="R470" t="s">
        <v>9836</v>
      </c>
      <c r="S470" t="s">
        <v>9837</v>
      </c>
      <c r="T470" s="4" t="s">
        <v>9838</v>
      </c>
      <c r="U470" t="s">
        <v>9839</v>
      </c>
      <c r="V470" t="s">
        <v>9840</v>
      </c>
      <c r="W470" t="s">
        <v>261</v>
      </c>
      <c r="Y470" t="s">
        <v>158</v>
      </c>
      <c r="Z470" t="s">
        <v>262</v>
      </c>
      <c r="AC470" s="3" t="str">
        <f>HYPERLINK("https://api.typeform.com/responses/files/427c39dbc18d0c6a9d1b96a8ad5b72fb478255438b36e6a79ad22d367ad89a6a/Rondon_D.pdf")</f>
        <v>https://api.typeform.com/responses/files/427c39dbc18d0c6a9d1b96a8ad5b72fb478255438b36e6a79ad22d367ad89a6a/Rondon_D.pdf</v>
      </c>
      <c r="AD470" t="s">
        <v>118</v>
      </c>
      <c r="AE470" t="s">
        <v>1220</v>
      </c>
      <c r="AF470" t="s">
        <v>197</v>
      </c>
      <c r="AG470">
        <v>0.0</v>
      </c>
      <c r="AH470" s="4" t="s">
        <v>9841</v>
      </c>
      <c r="AI470" t="s">
        <v>121</v>
      </c>
      <c r="AK470" t="s">
        <v>9842</v>
      </c>
      <c r="AL470" t="s">
        <v>1043</v>
      </c>
      <c r="AO470" t="s">
        <v>125</v>
      </c>
      <c r="AP470">
        <v>6.0</v>
      </c>
      <c r="AQ470" t="s">
        <v>5671</v>
      </c>
      <c r="AR470" t="s">
        <v>9843</v>
      </c>
      <c r="AS470" t="b">
        <v>1</v>
      </c>
      <c r="AT470" t="b">
        <v>0</v>
      </c>
      <c r="AV470">
        <v>4.0</v>
      </c>
      <c r="AW470" t="b">
        <v>0</v>
      </c>
      <c r="AZ470" t="b">
        <v>0</v>
      </c>
      <c r="BA470" t="b">
        <v>0</v>
      </c>
      <c r="BD470" t="s">
        <v>9844</v>
      </c>
      <c r="BH470" t="s">
        <v>132</v>
      </c>
      <c r="BI470">
        <v>5.0</v>
      </c>
      <c r="BJ470" t="s">
        <v>9845</v>
      </c>
      <c r="BK470">
        <v>4.0</v>
      </c>
      <c r="BL470">
        <v>4.0</v>
      </c>
      <c r="BM470" t="s">
        <v>9846</v>
      </c>
      <c r="BN470">
        <v>4.0</v>
      </c>
      <c r="BO470">
        <v>4.0</v>
      </c>
      <c r="BP470" t="s">
        <v>9847</v>
      </c>
      <c r="BQ470" t="s">
        <v>9848</v>
      </c>
      <c r="BR470" t="s">
        <v>9849</v>
      </c>
      <c r="BS470" t="s">
        <v>9850</v>
      </c>
      <c r="BU470" t="s">
        <v>9851</v>
      </c>
      <c r="BV470" s="3" t="str">
        <f>HYPERLINK("https://api.typeform.com/responses/files/9ff323580e334ff9a94a4af37891b22cf754a2dc84c5ad890776fa20a37532ff/IMG_6936.jpg")</f>
        <v>https://api.typeform.com/responses/files/9ff323580e334ff9a94a4af37891b22cf754a2dc84c5ad890776fa20a37532ff/IMG_6936.jpg</v>
      </c>
      <c r="BW470" t="b">
        <v>1</v>
      </c>
      <c r="BX470" t="s">
        <v>1394</v>
      </c>
      <c r="BY470" t="s">
        <v>140</v>
      </c>
      <c r="CA470" t="s">
        <v>1395</v>
      </c>
      <c r="CD470">
        <v>0.0</v>
      </c>
      <c r="CF470" t="b">
        <v>1</v>
      </c>
      <c r="CG470" t="b">
        <v>1</v>
      </c>
      <c r="CH470" t="s">
        <v>9852</v>
      </c>
      <c r="CJ470" t="b">
        <v>1</v>
      </c>
      <c r="CK470" t="b">
        <v>1</v>
      </c>
      <c r="CL470" t="s">
        <v>541</v>
      </c>
      <c r="CO470" t="s">
        <v>3491</v>
      </c>
      <c r="CR470" t="b">
        <v>1</v>
      </c>
      <c r="CT470">
        <v>0.0</v>
      </c>
      <c r="CU470">
        <v>2.0</v>
      </c>
      <c r="CX470" s="4" t="s">
        <v>3444</v>
      </c>
      <c r="CZ470" s="5">
        <v>44568.66577546296</v>
      </c>
      <c r="DA470" t="s">
        <v>9853</v>
      </c>
    </row>
    <row r="471">
      <c r="A471" t="s">
        <v>98</v>
      </c>
      <c r="D471" t="s">
        <v>9771</v>
      </c>
      <c r="E471" t="s">
        <v>667</v>
      </c>
      <c r="F471" s="2">
        <v>38904.0</v>
      </c>
      <c r="G471" t="s">
        <v>1466</v>
      </c>
      <c r="I471" s="3" t="str">
        <f>HYPERLINK("https://api.typeform.com/responses/files/ef8050aca7dc00cf26415600695b1cd5fdf9110e0254dadcd1444ba9c64cdede/Op_Art_BBK__Jan_5__2022_at_1_11_PM_")</f>
        <v>https://api.typeform.com/responses/files/ef8050aca7dc00cf26415600695b1cd5fdf9110e0254dadcd1444ba9c64cdede/Op_Art_BBK__Jan_5__2022_at_1_11_PM_</v>
      </c>
      <c r="J471" t="s">
        <v>9772</v>
      </c>
      <c r="K471" t="b">
        <v>1</v>
      </c>
      <c r="L471" s="4" t="s">
        <v>9773</v>
      </c>
      <c r="M471" t="s">
        <v>9854</v>
      </c>
      <c r="N471" t="s">
        <v>105</v>
      </c>
      <c r="P471" t="s">
        <v>9775</v>
      </c>
      <c r="Q471" t="s">
        <v>189</v>
      </c>
      <c r="R471" t="s">
        <v>9776</v>
      </c>
      <c r="S471" t="s">
        <v>9774</v>
      </c>
      <c r="T471" s="4" t="s">
        <v>9777</v>
      </c>
      <c r="U471" t="s">
        <v>8154</v>
      </c>
      <c r="V471" t="s">
        <v>9229</v>
      </c>
      <c r="W471" t="s">
        <v>261</v>
      </c>
      <c r="Y471" t="s">
        <v>158</v>
      </c>
      <c r="Z471" t="s">
        <v>195</v>
      </c>
      <c r="AC471" s="3" t="str">
        <f>HYPERLINK("https://api.typeform.com/responses/files/7e25611471864a01e40972d300dc04e2e2b61bc2d3e917dfbf2c53e631ee63d8/I._Martinez_Transcript_PDF.pdf")</f>
        <v>https://api.typeform.com/responses/files/7e25611471864a01e40972d300dc04e2e2b61bc2d3e917dfbf2c53e631ee63d8/I._Martinez_Transcript_PDF.pdf</v>
      </c>
      <c r="AD471" t="s">
        <v>118</v>
      </c>
      <c r="AE471" t="s">
        <v>1220</v>
      </c>
      <c r="AF471" t="s">
        <v>197</v>
      </c>
      <c r="AG471">
        <v>0.0</v>
      </c>
      <c r="AH471" t="s">
        <v>9855</v>
      </c>
      <c r="AI471" t="s">
        <v>121</v>
      </c>
      <c r="AL471" t="s">
        <v>9856</v>
      </c>
      <c r="AO471" t="s">
        <v>125</v>
      </c>
      <c r="AP471">
        <v>4.0</v>
      </c>
      <c r="AQ471" t="s">
        <v>6146</v>
      </c>
      <c r="AR471" t="s">
        <v>8677</v>
      </c>
      <c r="AS471" t="b">
        <v>1</v>
      </c>
      <c r="AT471" t="b">
        <v>0</v>
      </c>
      <c r="AV471">
        <v>6.0</v>
      </c>
      <c r="AW471" t="b">
        <v>0</v>
      </c>
      <c r="AZ471" t="b">
        <v>0</v>
      </c>
      <c r="BA471" t="b">
        <v>0</v>
      </c>
      <c r="BD471" t="s">
        <v>8677</v>
      </c>
      <c r="BH471" t="s">
        <v>132</v>
      </c>
      <c r="BI471">
        <v>2.0</v>
      </c>
      <c r="BJ471" t="s">
        <v>679</v>
      </c>
      <c r="BK471">
        <v>4.0</v>
      </c>
      <c r="BL471">
        <v>6.0</v>
      </c>
      <c r="BM471" t="s">
        <v>9857</v>
      </c>
      <c r="BN471">
        <v>7.0</v>
      </c>
      <c r="BO471">
        <v>7.0</v>
      </c>
      <c r="BP471" t="s">
        <v>9783</v>
      </c>
      <c r="BQ471" t="s">
        <v>1457</v>
      </c>
      <c r="BR471" t="s">
        <v>9858</v>
      </c>
      <c r="BS471" t="s">
        <v>9859</v>
      </c>
      <c r="BU471" t="s">
        <v>9860</v>
      </c>
      <c r="BV471" s="3" t="str">
        <f>HYPERLINK("https://api.typeform.com/responses/files/ac5d5e271f86a156e7b43d2212f87ff2c259d3c85e36d18801c4155edfb618a9/SPEAKHIRE_Parent.Guardian_Consent_Form.pdf")</f>
        <v>https://api.typeform.com/responses/files/ac5d5e271f86a156e7b43d2212f87ff2c259d3c85e36d18801c4155edfb618a9/SPEAKHIRE_Parent.Guardian_Consent_Form.pdf</v>
      </c>
      <c r="BW471" t="b">
        <v>1</v>
      </c>
      <c r="BX471" t="s">
        <v>1394</v>
      </c>
      <c r="BY471" t="s">
        <v>140</v>
      </c>
      <c r="CA471" t="s">
        <v>1395</v>
      </c>
      <c r="CD471">
        <v>0.0</v>
      </c>
      <c r="CF471" t="b">
        <v>1</v>
      </c>
      <c r="CG471" t="b">
        <v>0</v>
      </c>
      <c r="CH471" t="s">
        <v>1886</v>
      </c>
      <c r="CJ471" t="b">
        <v>0</v>
      </c>
      <c r="CK471" t="b">
        <v>1</v>
      </c>
      <c r="CL471" t="s">
        <v>541</v>
      </c>
      <c r="CO471" t="s">
        <v>388</v>
      </c>
      <c r="CR471" t="b">
        <v>1</v>
      </c>
      <c r="CT471">
        <v>0.0</v>
      </c>
      <c r="CU471">
        <v>0.0</v>
      </c>
      <c r="CX471" s="4" t="s">
        <v>9787</v>
      </c>
      <c r="CZ471" s="5">
        <v>44568.737858796296</v>
      </c>
      <c r="DA471" t="s">
        <v>9861</v>
      </c>
    </row>
    <row r="472">
      <c r="A472" t="s">
        <v>98</v>
      </c>
      <c r="D472" t="s">
        <v>9862</v>
      </c>
      <c r="E472" t="s">
        <v>9863</v>
      </c>
      <c r="F472" s="2">
        <v>38688.0</v>
      </c>
      <c r="G472" t="s">
        <v>1360</v>
      </c>
      <c r="I472" s="3" t="str">
        <f>HYPERLINK("https://api.typeform.com/responses/files/e187bcf5d740e85ec4ce39409f06f6adcf99606d00a42b94912c67eb960649c8/F7E37EC2_08D0_4847_AC69_467A94B5AAAF.jpeg")</f>
        <v>https://api.typeform.com/responses/files/e187bcf5d740e85ec4ce39409f06f6adcf99606d00a42b94912c67eb960649c8/F7E37EC2_08D0_4847_AC69_467A94B5AAAF.jpeg</v>
      </c>
      <c r="J472" t="s">
        <v>9864</v>
      </c>
      <c r="K472" t="b">
        <v>1</v>
      </c>
      <c r="L472" s="4" t="s">
        <v>9865</v>
      </c>
      <c r="M472" t="s">
        <v>9866</v>
      </c>
      <c r="N472" t="s">
        <v>105</v>
      </c>
      <c r="P472" t="s">
        <v>9867</v>
      </c>
      <c r="Q472" t="s">
        <v>189</v>
      </c>
      <c r="R472" t="s">
        <v>9868</v>
      </c>
      <c r="S472" t="s">
        <v>9869</v>
      </c>
      <c r="T472" s="4" t="s">
        <v>9870</v>
      </c>
      <c r="U472" t="s">
        <v>9871</v>
      </c>
      <c r="V472" t="s">
        <v>9872</v>
      </c>
      <c r="W472" t="s">
        <v>261</v>
      </c>
      <c r="Y472" t="s">
        <v>158</v>
      </c>
      <c r="Z472" t="s">
        <v>262</v>
      </c>
      <c r="AC472" s="3" t="str">
        <f>HYPERLINK("https://api.typeform.com/responses/files/cc25a7643ddbdffb3e825e6af227ae95b4de8b931a8398bdf4035e741f782767/Grullon_T.pdf")</f>
        <v>https://api.typeform.com/responses/files/cc25a7643ddbdffb3e825e6af227ae95b4de8b931a8398bdf4035e741f782767/Grullon_T.pdf</v>
      </c>
      <c r="AD472" t="s">
        <v>118</v>
      </c>
      <c r="AE472" t="s">
        <v>1220</v>
      </c>
      <c r="AF472" t="s">
        <v>197</v>
      </c>
      <c r="AG472">
        <v>0.0</v>
      </c>
      <c r="AH472" t="s">
        <v>9873</v>
      </c>
      <c r="AI472" t="s">
        <v>121</v>
      </c>
      <c r="AK472" t="s">
        <v>9874</v>
      </c>
      <c r="AL472" t="s">
        <v>1925</v>
      </c>
      <c r="AO472" t="s">
        <v>125</v>
      </c>
      <c r="AP472">
        <v>5.0</v>
      </c>
      <c r="AQ472" t="s">
        <v>303</v>
      </c>
      <c r="AR472" t="s">
        <v>9875</v>
      </c>
      <c r="AS472" t="b">
        <v>1</v>
      </c>
      <c r="AT472" t="b">
        <v>0</v>
      </c>
      <c r="AV472">
        <v>6.0</v>
      </c>
      <c r="AW472" t="b">
        <v>1</v>
      </c>
      <c r="AX472" t="s">
        <v>1902</v>
      </c>
      <c r="AY472" s="4" t="s">
        <v>170</v>
      </c>
      <c r="AZ472" t="b">
        <v>1</v>
      </c>
      <c r="BA472" t="b">
        <v>0</v>
      </c>
      <c r="BD472" t="s">
        <v>9876</v>
      </c>
      <c r="BH472" t="s">
        <v>132</v>
      </c>
      <c r="BI472">
        <v>6.0</v>
      </c>
      <c r="BJ472" t="s">
        <v>9877</v>
      </c>
      <c r="BK472">
        <v>6.0</v>
      </c>
      <c r="BL472">
        <v>7.0</v>
      </c>
      <c r="BM472" t="s">
        <v>9878</v>
      </c>
      <c r="BN472">
        <v>6.0</v>
      </c>
      <c r="BO472">
        <v>7.0</v>
      </c>
      <c r="BP472" t="s">
        <v>9879</v>
      </c>
      <c r="BQ472" t="s">
        <v>9880</v>
      </c>
      <c r="BR472" t="s">
        <v>9881</v>
      </c>
      <c r="BS472" t="s">
        <v>9882</v>
      </c>
      <c r="BU472" t="s">
        <v>9883</v>
      </c>
      <c r="BV472" s="3" t="str">
        <f>HYPERLINK("https://api.typeform.com/responses/files/3a13f6b072d4f1603014a6e18f85753a6c6fbf4d8505375a3280b53c862e16e0/image.jpg")</f>
        <v>https://api.typeform.com/responses/files/3a13f6b072d4f1603014a6e18f85753a6c6fbf4d8505375a3280b53c862e16e0/image.jpg</v>
      </c>
      <c r="BW472" t="b">
        <v>1</v>
      </c>
      <c r="BX472" t="s">
        <v>1394</v>
      </c>
      <c r="BY472" t="s">
        <v>140</v>
      </c>
      <c r="CA472" t="s">
        <v>1395</v>
      </c>
      <c r="CD472">
        <v>0.0</v>
      </c>
      <c r="CF472" t="b">
        <v>0</v>
      </c>
      <c r="CG472" t="b">
        <v>0</v>
      </c>
      <c r="CH472" t="s">
        <v>9884</v>
      </c>
      <c r="CJ472" t="b">
        <v>1</v>
      </c>
      <c r="CK472" t="b">
        <v>0</v>
      </c>
      <c r="CL472" t="s">
        <v>541</v>
      </c>
      <c r="CM472" t="s">
        <v>198</v>
      </c>
      <c r="CO472" t="s">
        <v>9885</v>
      </c>
      <c r="CR472" t="b">
        <v>1</v>
      </c>
      <c r="CT472">
        <v>1.0</v>
      </c>
      <c r="CU472">
        <v>1.0</v>
      </c>
      <c r="CX472" s="4" t="s">
        <v>9886</v>
      </c>
      <c r="CZ472" s="5">
        <v>44568.939155092594</v>
      </c>
      <c r="DA472" t="s">
        <v>9887</v>
      </c>
    </row>
    <row r="473">
      <c r="A473" t="s">
        <v>98</v>
      </c>
      <c r="D473" t="s">
        <v>9888</v>
      </c>
      <c r="E473" t="s">
        <v>5155</v>
      </c>
      <c r="F473" s="2">
        <v>38962.0</v>
      </c>
      <c r="G473" t="s">
        <v>1466</v>
      </c>
      <c r="I473" s="3" t="str">
        <f>HYPERLINK("https://api.typeform.com/responses/files/ecd76f195fc7314a3e05cbf034df70ba3662172e4509652bd868632ba83ac103/unnamed.jpg")</f>
        <v>https://api.typeform.com/responses/files/ecd76f195fc7314a3e05cbf034df70ba3662172e4509652bd868632ba83ac103/unnamed.jpg</v>
      </c>
      <c r="J473" t="s">
        <v>9889</v>
      </c>
      <c r="K473" t="b">
        <v>1</v>
      </c>
      <c r="L473" s="4" t="s">
        <v>9890</v>
      </c>
      <c r="M473" t="s">
        <v>9891</v>
      </c>
      <c r="N473" t="s">
        <v>255</v>
      </c>
      <c r="P473" t="s">
        <v>9892</v>
      </c>
      <c r="Q473" t="s">
        <v>189</v>
      </c>
      <c r="R473" t="s">
        <v>9893</v>
      </c>
      <c r="S473" t="s">
        <v>9891</v>
      </c>
      <c r="T473" s="4" t="s">
        <v>9894</v>
      </c>
      <c r="U473" t="s">
        <v>8154</v>
      </c>
      <c r="V473" t="s">
        <v>9895</v>
      </c>
      <c r="W473" t="s">
        <v>261</v>
      </c>
      <c r="Y473" t="s">
        <v>158</v>
      </c>
      <c r="Z473" t="s">
        <v>195</v>
      </c>
      <c r="AC473" s="3" t="str">
        <f>HYPERLINK("https://api.typeform.com/responses/files/ed1b5634580b3c83e7d4376e662d740be1417b4b1a7159ba04ad2784a67ae926/Screenshot_2022_01_07_6.03.50_PM.png")</f>
        <v>https://api.typeform.com/responses/files/ed1b5634580b3c83e7d4376e662d740be1417b4b1a7159ba04ad2784a67ae926/Screenshot_2022_01_07_6.03.50_PM.png</v>
      </c>
      <c r="AD473" t="s">
        <v>3642</v>
      </c>
      <c r="AE473" t="s">
        <v>729</v>
      </c>
      <c r="AF473" t="s">
        <v>197</v>
      </c>
      <c r="AG473">
        <v>2.0</v>
      </c>
      <c r="AH473" s="4" t="s">
        <v>4356</v>
      </c>
      <c r="AI473" t="s">
        <v>386</v>
      </c>
      <c r="AK473" t="s">
        <v>2516</v>
      </c>
      <c r="AL473" t="s">
        <v>9598</v>
      </c>
      <c r="AO473" t="s">
        <v>486</v>
      </c>
      <c r="AP473">
        <v>4.0</v>
      </c>
      <c r="AQ473" t="s">
        <v>2240</v>
      </c>
      <c r="AR473" t="s">
        <v>9896</v>
      </c>
      <c r="AS473" t="b">
        <v>0</v>
      </c>
      <c r="AV473">
        <v>6.0</v>
      </c>
      <c r="AW473" t="b">
        <v>1</v>
      </c>
      <c r="AX473" t="s">
        <v>1902</v>
      </c>
      <c r="AY473" s="4" t="s">
        <v>170</v>
      </c>
      <c r="AZ473" t="b">
        <v>1</v>
      </c>
      <c r="BA473" t="b">
        <v>0</v>
      </c>
      <c r="BD473" t="s">
        <v>9897</v>
      </c>
      <c r="BH473" t="s">
        <v>132</v>
      </c>
      <c r="BI473">
        <v>5.0</v>
      </c>
      <c r="BJ473" t="s">
        <v>9898</v>
      </c>
      <c r="BK473">
        <v>3.0</v>
      </c>
      <c r="BL473">
        <v>4.0</v>
      </c>
      <c r="BM473" t="s">
        <v>9899</v>
      </c>
      <c r="BN473">
        <v>4.0</v>
      </c>
      <c r="BO473">
        <v>5.0</v>
      </c>
      <c r="BP473" t="s">
        <v>9900</v>
      </c>
      <c r="BQ473" t="s">
        <v>9901</v>
      </c>
      <c r="BR473" t="s">
        <v>9902</v>
      </c>
      <c r="BS473" t="s">
        <v>9903</v>
      </c>
      <c r="BU473" t="s">
        <v>9904</v>
      </c>
      <c r="BV473" s="3" t="str">
        <f>HYPERLINK("https://api.typeform.com/responses/files/d289cfe1569623c317235756218f2c494d41bcbd9422a7e24af6d253a0a86b32/unnamed__1_.jpg")</f>
        <v>https://api.typeform.com/responses/files/d289cfe1569623c317235756218f2c494d41bcbd9422a7e24af6d253a0a86b32/unnamed__1_.jpg</v>
      </c>
      <c r="BW473" t="b">
        <v>1</v>
      </c>
      <c r="BX473" t="s">
        <v>1394</v>
      </c>
      <c r="BY473" t="s">
        <v>140</v>
      </c>
      <c r="CA473" t="s">
        <v>1395</v>
      </c>
      <c r="CD473">
        <v>0.0</v>
      </c>
      <c r="CF473" t="b">
        <v>1</v>
      </c>
      <c r="CG473" t="b">
        <v>1</v>
      </c>
      <c r="CH473" t="s">
        <v>128</v>
      </c>
      <c r="CJ473" t="b">
        <v>1</v>
      </c>
      <c r="CK473" t="b">
        <v>1</v>
      </c>
      <c r="CL473" t="s">
        <v>541</v>
      </c>
      <c r="CO473" t="s">
        <v>200</v>
      </c>
      <c r="CR473" t="b">
        <v>1</v>
      </c>
      <c r="CT473">
        <v>2.0</v>
      </c>
      <c r="CU473">
        <v>0.0</v>
      </c>
      <c r="CX473" s="4" t="s">
        <v>9905</v>
      </c>
      <c r="CZ473" s="5">
        <v>44568.98179398148</v>
      </c>
      <c r="DA473" t="s">
        <v>9906</v>
      </c>
    </row>
    <row r="474">
      <c r="A474" t="s">
        <v>98</v>
      </c>
      <c r="D474" t="s">
        <v>1612</v>
      </c>
      <c r="E474" t="s">
        <v>6176</v>
      </c>
      <c r="F474" s="2">
        <v>38965.0</v>
      </c>
      <c r="G474" t="s">
        <v>1360</v>
      </c>
      <c r="I474" s="3" t="str">
        <f>HYPERLINK("https://api.typeform.com/responses/files/255e09d8aa1042add5f0209a420a8bae5de5d725cdf9a12592febf20e999c8d3/unnamed__1_.jpg")</f>
        <v>https://api.typeform.com/responses/files/255e09d8aa1042add5f0209a420a8bae5de5d725cdf9a12592febf20e999c8d3/unnamed__1_.jpg</v>
      </c>
      <c r="J474" t="s">
        <v>9907</v>
      </c>
      <c r="K474" t="b">
        <v>1</v>
      </c>
      <c r="L474" s="4" t="s">
        <v>9908</v>
      </c>
      <c r="M474" t="s">
        <v>9909</v>
      </c>
      <c r="N474" t="s">
        <v>149</v>
      </c>
      <c r="P474" t="s">
        <v>9910</v>
      </c>
      <c r="Q474" t="s">
        <v>189</v>
      </c>
      <c r="R474" t="s">
        <v>9911</v>
      </c>
      <c r="S474" t="s">
        <v>9912</v>
      </c>
      <c r="T474" s="4" t="s">
        <v>9913</v>
      </c>
      <c r="U474" t="s">
        <v>8154</v>
      </c>
      <c r="V474" t="s">
        <v>9914</v>
      </c>
      <c r="W474" t="s">
        <v>261</v>
      </c>
      <c r="Y474" t="s">
        <v>158</v>
      </c>
      <c r="Z474" t="s">
        <v>195</v>
      </c>
      <c r="AC474" s="3" t="str">
        <f>HYPERLINK("https://api.typeform.com/responses/files/830fe06677337922653f5514c42cc2b188a29d063f05f3ea05e6b29c78d23c42/IMG_5373.jpg")</f>
        <v>https://api.typeform.com/responses/files/830fe06677337922653f5514c42cc2b188a29d063f05f3ea05e6b29c78d23c42/IMG_5373.jpg</v>
      </c>
      <c r="AD474" t="s">
        <v>118</v>
      </c>
      <c r="AE474" t="s">
        <v>729</v>
      </c>
      <c r="AF474" t="s">
        <v>197</v>
      </c>
      <c r="AG474">
        <v>12.0</v>
      </c>
      <c r="AH474" s="4" t="s">
        <v>520</v>
      </c>
      <c r="AI474" t="s">
        <v>162</v>
      </c>
      <c r="AL474" t="s">
        <v>199</v>
      </c>
      <c r="AO474" t="s">
        <v>335</v>
      </c>
      <c r="AP474">
        <v>5.0</v>
      </c>
      <c r="AQ474" t="s">
        <v>126</v>
      </c>
      <c r="AR474" t="s">
        <v>9915</v>
      </c>
      <c r="AS474" t="b">
        <v>1</v>
      </c>
      <c r="AT474" t="b">
        <v>0</v>
      </c>
      <c r="AV474">
        <v>2.0</v>
      </c>
      <c r="AW474" t="b">
        <v>0</v>
      </c>
      <c r="AZ474" t="b">
        <v>0</v>
      </c>
      <c r="BA474" t="b">
        <v>0</v>
      </c>
      <c r="BD474" t="s">
        <v>9916</v>
      </c>
      <c r="BH474" t="s">
        <v>132</v>
      </c>
      <c r="BI474">
        <v>2.0</v>
      </c>
      <c r="BJ474" t="s">
        <v>9917</v>
      </c>
      <c r="BK474">
        <v>2.0</v>
      </c>
      <c r="BL474">
        <v>2.0</v>
      </c>
      <c r="BM474" t="s">
        <v>9918</v>
      </c>
      <c r="BN474">
        <v>2.0</v>
      </c>
      <c r="BO474">
        <v>4.0</v>
      </c>
      <c r="BP474" t="s">
        <v>9919</v>
      </c>
      <c r="BQ474" t="s">
        <v>2390</v>
      </c>
      <c r="BR474" t="s">
        <v>9920</v>
      </c>
      <c r="BS474" t="s">
        <v>9921</v>
      </c>
      <c r="BU474" t="s">
        <v>9922</v>
      </c>
      <c r="BV474" s="3" t="str">
        <f>HYPERLINK("https://api.typeform.com/responses/files/6242f7dffb5e832a8ab889a61429242b1e0ceab6f7afeac12b73684c72a51383/speak_hire_thingy.jpg")</f>
        <v>https://api.typeform.com/responses/files/6242f7dffb5e832a8ab889a61429242b1e0ceab6f7afeac12b73684c72a51383/speak_hire_thingy.jpg</v>
      </c>
      <c r="BW474" t="b">
        <v>1</v>
      </c>
      <c r="BX474" t="s">
        <v>1394</v>
      </c>
      <c r="BY474" t="s">
        <v>140</v>
      </c>
      <c r="CA474" t="s">
        <v>1395</v>
      </c>
      <c r="CD474">
        <v>0.0</v>
      </c>
      <c r="CF474" t="b">
        <v>1</v>
      </c>
      <c r="CG474" t="b">
        <v>0</v>
      </c>
      <c r="CH474" t="s">
        <v>168</v>
      </c>
      <c r="CJ474" t="b">
        <v>1</v>
      </c>
      <c r="CK474" t="b">
        <v>0</v>
      </c>
      <c r="CL474" t="s">
        <v>198</v>
      </c>
      <c r="CO474" t="s">
        <v>1635</v>
      </c>
      <c r="CR474" t="b">
        <v>1</v>
      </c>
      <c r="CT474">
        <v>0.0</v>
      </c>
      <c r="CU474">
        <v>0.0</v>
      </c>
      <c r="CX474" s="4" t="s">
        <v>9923</v>
      </c>
      <c r="CZ474" s="5">
        <v>44569.05331018518</v>
      </c>
      <c r="DA474" t="s">
        <v>9924</v>
      </c>
    </row>
    <row r="475">
      <c r="A475" t="s">
        <v>98</v>
      </c>
      <c r="D475" t="s">
        <v>9925</v>
      </c>
      <c r="E475" t="s">
        <v>9926</v>
      </c>
      <c r="F475" s="2">
        <v>38399.0</v>
      </c>
      <c r="G475" t="s">
        <v>1466</v>
      </c>
      <c r="I475" s="3" t="str">
        <f>HYPERLINK("https://api.typeform.com/responses/files/460472acb7dfaa908e948d7e675619466e6160e1e88cfe0b9c51d700a4b0c2eb/68208B28_E57F_4256_ACD0_2F131B06678B.jpeg")</f>
        <v>https://api.typeform.com/responses/files/460472acb7dfaa908e948d7e675619466e6160e1e88cfe0b9c51d700a4b0c2eb/68208B28_E57F_4256_ACD0_2F131B06678B.jpeg</v>
      </c>
      <c r="J475" t="s">
        <v>9927</v>
      </c>
      <c r="K475" t="b">
        <v>1</v>
      </c>
      <c r="L475" s="4" t="s">
        <v>9928</v>
      </c>
      <c r="M475" t="s">
        <v>9929</v>
      </c>
      <c r="N475" t="s">
        <v>255</v>
      </c>
      <c r="P475" t="s">
        <v>9930</v>
      </c>
      <c r="Q475" t="s">
        <v>189</v>
      </c>
      <c r="R475" t="s">
        <v>9931</v>
      </c>
      <c r="S475" t="s">
        <v>9932</v>
      </c>
      <c r="T475" s="4" t="s">
        <v>9933</v>
      </c>
      <c r="U475" t="s">
        <v>9934</v>
      </c>
      <c r="V475" t="s">
        <v>9935</v>
      </c>
      <c r="W475" t="s">
        <v>261</v>
      </c>
      <c r="Y475" t="s">
        <v>158</v>
      </c>
      <c r="Z475" t="s">
        <v>262</v>
      </c>
      <c r="AC475" s="3" t="str">
        <f>HYPERLINK("https://api.typeform.com/responses/files/22faf3ae4577fd2563d244c0086b2b57297ee6941a99765d91db94f46bf66dc6/Screenshot_2022_01_07_8.22.33_PM.png")</f>
        <v>https://api.typeform.com/responses/files/22faf3ae4577fd2563d244c0086b2b57297ee6941a99765d91db94f46bf66dc6/Screenshot_2022_01_07_8.22.33_PM.png</v>
      </c>
      <c r="AD475" t="s">
        <v>118</v>
      </c>
      <c r="AE475" t="s">
        <v>1220</v>
      </c>
      <c r="AF475" t="s">
        <v>9936</v>
      </c>
      <c r="AG475">
        <v>1.0</v>
      </c>
      <c r="AH475" s="4" t="s">
        <v>1414</v>
      </c>
      <c r="AI475" t="s">
        <v>121</v>
      </c>
      <c r="AK475" t="s">
        <v>9937</v>
      </c>
      <c r="AL475" t="s">
        <v>1043</v>
      </c>
      <c r="AO475" t="s">
        <v>125</v>
      </c>
      <c r="AP475">
        <v>5.0</v>
      </c>
      <c r="AQ475" t="s">
        <v>2240</v>
      </c>
      <c r="AR475" t="s">
        <v>9938</v>
      </c>
      <c r="AS475" t="b">
        <v>1</v>
      </c>
      <c r="AT475" t="b">
        <v>1</v>
      </c>
      <c r="AV475">
        <v>6.0</v>
      </c>
      <c r="AW475" t="b">
        <v>0</v>
      </c>
      <c r="AZ475" t="b">
        <v>0</v>
      </c>
      <c r="BA475" t="b">
        <v>0</v>
      </c>
      <c r="BD475" t="s">
        <v>4392</v>
      </c>
      <c r="BH475" t="s">
        <v>132</v>
      </c>
      <c r="BI475">
        <v>1.0</v>
      </c>
      <c r="BJ475" t="s">
        <v>9939</v>
      </c>
      <c r="BK475">
        <v>3.0</v>
      </c>
      <c r="BL475">
        <v>3.0</v>
      </c>
      <c r="BM475" t="s">
        <v>9940</v>
      </c>
      <c r="BN475">
        <v>2.0</v>
      </c>
      <c r="BO475">
        <v>1.0</v>
      </c>
      <c r="BP475" t="s">
        <v>9941</v>
      </c>
      <c r="BQ475" t="s">
        <v>9942</v>
      </c>
      <c r="BR475" t="s">
        <v>9943</v>
      </c>
      <c r="BS475" t="s">
        <v>309</v>
      </c>
      <c r="BU475" t="s">
        <v>9944</v>
      </c>
      <c r="BV475" s="3" t="str">
        <f>HYPERLINK("https://api.typeform.com/responses/files/21f405131c44a1a0430728cf94396e6ffe79e6021b77da0365897c5e7477ae52/7D811E56_0F46_447E_A51D_5DA6F8489E9F.jpeg")</f>
        <v>https://api.typeform.com/responses/files/21f405131c44a1a0430728cf94396e6ffe79e6021b77da0365897c5e7477ae52/7D811E56_0F46_447E_A51D_5DA6F8489E9F.jpeg</v>
      </c>
      <c r="BW475" t="b">
        <v>1</v>
      </c>
      <c r="BX475" t="s">
        <v>1394</v>
      </c>
      <c r="BY475" t="s">
        <v>140</v>
      </c>
      <c r="CA475" t="s">
        <v>1395</v>
      </c>
      <c r="CD475">
        <v>0.0</v>
      </c>
      <c r="CF475" t="b">
        <v>0</v>
      </c>
      <c r="CG475" t="b">
        <v>0</v>
      </c>
      <c r="CH475" t="s">
        <v>1935</v>
      </c>
      <c r="CJ475" t="b">
        <v>0</v>
      </c>
      <c r="CK475" t="b">
        <v>0</v>
      </c>
      <c r="CL475" t="s">
        <v>541</v>
      </c>
      <c r="CO475" t="s">
        <v>2500</v>
      </c>
      <c r="CR475" t="b">
        <v>1</v>
      </c>
      <c r="CT475">
        <v>0.0</v>
      </c>
      <c r="CU475">
        <v>0.0</v>
      </c>
      <c r="CX475" s="4" t="s">
        <v>9945</v>
      </c>
      <c r="CZ475" s="5">
        <v>44569.18701388889</v>
      </c>
      <c r="DA475" t="s">
        <v>9946</v>
      </c>
    </row>
    <row r="476">
      <c r="A476" t="s">
        <v>98</v>
      </c>
      <c r="D476" t="s">
        <v>2173</v>
      </c>
      <c r="E476" t="s">
        <v>9947</v>
      </c>
      <c r="F476" s="2">
        <v>38683.0</v>
      </c>
      <c r="G476" t="s">
        <v>1466</v>
      </c>
      <c r="I476" s="3" t="str">
        <f>HYPERLINK("https://api.typeform.com/responses/files/6bc0ce0d09b3fe60971de76cb056376fff4ccffbf8966e3bbd65710769e4ab0e/IMG_20220107_232437.jpg")</f>
        <v>https://api.typeform.com/responses/files/6bc0ce0d09b3fe60971de76cb056376fff4ccffbf8966e3bbd65710769e4ab0e/IMG_20220107_232437.jpg</v>
      </c>
      <c r="J476" t="s">
        <v>9948</v>
      </c>
      <c r="K476" t="b">
        <v>1</v>
      </c>
      <c r="L476" s="4" t="s">
        <v>9949</v>
      </c>
      <c r="M476" t="s">
        <v>9950</v>
      </c>
      <c r="N476" t="s">
        <v>105</v>
      </c>
      <c r="O476" t="s">
        <v>479</v>
      </c>
      <c r="P476" t="s">
        <v>9951</v>
      </c>
      <c r="Q476" t="s">
        <v>189</v>
      </c>
      <c r="R476" t="s">
        <v>9952</v>
      </c>
      <c r="S476" t="s">
        <v>9953</v>
      </c>
      <c r="T476" s="4" t="s">
        <v>9954</v>
      </c>
      <c r="U476" t="s">
        <v>9934</v>
      </c>
      <c r="V476" t="s">
        <v>9955</v>
      </c>
      <c r="W476" t="s">
        <v>261</v>
      </c>
      <c r="Y476" t="s">
        <v>158</v>
      </c>
      <c r="Z476" t="s">
        <v>262</v>
      </c>
      <c r="AC476" s="3" t="str">
        <f>HYPERLINK("https://api.typeform.com/responses/files/4298f45f6344e7eacefb730e13f90c522a191084b0de0a2d71830404ca32cb8d/O._Piron_Transcript.pdf")</f>
        <v>https://api.typeform.com/responses/files/4298f45f6344e7eacefb730e13f90c522a191084b0de0a2d71830404ca32cb8d/O._Piron_Transcript.pdf</v>
      </c>
      <c r="AD476" t="s">
        <v>118</v>
      </c>
      <c r="AE476" t="s">
        <v>1220</v>
      </c>
      <c r="AF476" t="s">
        <v>197</v>
      </c>
      <c r="AG476">
        <v>0.0</v>
      </c>
      <c r="AH476" t="s">
        <v>9956</v>
      </c>
      <c r="AI476" t="s">
        <v>121</v>
      </c>
      <c r="AK476" t="s">
        <v>9957</v>
      </c>
      <c r="AL476" t="s">
        <v>967</v>
      </c>
      <c r="AO476" t="s">
        <v>125</v>
      </c>
      <c r="AP476">
        <v>4.0</v>
      </c>
      <c r="AQ476" t="s">
        <v>2240</v>
      </c>
      <c r="AR476" t="s">
        <v>9958</v>
      </c>
      <c r="AS476" t="b">
        <v>1</v>
      </c>
      <c r="AT476" t="b">
        <v>1</v>
      </c>
      <c r="AV476">
        <v>5.0</v>
      </c>
      <c r="AW476" t="b">
        <v>0</v>
      </c>
      <c r="AZ476" t="b">
        <v>1</v>
      </c>
      <c r="BA476" t="b">
        <v>0</v>
      </c>
      <c r="BD476" t="s">
        <v>9959</v>
      </c>
      <c r="BH476" t="s">
        <v>132</v>
      </c>
      <c r="BI476">
        <v>5.0</v>
      </c>
      <c r="BJ476" t="s">
        <v>9960</v>
      </c>
      <c r="BK476">
        <v>5.0</v>
      </c>
      <c r="BL476">
        <v>4.0</v>
      </c>
      <c r="BM476" t="s">
        <v>9961</v>
      </c>
      <c r="BN476">
        <v>6.0</v>
      </c>
      <c r="BO476">
        <v>5.0</v>
      </c>
      <c r="BP476" t="s">
        <v>9962</v>
      </c>
      <c r="BQ476" t="s">
        <v>9963</v>
      </c>
      <c r="BR476" t="s">
        <v>9964</v>
      </c>
      <c r="BS476" t="s">
        <v>9965</v>
      </c>
      <c r="BU476" t="s">
        <v>9966</v>
      </c>
      <c r="BV476" s="3" t="str">
        <f>HYPERLINK("https://api.typeform.com/responses/files/b15d44d4700bc0bff69add71bb11278aa20d648d7b1e0bfdf11b5980205c190e/20220108_001054.jpg")</f>
        <v>https://api.typeform.com/responses/files/b15d44d4700bc0bff69add71bb11278aa20d648d7b1e0bfdf11b5980205c190e/20220108_001054.jpg</v>
      </c>
      <c r="BW476" t="b">
        <v>1</v>
      </c>
      <c r="BX476" t="s">
        <v>1394</v>
      </c>
      <c r="BY476" t="s">
        <v>140</v>
      </c>
      <c r="CA476" t="s">
        <v>1395</v>
      </c>
      <c r="CD476">
        <v>0.0</v>
      </c>
      <c r="CF476" t="b">
        <v>0</v>
      </c>
      <c r="CG476" t="b">
        <v>0</v>
      </c>
      <c r="CH476" t="s">
        <v>9967</v>
      </c>
      <c r="CJ476" t="b">
        <v>0</v>
      </c>
      <c r="CK476" t="b">
        <v>0</v>
      </c>
      <c r="CL476" t="s">
        <v>541</v>
      </c>
      <c r="CM476" t="s">
        <v>2301</v>
      </c>
      <c r="CO476" t="s">
        <v>200</v>
      </c>
      <c r="CR476" t="b">
        <v>1</v>
      </c>
      <c r="CT476">
        <v>0.0</v>
      </c>
      <c r="CU476">
        <v>0.0</v>
      </c>
      <c r="CX476" s="4" t="s">
        <v>172</v>
      </c>
      <c r="CZ476" s="5">
        <v>44569.218356481484</v>
      </c>
      <c r="DA476" t="s">
        <v>9968</v>
      </c>
    </row>
    <row r="477">
      <c r="A477" t="s">
        <v>98</v>
      </c>
      <c r="D477" t="s">
        <v>9969</v>
      </c>
      <c r="E477" t="s">
        <v>5939</v>
      </c>
      <c r="F477" s="2" t="s">
        <v>9970</v>
      </c>
      <c r="G477" t="s">
        <v>1466</v>
      </c>
      <c r="I477" s="3" t="str">
        <f>HYPERLINK("https://api.typeform.com/responses/files/a930121adbd564e37fe2b6bb61085ead676fcb220c47ae3c871bf9cb23430ede/unnamed.jpg")</f>
        <v>https://api.typeform.com/responses/files/a930121adbd564e37fe2b6bb61085ead676fcb220c47ae3c871bf9cb23430ede/unnamed.jpg</v>
      </c>
      <c r="J477" t="s">
        <v>9971</v>
      </c>
      <c r="K477" t="b">
        <v>1</v>
      </c>
      <c r="L477" s="4" t="s">
        <v>9972</v>
      </c>
      <c r="M477" t="s">
        <v>9973</v>
      </c>
      <c r="N477" t="s">
        <v>255</v>
      </c>
      <c r="O477" t="s">
        <v>9974</v>
      </c>
      <c r="P477" t="s">
        <v>9975</v>
      </c>
      <c r="Q477" t="s">
        <v>189</v>
      </c>
      <c r="R477" t="s">
        <v>9976</v>
      </c>
      <c r="S477" t="s">
        <v>9973</v>
      </c>
      <c r="T477" s="4" t="s">
        <v>9977</v>
      </c>
      <c r="U477" t="s">
        <v>9978</v>
      </c>
      <c r="V477" t="s">
        <v>9895</v>
      </c>
      <c r="W477" t="s">
        <v>261</v>
      </c>
      <c r="Y477" t="s">
        <v>158</v>
      </c>
      <c r="Z477" t="s">
        <v>262</v>
      </c>
      <c r="AC477" s="3" t="str">
        <f>HYPERLINK("https://api.typeform.com/responses/files/d6c10c0c2c249f02d8803cb57e5eabd92cedeb4bb58348cf77e9079d2af13d78/unnamed.jpg")</f>
        <v>https://api.typeform.com/responses/files/d6c10c0c2c249f02d8803cb57e5eabd92cedeb4bb58348cf77e9079d2af13d78/unnamed.jpg</v>
      </c>
      <c r="AD477" t="s">
        <v>118</v>
      </c>
      <c r="AE477" t="s">
        <v>729</v>
      </c>
      <c r="AF477" t="s">
        <v>197</v>
      </c>
      <c r="AG477">
        <v>3.0</v>
      </c>
      <c r="AH477" t="s">
        <v>258</v>
      </c>
      <c r="AI477" t="s">
        <v>121</v>
      </c>
      <c r="AK477" t="s">
        <v>9979</v>
      </c>
      <c r="AL477" t="s">
        <v>9980</v>
      </c>
      <c r="AO477" t="s">
        <v>125</v>
      </c>
      <c r="AP477">
        <v>1.0</v>
      </c>
      <c r="AQ477" t="s">
        <v>126</v>
      </c>
      <c r="AR477" t="s">
        <v>9981</v>
      </c>
      <c r="AS477" t="b">
        <v>1</v>
      </c>
      <c r="AT477" t="b">
        <v>0</v>
      </c>
      <c r="AV477">
        <v>7.0</v>
      </c>
      <c r="AW477" t="b">
        <v>1</v>
      </c>
      <c r="AX477" t="s">
        <v>1902</v>
      </c>
      <c r="AY477" s="4" t="s">
        <v>518</v>
      </c>
      <c r="AZ477" t="b">
        <v>0</v>
      </c>
      <c r="BA477" t="b">
        <v>0</v>
      </c>
      <c r="BD477" t="s">
        <v>9982</v>
      </c>
      <c r="BH477" t="s">
        <v>132</v>
      </c>
      <c r="BI477">
        <v>4.0</v>
      </c>
      <c r="BJ477" t="s">
        <v>9983</v>
      </c>
      <c r="BK477">
        <v>5.0</v>
      </c>
      <c r="BL477">
        <v>6.0</v>
      </c>
      <c r="BM477" t="s">
        <v>9984</v>
      </c>
      <c r="BN477">
        <v>5.0</v>
      </c>
      <c r="BO477">
        <v>6.0</v>
      </c>
      <c r="BP477" t="s">
        <v>9985</v>
      </c>
      <c r="BQ477" t="s">
        <v>3330</v>
      </c>
      <c r="BR477" t="s">
        <v>9986</v>
      </c>
      <c r="BS477" t="s">
        <v>9987</v>
      </c>
      <c r="BU477" t="s">
        <v>9988</v>
      </c>
      <c r="BV477" s="3" t="str">
        <f>HYPERLINK("https://api.typeform.com/responses/files/d0d764fad1f52da9b607942fb1dc3673a054bd94acae14472315bb69ecf6cd7e/IMG_6707.jpg")</f>
        <v>https://api.typeform.com/responses/files/d0d764fad1f52da9b607942fb1dc3673a054bd94acae14472315bb69ecf6cd7e/IMG_6707.jpg</v>
      </c>
      <c r="BW477" t="b">
        <v>1</v>
      </c>
      <c r="BX477" t="s">
        <v>1394</v>
      </c>
      <c r="BY477" t="s">
        <v>140</v>
      </c>
      <c r="CA477" t="s">
        <v>1395</v>
      </c>
      <c r="CD477">
        <v>0.0</v>
      </c>
      <c r="CF477" t="b">
        <v>0</v>
      </c>
      <c r="CG477" t="b">
        <v>0</v>
      </c>
      <c r="CH477" t="s">
        <v>4188</v>
      </c>
      <c r="CJ477" t="b">
        <v>0</v>
      </c>
      <c r="CK477" t="b">
        <v>0</v>
      </c>
      <c r="CL477" t="s">
        <v>541</v>
      </c>
      <c r="CO477" t="s">
        <v>200</v>
      </c>
      <c r="CR477" t="b">
        <v>1</v>
      </c>
      <c r="CT477">
        <v>0.0</v>
      </c>
      <c r="CU477">
        <v>0.0</v>
      </c>
      <c r="CX477" s="4" t="s">
        <v>9989</v>
      </c>
      <c r="CZ477" s="5">
        <v>44569.802766203706</v>
      </c>
      <c r="DA477" t="s">
        <v>9990</v>
      </c>
    </row>
    <row r="478">
      <c r="A478" t="s">
        <v>98</v>
      </c>
      <c r="D478" t="s">
        <v>9991</v>
      </c>
      <c r="E478" t="s">
        <v>9992</v>
      </c>
      <c r="F478" s="2">
        <v>38812.0</v>
      </c>
      <c r="G478" t="s">
        <v>1360</v>
      </c>
      <c r="I478" s="3" t="str">
        <f>HYPERLINK("https://api.typeform.com/responses/files/80bf10ce3f1fe74a3c0c2a10b2ef8e25cdd48c1a674f48be87b14fee1b8a73ab/Image_20211222_152527.heic")</f>
        <v>https://api.typeform.com/responses/files/80bf10ce3f1fe74a3c0c2a10b2ef8e25cdd48c1a674f48be87b14fee1b8a73ab/Image_20211222_152527.heic</v>
      </c>
      <c r="J478" t="s">
        <v>9993</v>
      </c>
      <c r="K478" t="b">
        <v>1</v>
      </c>
      <c r="L478" s="4" t="s">
        <v>9994</v>
      </c>
      <c r="M478" t="s">
        <v>9995</v>
      </c>
      <c r="N478" t="s">
        <v>105</v>
      </c>
      <c r="P478" t="s">
        <v>9996</v>
      </c>
      <c r="Q478" t="s">
        <v>152</v>
      </c>
      <c r="R478" t="s">
        <v>9997</v>
      </c>
      <c r="S478" t="s">
        <v>9995</v>
      </c>
      <c r="T478" s="4" t="s">
        <v>9998</v>
      </c>
      <c r="U478" t="s">
        <v>9934</v>
      </c>
      <c r="V478" t="s">
        <v>9229</v>
      </c>
      <c r="W478" t="s">
        <v>261</v>
      </c>
      <c r="Y478" t="s">
        <v>158</v>
      </c>
      <c r="Z478" t="s">
        <v>195</v>
      </c>
      <c r="AC478" s="3" t="str">
        <f>HYPERLINK("https://api.typeform.com/responses/files/16390446aac5531dc99a476a221de5c42080c793eb56859b79b05eca2360251d/286fa81c_9fe0_44f0_9771_214d7f376eb2.jpg")</f>
        <v>https://api.typeform.com/responses/files/16390446aac5531dc99a476a221de5c42080c793eb56859b79b05eca2360251d/286fa81c_9fe0_44f0_9771_214d7f376eb2.jpg</v>
      </c>
      <c r="AD478" t="s">
        <v>118</v>
      </c>
      <c r="AE478" t="s">
        <v>781</v>
      </c>
      <c r="AF478" t="s">
        <v>9999</v>
      </c>
      <c r="AG478">
        <v>0.0</v>
      </c>
      <c r="AH478" t="s">
        <v>3585</v>
      </c>
      <c r="AI478" t="s">
        <v>121</v>
      </c>
      <c r="AK478" t="s">
        <v>10000</v>
      </c>
      <c r="AL478" t="s">
        <v>10001</v>
      </c>
      <c r="AO478" t="s">
        <v>125</v>
      </c>
      <c r="AP478">
        <v>3.0</v>
      </c>
      <c r="AQ478" t="s">
        <v>201</v>
      </c>
      <c r="AR478" t="s">
        <v>10002</v>
      </c>
      <c r="AS478" t="b">
        <v>0</v>
      </c>
      <c r="AV478">
        <v>4.0</v>
      </c>
      <c r="AW478" t="b">
        <v>0</v>
      </c>
      <c r="AZ478" t="b">
        <v>0</v>
      </c>
      <c r="BA478" t="b">
        <v>0</v>
      </c>
      <c r="BD478" t="s">
        <v>10002</v>
      </c>
      <c r="BH478" t="s">
        <v>132</v>
      </c>
      <c r="BI478">
        <v>3.0</v>
      </c>
      <c r="BJ478" t="s">
        <v>10003</v>
      </c>
      <c r="BK478">
        <v>4.0</v>
      </c>
      <c r="BL478">
        <v>7.0</v>
      </c>
      <c r="BM478" t="s">
        <v>10004</v>
      </c>
      <c r="BN478">
        <v>7.0</v>
      </c>
      <c r="BO478">
        <v>7.0</v>
      </c>
      <c r="BP478" t="s">
        <v>10005</v>
      </c>
      <c r="BQ478" t="s">
        <v>1050</v>
      </c>
      <c r="BR478" t="s">
        <v>10006</v>
      </c>
      <c r="BS478" t="s">
        <v>10007</v>
      </c>
      <c r="BU478" t="s">
        <v>258</v>
      </c>
      <c r="BV478" s="3" t="str">
        <f>HYPERLINK("https://api.typeform.com/responses/files/478544d5ff8701ca4fa7fb29db8be04d7318983f6f58d4b8ab134e2fce7c189c/e324bbde_f9ea_41f1_81db_cc3b15d54969.jpg")</f>
        <v>https://api.typeform.com/responses/files/478544d5ff8701ca4fa7fb29db8be04d7318983f6f58d4b8ab134e2fce7c189c/e324bbde_f9ea_41f1_81db_cc3b15d54969.jpg</v>
      </c>
      <c r="BW478" t="b">
        <v>1</v>
      </c>
      <c r="BX478" t="s">
        <v>1394</v>
      </c>
      <c r="BY478" t="s">
        <v>140</v>
      </c>
      <c r="CA478" t="s">
        <v>1395</v>
      </c>
      <c r="CD478">
        <v>0.0</v>
      </c>
      <c r="CF478" t="b">
        <v>0</v>
      </c>
      <c r="CG478" t="b">
        <v>0</v>
      </c>
      <c r="CH478" t="s">
        <v>10008</v>
      </c>
      <c r="CJ478" t="b">
        <v>0</v>
      </c>
      <c r="CK478" t="b">
        <v>1</v>
      </c>
      <c r="CL478" t="s">
        <v>619</v>
      </c>
      <c r="CO478" t="s">
        <v>3491</v>
      </c>
      <c r="CR478" t="b">
        <v>1</v>
      </c>
      <c r="CT478">
        <v>0.0</v>
      </c>
      <c r="CU478">
        <v>2.0</v>
      </c>
      <c r="CX478" s="4" t="s">
        <v>10009</v>
      </c>
      <c r="CZ478" s="5">
        <v>44570.08871527778</v>
      </c>
      <c r="DA478" t="s">
        <v>10010</v>
      </c>
    </row>
    <row r="479">
      <c r="A479" t="s">
        <v>98</v>
      </c>
      <c r="D479" t="s">
        <v>10011</v>
      </c>
      <c r="E479" t="s">
        <v>10012</v>
      </c>
      <c r="F479" s="2">
        <v>37655.0</v>
      </c>
      <c r="G479" t="s">
        <v>1360</v>
      </c>
      <c r="I479" s="3" t="str">
        <f>HYPERLINK("https://api.typeform.com/responses/files/ccb0530db314ad40f816cfc0848050d6014fea169da8e3755ee89b9f1b4b4d72/E5EECDC5_5562_4A22_A6AB_19710CD0A8A5.jpeg")</f>
        <v>https://api.typeform.com/responses/files/ccb0530db314ad40f816cfc0848050d6014fea169da8e3755ee89b9f1b4b4d72/E5EECDC5_5562_4A22_A6AB_19710CD0A8A5.jpeg</v>
      </c>
      <c r="J479" t="s">
        <v>10013</v>
      </c>
      <c r="K479" t="b">
        <v>1</v>
      </c>
      <c r="L479" s="4" t="s">
        <v>10014</v>
      </c>
      <c r="M479" t="s">
        <v>10015</v>
      </c>
      <c r="N479" t="s">
        <v>105</v>
      </c>
      <c r="P479" t="s">
        <v>10016</v>
      </c>
      <c r="Q479" t="s">
        <v>189</v>
      </c>
      <c r="R479" t="s">
        <v>10013</v>
      </c>
      <c r="S479" t="s">
        <v>10017</v>
      </c>
      <c r="T479" s="4" t="s">
        <v>10018</v>
      </c>
      <c r="U479" t="s">
        <v>10019</v>
      </c>
      <c r="V479" t="s">
        <v>10020</v>
      </c>
      <c r="W479" t="s">
        <v>113</v>
      </c>
      <c r="Y479" t="s">
        <v>158</v>
      </c>
      <c r="Z479" t="s">
        <v>159</v>
      </c>
      <c r="AC479" s="3" t="str">
        <f>HYPERLINK("https://api.typeform.com/responses/files/788f49056f044f088ee74fb2b423b8c03008d777a2b828ae1543146292173db5/47D7E92D_9021_4BC6_B279_B3B1CDA4E1B5.png")</f>
        <v>https://api.typeform.com/responses/files/788f49056f044f088ee74fb2b423b8c03008d777a2b828ae1543146292173db5/47D7E92D_9021_4BC6_B279_B3B1CDA4E1B5.png</v>
      </c>
      <c r="AD479" t="s">
        <v>118</v>
      </c>
      <c r="AE479" t="s">
        <v>1780</v>
      </c>
      <c r="AI479" t="s">
        <v>121</v>
      </c>
      <c r="AK479" t="s">
        <v>10021</v>
      </c>
      <c r="AL479" t="s">
        <v>10022</v>
      </c>
      <c r="AO479" t="s">
        <v>486</v>
      </c>
      <c r="AP479">
        <v>1.0</v>
      </c>
      <c r="AQ479" t="s">
        <v>6146</v>
      </c>
      <c r="AR479" t="s">
        <v>10023</v>
      </c>
      <c r="AS479" t="b">
        <v>1</v>
      </c>
      <c r="AT479" t="b">
        <v>1</v>
      </c>
      <c r="AV479">
        <v>6.0</v>
      </c>
      <c r="AW479" t="b">
        <v>1</v>
      </c>
      <c r="AX479" s="4" t="s">
        <v>130</v>
      </c>
      <c r="AY479" s="4" t="s">
        <v>518</v>
      </c>
      <c r="AZ479" t="b">
        <v>1</v>
      </c>
      <c r="BA479" t="b">
        <v>1</v>
      </c>
      <c r="BB479" t="b">
        <v>0</v>
      </c>
      <c r="BC479" t="s">
        <v>10024</v>
      </c>
      <c r="BH479" t="s">
        <v>132</v>
      </c>
      <c r="BI479">
        <v>1.0</v>
      </c>
      <c r="BJ479" t="s">
        <v>10025</v>
      </c>
      <c r="BK479">
        <v>1.0</v>
      </c>
      <c r="BL479">
        <v>6.0</v>
      </c>
      <c r="BM479" t="s">
        <v>10026</v>
      </c>
      <c r="BN479">
        <v>3.0</v>
      </c>
      <c r="BO479">
        <v>1.0</v>
      </c>
      <c r="BP479" t="s">
        <v>10027</v>
      </c>
      <c r="BQ479" t="s">
        <v>916</v>
      </c>
      <c r="BR479" t="s">
        <v>10028</v>
      </c>
      <c r="BS479" t="s">
        <v>10029</v>
      </c>
      <c r="BU479" t="s">
        <v>10030</v>
      </c>
      <c r="BV479" s="3" t="str">
        <f>HYPERLINK("https://api.typeform.com/responses/files/ec60de8d369c0b4145ba9bfce4ba6f6805f860e70f0520f86bbc23a378dc3c5d/image.jpg")</f>
        <v>https://api.typeform.com/responses/files/ec60de8d369c0b4145ba9bfce4ba6f6805f860e70f0520f86bbc23a378dc3c5d/image.jpg</v>
      </c>
      <c r="BW479" t="b">
        <v>1</v>
      </c>
      <c r="BX479" t="s">
        <v>1394</v>
      </c>
      <c r="BY479" t="s">
        <v>140</v>
      </c>
      <c r="CA479" t="s">
        <v>1395</v>
      </c>
      <c r="CD479">
        <v>0.0</v>
      </c>
      <c r="CF479" t="b">
        <v>0</v>
      </c>
      <c r="CG479" t="b">
        <v>0</v>
      </c>
      <c r="CH479" t="s">
        <v>10031</v>
      </c>
      <c r="CJ479" t="b">
        <v>0</v>
      </c>
      <c r="CK479" t="b">
        <v>0</v>
      </c>
      <c r="CL479" t="s">
        <v>541</v>
      </c>
      <c r="CO479" t="s">
        <v>1688</v>
      </c>
      <c r="CR479" t="b">
        <v>1</v>
      </c>
      <c r="CT479">
        <v>1.0</v>
      </c>
      <c r="CU479">
        <v>0.0</v>
      </c>
      <c r="CX479" t="s">
        <v>620</v>
      </c>
      <c r="CZ479" s="5">
        <v>44574.012557870374</v>
      </c>
      <c r="DA479" t="s">
        <v>10032</v>
      </c>
    </row>
    <row r="480">
      <c r="A480" t="s">
        <v>98</v>
      </c>
      <c r="D480" t="s">
        <v>10033</v>
      </c>
      <c r="E480" t="s">
        <v>10034</v>
      </c>
      <c r="F480" s="2">
        <v>38430.0</v>
      </c>
      <c r="G480" t="s">
        <v>1360</v>
      </c>
      <c r="I480" s="3" t="str">
        <f>HYPERLINK("https://api.typeform.com/responses/files/34d917479738a639b7fe858d1e54163fdd85f0005717b9197373b8881d851042/0.jpg")</f>
        <v>https://api.typeform.com/responses/files/34d917479738a639b7fe858d1e54163fdd85f0005717b9197373b8881d851042/0.jpg</v>
      </c>
      <c r="J480" t="s">
        <v>10035</v>
      </c>
      <c r="K480" t="b">
        <v>1</v>
      </c>
      <c r="L480" s="4" t="s">
        <v>10036</v>
      </c>
      <c r="M480" t="s">
        <v>10037</v>
      </c>
      <c r="N480" t="s">
        <v>149</v>
      </c>
      <c r="O480" t="s">
        <v>5705</v>
      </c>
      <c r="P480" t="s">
        <v>182</v>
      </c>
      <c r="Q480" t="s">
        <v>189</v>
      </c>
      <c r="R480" t="s">
        <v>10038</v>
      </c>
      <c r="S480" t="s">
        <v>10039</v>
      </c>
      <c r="T480" s="4" t="s">
        <v>10040</v>
      </c>
      <c r="U480" t="s">
        <v>10041</v>
      </c>
      <c r="V480" t="s">
        <v>8359</v>
      </c>
      <c r="W480" t="s">
        <v>261</v>
      </c>
      <c r="Y480" t="s">
        <v>158</v>
      </c>
      <c r="Z480" t="s">
        <v>262</v>
      </c>
      <c r="AC480" s="3" t="str">
        <f>HYPERLINK("https://api.typeform.com/responses/files/4e24dd911a963d6088f5be10d8e616e4b612a1c7f4a7a0e37d53b5d4517a1472/Rising_11th_graders_transcripts__dragged___1_.pdf")</f>
        <v>https://api.typeform.com/responses/files/4e24dd911a963d6088f5be10d8e616e4b612a1c7f4a7a0e37d53b5d4517a1472/Rising_11th_graders_transcripts__dragged___1_.pdf</v>
      </c>
      <c r="AD480" t="s">
        <v>118</v>
      </c>
      <c r="AE480" t="s">
        <v>729</v>
      </c>
      <c r="AF480" t="s">
        <v>1019</v>
      </c>
      <c r="AG480">
        <v>13.0</v>
      </c>
      <c r="AH480" t="s">
        <v>3623</v>
      </c>
      <c r="AI480" t="s">
        <v>386</v>
      </c>
      <c r="AL480" t="s">
        <v>199</v>
      </c>
      <c r="AO480" t="s">
        <v>335</v>
      </c>
      <c r="AP480">
        <v>5.0</v>
      </c>
      <c r="AQ480" t="s">
        <v>2625</v>
      </c>
      <c r="AR480" t="s">
        <v>10042</v>
      </c>
      <c r="AS480" t="b">
        <v>1</v>
      </c>
      <c r="AT480" t="b">
        <v>0</v>
      </c>
      <c r="AV480">
        <v>4.0</v>
      </c>
      <c r="AW480" t="b">
        <v>0</v>
      </c>
      <c r="AZ480" t="b">
        <v>0</v>
      </c>
      <c r="BA480" t="b">
        <v>0</v>
      </c>
      <c r="BD480" t="s">
        <v>10043</v>
      </c>
      <c r="BH480" t="s">
        <v>132</v>
      </c>
      <c r="BI480">
        <v>4.0</v>
      </c>
      <c r="BJ480" t="s">
        <v>8189</v>
      </c>
      <c r="BK480">
        <v>4.0</v>
      </c>
      <c r="BL480">
        <v>7.0</v>
      </c>
      <c r="BM480" t="s">
        <v>10044</v>
      </c>
      <c r="BN480">
        <v>4.0</v>
      </c>
      <c r="BO480">
        <v>7.0</v>
      </c>
      <c r="BP480" t="s">
        <v>10045</v>
      </c>
      <c r="BQ480" t="s">
        <v>10046</v>
      </c>
      <c r="BR480" t="s">
        <v>10047</v>
      </c>
      <c r="BS480" t="s">
        <v>10048</v>
      </c>
      <c r="BU480" t="s">
        <v>179</v>
      </c>
      <c r="BV480" s="3" t="str">
        <f>HYPERLINK("https://api.typeform.com/responses/files/4c5ff4f55370b2c43c926d8d9902802b5884aa0592796643e89ad5ef9c63ad84/Rising_11th_graders_transcripts__dragged___1_.pdf")</f>
        <v>https://api.typeform.com/responses/files/4c5ff4f55370b2c43c926d8d9902802b5884aa0592796643e89ad5ef9c63ad84/Rising_11th_graders_transcripts__dragged___1_.pdf</v>
      </c>
      <c r="BW480" t="b">
        <v>1</v>
      </c>
      <c r="BX480" t="s">
        <v>1394</v>
      </c>
      <c r="BY480" t="s">
        <v>140</v>
      </c>
      <c r="CA480" t="s">
        <v>1395</v>
      </c>
      <c r="CD480">
        <v>0.0</v>
      </c>
      <c r="CF480" t="b">
        <v>1</v>
      </c>
      <c r="CG480" t="b">
        <v>1</v>
      </c>
      <c r="CH480" t="s">
        <v>168</v>
      </c>
      <c r="CJ480" t="b">
        <v>1</v>
      </c>
      <c r="CK480" t="b">
        <v>1</v>
      </c>
      <c r="CL480" t="s">
        <v>387</v>
      </c>
      <c r="CO480" t="s">
        <v>200</v>
      </c>
      <c r="CR480" t="b">
        <v>1</v>
      </c>
      <c r="CT480">
        <v>0.0</v>
      </c>
      <c r="CU480">
        <v>0.0</v>
      </c>
      <c r="CX480" s="4" t="s">
        <v>8408</v>
      </c>
      <c r="CZ480" s="5">
        <v>44574.84893518518</v>
      </c>
      <c r="DA480" t="s">
        <v>10049</v>
      </c>
    </row>
    <row r="481">
      <c r="A481" t="s">
        <v>98</v>
      </c>
      <c r="D481" t="s">
        <v>5239</v>
      </c>
      <c r="E481" t="s">
        <v>10050</v>
      </c>
      <c r="F481" s="2">
        <v>38654.0</v>
      </c>
      <c r="G481" t="s">
        <v>1466</v>
      </c>
      <c r="I481" s="3" t="str">
        <f>HYPERLINK("https://api.typeform.com/responses/files/8e68cb47fb88fcfac00689f2cec6e1e6673c664a7d53f2f5ea98d85eac63a1d8/IMG_1764.jpg")</f>
        <v>https://api.typeform.com/responses/files/8e68cb47fb88fcfac00689f2cec6e1e6673c664a7d53f2f5ea98d85eac63a1d8/IMG_1764.jpg</v>
      </c>
      <c r="J481" t="s">
        <v>10051</v>
      </c>
      <c r="K481" t="b">
        <v>1</v>
      </c>
      <c r="L481" s="4" t="s">
        <v>10052</v>
      </c>
      <c r="M481" t="s">
        <v>10053</v>
      </c>
      <c r="N481" t="s">
        <v>255</v>
      </c>
      <c r="P481" t="s">
        <v>10054</v>
      </c>
      <c r="Q481" t="s">
        <v>152</v>
      </c>
      <c r="R481" t="s">
        <v>10055</v>
      </c>
      <c r="S481" t="s">
        <v>10056</v>
      </c>
      <c r="T481" s="4" t="s">
        <v>10057</v>
      </c>
      <c r="U481" t="s">
        <v>8020</v>
      </c>
      <c r="V481" t="s">
        <v>10058</v>
      </c>
      <c r="W481" t="s">
        <v>1412</v>
      </c>
      <c r="Y481" t="s">
        <v>158</v>
      </c>
      <c r="Z481" t="s">
        <v>262</v>
      </c>
      <c r="AC481" s="3" t="str">
        <f>HYPERLINK("https://api.typeform.com/responses/files/b87f75cddc9701bc68ac8b5133136451f12ad8a69d85036314854411d0a96f1b/Untitled_document.docx")</f>
        <v>https://api.typeform.com/responses/files/b87f75cddc9701bc68ac8b5133136451f12ad8a69d85036314854411d0a96f1b/Untitled_document.docx</v>
      </c>
      <c r="AD481" t="s">
        <v>118</v>
      </c>
      <c r="AE481" t="s">
        <v>729</v>
      </c>
      <c r="AF481" t="s">
        <v>4450</v>
      </c>
      <c r="AG481">
        <v>13.0</v>
      </c>
      <c r="AH481" t="s">
        <v>258</v>
      </c>
      <c r="AI481" t="s">
        <v>205</v>
      </c>
      <c r="AL481" t="s">
        <v>199</v>
      </c>
      <c r="AO481" t="s">
        <v>335</v>
      </c>
      <c r="AP481">
        <v>4.0</v>
      </c>
      <c r="AQ481" t="s">
        <v>5671</v>
      </c>
      <c r="AR481" t="s">
        <v>10059</v>
      </c>
      <c r="AS481" t="b">
        <v>0</v>
      </c>
      <c r="AV481">
        <v>5.0</v>
      </c>
      <c r="AW481" t="b">
        <v>0</v>
      </c>
      <c r="AZ481" t="b">
        <v>0</v>
      </c>
      <c r="BA481" t="b">
        <v>0</v>
      </c>
      <c r="BD481" t="s">
        <v>10059</v>
      </c>
      <c r="BH481" t="s">
        <v>132</v>
      </c>
      <c r="BI481">
        <v>4.0</v>
      </c>
      <c r="BJ481" t="s">
        <v>10060</v>
      </c>
      <c r="BK481">
        <v>5.0</v>
      </c>
      <c r="BL481">
        <v>5.0</v>
      </c>
      <c r="BM481" t="s">
        <v>10061</v>
      </c>
      <c r="BN481">
        <v>4.0</v>
      </c>
      <c r="BO481">
        <v>5.0</v>
      </c>
      <c r="BP481" t="s">
        <v>10062</v>
      </c>
      <c r="BQ481" t="s">
        <v>10063</v>
      </c>
      <c r="BR481" t="s">
        <v>10064</v>
      </c>
      <c r="BS481" t="s">
        <v>10065</v>
      </c>
      <c r="BU481" t="s">
        <v>139</v>
      </c>
      <c r="BV481" s="3" t="str">
        <f>HYPERLINK("https://api.typeform.com/responses/files/bb41b83ee75b63ada1f17ea4e3dc0fce13cc4984895378201575ed51a672ac5c/Untitled_document.docx")</f>
        <v>https://api.typeform.com/responses/files/bb41b83ee75b63ada1f17ea4e3dc0fce13cc4984895378201575ed51a672ac5c/Untitled_document.docx</v>
      </c>
      <c r="BW481" t="b">
        <v>1</v>
      </c>
      <c r="BX481" t="s">
        <v>1394</v>
      </c>
      <c r="BY481" t="s">
        <v>140</v>
      </c>
      <c r="CA481" t="s">
        <v>1395</v>
      </c>
      <c r="CD481">
        <v>0.0</v>
      </c>
      <c r="CF481" t="b">
        <v>1</v>
      </c>
      <c r="CG481" t="b">
        <v>1</v>
      </c>
      <c r="CH481" t="s">
        <v>168</v>
      </c>
      <c r="CJ481" t="b">
        <v>0</v>
      </c>
      <c r="CK481" t="b">
        <v>1</v>
      </c>
      <c r="CL481" t="s">
        <v>387</v>
      </c>
      <c r="CO481" t="s">
        <v>1635</v>
      </c>
      <c r="CR481" t="b">
        <v>1</v>
      </c>
      <c r="CT481">
        <v>0.0</v>
      </c>
      <c r="CU481">
        <v>0.0</v>
      </c>
      <c r="CX481" t="s">
        <v>6997</v>
      </c>
      <c r="CZ481" s="5">
        <v>44574.936319444445</v>
      </c>
      <c r="DA481" t="s">
        <v>10066</v>
      </c>
    </row>
    <row r="482">
      <c r="A482" t="s">
        <v>98</v>
      </c>
      <c r="D482" t="s">
        <v>10067</v>
      </c>
      <c r="E482" t="s">
        <v>10068</v>
      </c>
      <c r="F482" s="2">
        <v>38331.0</v>
      </c>
      <c r="G482" t="s">
        <v>1466</v>
      </c>
      <c r="I482" s="3" t="str">
        <f>HYPERLINK("https://api.typeform.com/responses/files/db4d0edde039782cd809cf3eb9c22ce77a9f3e339aba2f7ef2e9724439c89c11/picture.jpg")</f>
        <v>https://api.typeform.com/responses/files/db4d0edde039782cd809cf3eb9c22ce77a9f3e339aba2f7ef2e9724439c89c11/picture.jpg</v>
      </c>
      <c r="J482" t="s">
        <v>10069</v>
      </c>
      <c r="K482" t="b">
        <v>1</v>
      </c>
      <c r="L482" s="4" t="s">
        <v>10070</v>
      </c>
      <c r="M482" t="s">
        <v>10071</v>
      </c>
      <c r="N482" t="s">
        <v>354</v>
      </c>
      <c r="O482" t="s">
        <v>10072</v>
      </c>
      <c r="P482" t="s">
        <v>10073</v>
      </c>
      <c r="Q482" t="s">
        <v>292</v>
      </c>
      <c r="R482" t="s">
        <v>10069</v>
      </c>
      <c r="S482" t="s">
        <v>10071</v>
      </c>
      <c r="T482" s="4" t="s">
        <v>10074</v>
      </c>
      <c r="U482" t="s">
        <v>8273</v>
      </c>
      <c r="V482" t="s">
        <v>8497</v>
      </c>
      <c r="W482" t="s">
        <v>261</v>
      </c>
      <c r="Y482" t="s">
        <v>158</v>
      </c>
      <c r="Z482" t="s">
        <v>262</v>
      </c>
      <c r="AC482" s="3" t="str">
        <f>HYPERLINK("https://api.typeform.com/responses/files/7e45d119813050df2f46cc636f04cf55ec0dddb39c3c1a065491a9b883db1f13/transcripts.pdf")</f>
        <v>https://api.typeform.com/responses/files/7e45d119813050df2f46cc636f04cf55ec0dddb39c3c1a065491a9b883db1f13/transcripts.pdf</v>
      </c>
      <c r="AD482" t="s">
        <v>118</v>
      </c>
      <c r="AE482" t="s">
        <v>729</v>
      </c>
      <c r="AF482" t="s">
        <v>1019</v>
      </c>
      <c r="AG482">
        <v>14.0</v>
      </c>
      <c r="AH482" s="4" t="s">
        <v>4356</v>
      </c>
      <c r="AI482" t="s">
        <v>205</v>
      </c>
      <c r="AK482" t="s">
        <v>139</v>
      </c>
      <c r="AL482" t="s">
        <v>199</v>
      </c>
      <c r="AO482" t="s">
        <v>335</v>
      </c>
      <c r="AP482">
        <v>1.0</v>
      </c>
      <c r="AQ482" t="s">
        <v>201</v>
      </c>
      <c r="AR482" t="s">
        <v>7922</v>
      </c>
      <c r="AS482" t="b">
        <v>1</v>
      </c>
      <c r="AT482" t="b">
        <v>1</v>
      </c>
      <c r="AV482">
        <v>4.0</v>
      </c>
      <c r="AW482" t="b">
        <v>1</v>
      </c>
      <c r="AX482" t="s">
        <v>1902</v>
      </c>
      <c r="AY482" s="4" t="s">
        <v>518</v>
      </c>
      <c r="AZ482" t="b">
        <v>0</v>
      </c>
      <c r="BA482" t="b">
        <v>0</v>
      </c>
      <c r="BD482" t="s">
        <v>7922</v>
      </c>
      <c r="BH482" t="s">
        <v>132</v>
      </c>
      <c r="BI482">
        <v>3.0</v>
      </c>
      <c r="BJ482" t="s">
        <v>167</v>
      </c>
      <c r="BK482">
        <v>5.0</v>
      </c>
      <c r="BL482">
        <v>4.0</v>
      </c>
      <c r="BM482" t="s">
        <v>7922</v>
      </c>
      <c r="BN482">
        <v>4.0</v>
      </c>
      <c r="BO482">
        <v>4.0</v>
      </c>
      <c r="BP482" t="s">
        <v>10075</v>
      </c>
      <c r="BQ482" t="s">
        <v>1353</v>
      </c>
      <c r="BR482" t="s">
        <v>10076</v>
      </c>
      <c r="BS482" t="s">
        <v>10077</v>
      </c>
      <c r="BU482" t="s">
        <v>528</v>
      </c>
      <c r="BV482" s="3" t="str">
        <f>HYPERLINK("https://api.typeform.com/responses/files/5ed0454975c4f7e3bc409840b40034c984b87521fbcf54141979b74c179bf31f/transcripts.pdf")</f>
        <v>https://api.typeform.com/responses/files/5ed0454975c4f7e3bc409840b40034c984b87521fbcf54141979b74c179bf31f/transcripts.pdf</v>
      </c>
      <c r="BW482" t="b">
        <v>1</v>
      </c>
      <c r="BX482" t="s">
        <v>1394</v>
      </c>
      <c r="BY482" t="s">
        <v>140</v>
      </c>
      <c r="CA482" t="s">
        <v>1395</v>
      </c>
      <c r="CD482">
        <v>0.0</v>
      </c>
      <c r="CF482" t="b">
        <v>0</v>
      </c>
      <c r="CG482" t="b">
        <v>0</v>
      </c>
      <c r="CH482" t="s">
        <v>4188</v>
      </c>
      <c r="CJ482" t="b">
        <v>0</v>
      </c>
      <c r="CK482" t="b">
        <v>0</v>
      </c>
      <c r="CL482" t="s">
        <v>387</v>
      </c>
      <c r="CM482" t="s">
        <v>387</v>
      </c>
      <c r="CO482" t="s">
        <v>1688</v>
      </c>
      <c r="CQ482" t="s">
        <v>387</v>
      </c>
      <c r="CR482" t="b">
        <v>1</v>
      </c>
      <c r="CT482">
        <v>0.0</v>
      </c>
      <c r="CU482">
        <v>0.0</v>
      </c>
      <c r="CX482" s="4" t="s">
        <v>10078</v>
      </c>
      <c r="CZ482" s="5">
        <v>44575.810520833336</v>
      </c>
      <c r="DA482" t="s">
        <v>10079</v>
      </c>
    </row>
    <row r="483">
      <c r="A483" t="s">
        <v>98</v>
      </c>
      <c r="D483" t="s">
        <v>249</v>
      </c>
      <c r="E483" t="s">
        <v>10080</v>
      </c>
      <c r="F483" s="2">
        <v>38224.0</v>
      </c>
      <c r="G483" t="s">
        <v>1360</v>
      </c>
      <c r="I483" s="3" t="str">
        <f>HYPERLINK("https://api.typeform.com/responses/files/cb29b594ee160caf813dd566945de77ce16fb72be162425c13e0bc4bd3c41fb1/unnamed.jpg")</f>
        <v>https://api.typeform.com/responses/files/cb29b594ee160caf813dd566945de77ce16fb72be162425c13e0bc4bd3c41fb1/unnamed.jpg</v>
      </c>
      <c r="J483" t="s">
        <v>10081</v>
      </c>
      <c r="K483" t="b">
        <v>1</v>
      </c>
      <c r="L483" s="4" t="s">
        <v>10082</v>
      </c>
      <c r="M483" t="s">
        <v>10083</v>
      </c>
      <c r="N483" t="s">
        <v>255</v>
      </c>
      <c r="O483" t="s">
        <v>990</v>
      </c>
      <c r="P483" t="s">
        <v>10084</v>
      </c>
      <c r="Q483" t="s">
        <v>152</v>
      </c>
      <c r="R483" t="s">
        <v>10085</v>
      </c>
      <c r="S483" t="s">
        <v>10086</v>
      </c>
      <c r="T483" s="4" t="s">
        <v>10087</v>
      </c>
      <c r="U483" t="s">
        <v>9019</v>
      </c>
      <c r="V483" t="s">
        <v>10088</v>
      </c>
      <c r="W483" t="s">
        <v>261</v>
      </c>
      <c r="Y483" t="s">
        <v>158</v>
      </c>
      <c r="Z483" t="s">
        <v>262</v>
      </c>
      <c r="AC483" s="3" t="str">
        <f>HYPERLINK("https://api.typeform.com/responses/files/53848211f07994ea4cbc1540e207327782df6f238ca4719a28932d9b8e86987f/Rising_11th_graders_transcripts__dragged__2.pdf")</f>
        <v>https://api.typeform.com/responses/files/53848211f07994ea4cbc1540e207327782df6f238ca4719a28932d9b8e86987f/Rising_11th_graders_transcripts__dragged__2.pdf</v>
      </c>
      <c r="AD483" t="s">
        <v>118</v>
      </c>
      <c r="AE483" t="s">
        <v>729</v>
      </c>
      <c r="AF483" t="s">
        <v>3817</v>
      </c>
      <c r="AG483">
        <v>14.0</v>
      </c>
      <c r="AH483" s="4" t="s">
        <v>4230</v>
      </c>
      <c r="AI483" t="s">
        <v>121</v>
      </c>
      <c r="AK483" t="s">
        <v>3262</v>
      </c>
      <c r="AL483" t="s">
        <v>10089</v>
      </c>
      <c r="AO483" t="s">
        <v>125</v>
      </c>
      <c r="AP483">
        <v>5.0</v>
      </c>
      <c r="AQ483" t="s">
        <v>2240</v>
      </c>
      <c r="AR483" t="s">
        <v>10090</v>
      </c>
      <c r="AS483" t="b">
        <v>1</v>
      </c>
      <c r="AT483" t="b">
        <v>1</v>
      </c>
      <c r="AV483">
        <v>6.0</v>
      </c>
      <c r="AW483" t="b">
        <v>0</v>
      </c>
      <c r="AZ483" t="b">
        <v>0</v>
      </c>
      <c r="BA483" t="b">
        <v>0</v>
      </c>
      <c r="BD483" t="s">
        <v>10090</v>
      </c>
      <c r="BH483" t="s">
        <v>132</v>
      </c>
      <c r="BI483">
        <v>2.0</v>
      </c>
      <c r="BJ483" t="s">
        <v>1252</v>
      </c>
      <c r="BK483">
        <v>3.0</v>
      </c>
      <c r="BL483">
        <v>4.0</v>
      </c>
      <c r="BM483" t="s">
        <v>10091</v>
      </c>
      <c r="BN483">
        <v>3.0</v>
      </c>
      <c r="BO483">
        <v>3.0</v>
      </c>
      <c r="BP483" t="s">
        <v>10092</v>
      </c>
      <c r="BQ483" t="s">
        <v>176</v>
      </c>
      <c r="BR483" t="s">
        <v>10093</v>
      </c>
      <c r="BS483" t="s">
        <v>10094</v>
      </c>
      <c r="BU483" t="s">
        <v>620</v>
      </c>
      <c r="BV483" s="3" t="str">
        <f>HYPERLINK("https://api.typeform.com/responses/files/3b4ea78cc8b4e162fe2d8b3fc604e36cf8eb42c8cb660b051968fa11b193e618/Rising_11th_graders_transcripts__dragged__2.pdf")</f>
        <v>https://api.typeform.com/responses/files/3b4ea78cc8b4e162fe2d8b3fc604e36cf8eb42c8cb660b051968fa11b193e618/Rising_11th_graders_transcripts__dragged__2.pdf</v>
      </c>
      <c r="BW483" t="b">
        <v>1</v>
      </c>
      <c r="BX483" t="s">
        <v>1394</v>
      </c>
      <c r="BY483" t="s">
        <v>140</v>
      </c>
      <c r="CA483" t="s">
        <v>1395</v>
      </c>
      <c r="CD483">
        <v>0.0</v>
      </c>
      <c r="CF483" t="b">
        <v>1</v>
      </c>
      <c r="CG483" t="b">
        <v>1</v>
      </c>
      <c r="CH483" t="s">
        <v>1935</v>
      </c>
      <c r="CJ483" t="b">
        <v>1</v>
      </c>
      <c r="CK483" t="b">
        <v>1</v>
      </c>
      <c r="CL483" t="s">
        <v>300</v>
      </c>
      <c r="CM483" t="s">
        <v>300</v>
      </c>
      <c r="CO483" t="s">
        <v>124</v>
      </c>
      <c r="CQ483" t="s">
        <v>300</v>
      </c>
      <c r="CR483" t="b">
        <v>1</v>
      </c>
      <c r="CT483">
        <v>0.0</v>
      </c>
      <c r="CU483">
        <v>0.0</v>
      </c>
      <c r="CX483" s="4" t="s">
        <v>10095</v>
      </c>
      <c r="CZ483" s="5">
        <v>44575.81115740741</v>
      </c>
      <c r="DA483" t="s">
        <v>10096</v>
      </c>
    </row>
    <row r="484">
      <c r="A484" t="s">
        <v>98</v>
      </c>
      <c r="D484" t="s">
        <v>5313</v>
      </c>
      <c r="E484" t="s">
        <v>10097</v>
      </c>
      <c r="F484" s="2">
        <v>38496.0</v>
      </c>
      <c r="G484" t="s">
        <v>1360</v>
      </c>
      <c r="I484" s="3" t="str">
        <f>HYPERLINK("https://api.typeform.com/responses/files/4308f06186bbcbed6b486ccf57d2baaaca868c0226b9fed62893f6f954eff442/IMG_0701.jpg")</f>
        <v>https://api.typeform.com/responses/files/4308f06186bbcbed6b486ccf57d2baaaca868c0226b9fed62893f6f954eff442/IMG_0701.jpg</v>
      </c>
      <c r="J484" t="s">
        <v>10098</v>
      </c>
      <c r="K484" t="b">
        <v>1</v>
      </c>
      <c r="L484" s="4" t="s">
        <v>10099</v>
      </c>
      <c r="M484" t="s">
        <v>10100</v>
      </c>
      <c r="N484" t="s">
        <v>255</v>
      </c>
      <c r="O484" t="s">
        <v>479</v>
      </c>
      <c r="P484" t="s">
        <v>10101</v>
      </c>
      <c r="Q484" t="s">
        <v>152</v>
      </c>
      <c r="R484" t="s">
        <v>10098</v>
      </c>
      <c r="S484" t="s">
        <v>10102</v>
      </c>
      <c r="T484" s="4" t="s">
        <v>10103</v>
      </c>
      <c r="U484" t="s">
        <v>10104</v>
      </c>
      <c r="V484" t="s">
        <v>10105</v>
      </c>
      <c r="W484" t="s">
        <v>261</v>
      </c>
      <c r="Y484" t="s">
        <v>158</v>
      </c>
      <c r="Z484" t="s">
        <v>262</v>
      </c>
      <c r="AC484" s="3" t="str">
        <f>HYPERLINK("https://api.typeform.com/responses/files/c3092dd0bce9a887cd8ee4685dbbe5732879d6ab42940e9fa485b51ea9912bc1/IMG_0701.jpg")</f>
        <v>https://api.typeform.com/responses/files/c3092dd0bce9a887cd8ee4685dbbe5732879d6ab42940e9fa485b51ea9912bc1/IMG_0701.jpg</v>
      </c>
      <c r="AD484" t="s">
        <v>118</v>
      </c>
      <c r="AE484" t="s">
        <v>729</v>
      </c>
      <c r="AF484" t="s">
        <v>10106</v>
      </c>
      <c r="AG484">
        <v>16.0</v>
      </c>
      <c r="AH484" t="s">
        <v>10107</v>
      </c>
      <c r="AI484" t="s">
        <v>205</v>
      </c>
      <c r="AL484" t="s">
        <v>10108</v>
      </c>
      <c r="AO484" t="s">
        <v>335</v>
      </c>
      <c r="AP484">
        <v>6.0</v>
      </c>
      <c r="AQ484" t="s">
        <v>2240</v>
      </c>
      <c r="AR484" t="s">
        <v>10109</v>
      </c>
      <c r="AS484" t="b">
        <v>0</v>
      </c>
      <c r="AV484">
        <v>6.0</v>
      </c>
      <c r="AW484" t="b">
        <v>0</v>
      </c>
      <c r="AZ484" t="b">
        <v>1</v>
      </c>
      <c r="BA484" t="b">
        <v>0</v>
      </c>
      <c r="BD484" t="s">
        <v>10110</v>
      </c>
      <c r="BH484" t="s">
        <v>132</v>
      </c>
      <c r="BI484">
        <v>4.0</v>
      </c>
      <c r="BJ484" t="s">
        <v>10111</v>
      </c>
      <c r="BK484">
        <v>3.0</v>
      </c>
      <c r="BL484">
        <v>4.0</v>
      </c>
      <c r="BM484" t="s">
        <v>10112</v>
      </c>
      <c r="BN484">
        <v>2.0</v>
      </c>
      <c r="BO484">
        <v>2.0</v>
      </c>
      <c r="BP484" t="s">
        <v>10113</v>
      </c>
      <c r="BQ484" t="s">
        <v>1457</v>
      </c>
      <c r="BR484" t="s">
        <v>10114</v>
      </c>
      <c r="BS484" t="s">
        <v>171</v>
      </c>
      <c r="BU484" t="s">
        <v>179</v>
      </c>
      <c r="BV484" s="3" t="str">
        <f>HYPERLINK("https://api.typeform.com/responses/files/2568ea90f6b3d45ffa8cf24ed5fd7b8d3e8482844344f0e3d6dc79849e73225a/IMG_0701.jpg")</f>
        <v>https://api.typeform.com/responses/files/2568ea90f6b3d45ffa8cf24ed5fd7b8d3e8482844344f0e3d6dc79849e73225a/IMG_0701.jpg</v>
      </c>
      <c r="BW484" t="b">
        <v>1</v>
      </c>
      <c r="BX484" t="s">
        <v>1394</v>
      </c>
      <c r="BY484" t="s">
        <v>140</v>
      </c>
      <c r="CA484" t="s">
        <v>1395</v>
      </c>
      <c r="CD484">
        <v>0.0</v>
      </c>
      <c r="CF484" t="b">
        <v>0</v>
      </c>
      <c r="CG484" t="b">
        <v>1</v>
      </c>
      <c r="CH484" t="s">
        <v>168</v>
      </c>
      <c r="CJ484" t="b">
        <v>1</v>
      </c>
      <c r="CK484" t="b">
        <v>1</v>
      </c>
      <c r="CL484" t="s">
        <v>2301</v>
      </c>
      <c r="CM484" t="s">
        <v>2301</v>
      </c>
      <c r="CO484" t="s">
        <v>1635</v>
      </c>
      <c r="CQ484" t="s">
        <v>2301</v>
      </c>
      <c r="CR484" t="b">
        <v>1</v>
      </c>
      <c r="CT484">
        <v>0.0</v>
      </c>
      <c r="CU484">
        <v>1.0</v>
      </c>
      <c r="CX484" t="s">
        <v>10115</v>
      </c>
      <c r="CZ484" s="5">
        <v>44575.81202546296</v>
      </c>
      <c r="DA484" t="s">
        <v>10116</v>
      </c>
    </row>
    <row r="485">
      <c r="A485" t="s">
        <v>98</v>
      </c>
      <c r="D485" t="s">
        <v>10117</v>
      </c>
      <c r="E485" t="s">
        <v>10118</v>
      </c>
      <c r="F485" s="2">
        <v>38009.0</v>
      </c>
      <c r="G485" t="s">
        <v>1466</v>
      </c>
      <c r="I485" s="3" t="str">
        <f>HYPERLINK("https://api.typeform.com/responses/files/ac6a4e8359701f20e681b1eec997f3f72f52c11d02637a7033913b272e1cf898/0.png")</f>
        <v>https://api.typeform.com/responses/files/ac6a4e8359701f20e681b1eec997f3f72f52c11d02637a7033913b272e1cf898/0.png</v>
      </c>
      <c r="J485" t="s">
        <v>10119</v>
      </c>
      <c r="K485" t="b">
        <v>1</v>
      </c>
      <c r="L485" s="4" t="s">
        <v>10120</v>
      </c>
      <c r="M485" t="s">
        <v>10121</v>
      </c>
      <c r="N485" t="s">
        <v>255</v>
      </c>
      <c r="P485" t="s">
        <v>10122</v>
      </c>
      <c r="Q485" t="s">
        <v>152</v>
      </c>
      <c r="R485" t="s">
        <v>10123</v>
      </c>
      <c r="S485" t="s">
        <v>10124</v>
      </c>
      <c r="T485" s="4" t="s">
        <v>10125</v>
      </c>
      <c r="U485" t="s">
        <v>8273</v>
      </c>
      <c r="V485" t="s">
        <v>8359</v>
      </c>
      <c r="W485" t="s">
        <v>261</v>
      </c>
      <c r="Y485" t="s">
        <v>158</v>
      </c>
      <c r="Z485" t="s">
        <v>262</v>
      </c>
      <c r="AC485" s="3" t="str">
        <f>HYPERLINK("https://api.typeform.com/responses/files/ebd0935e65b47e24e0b0b0c32c73105dfb2983822326ee4e6ce7c36a5db60d9a/0.png")</f>
        <v>https://api.typeform.com/responses/files/ebd0935e65b47e24e0b0b0c32c73105dfb2983822326ee4e6ce7c36a5db60d9a/0.png</v>
      </c>
      <c r="AD485" t="s">
        <v>118</v>
      </c>
      <c r="AE485" t="s">
        <v>729</v>
      </c>
      <c r="AF485" t="s">
        <v>10126</v>
      </c>
      <c r="AG485">
        <v>15.0</v>
      </c>
      <c r="AH485" t="s">
        <v>10127</v>
      </c>
      <c r="AI485" t="s">
        <v>386</v>
      </c>
      <c r="AK485" t="s">
        <v>139</v>
      </c>
      <c r="AL485" t="s">
        <v>621</v>
      </c>
      <c r="AO485" t="s">
        <v>125</v>
      </c>
      <c r="AP485">
        <v>4.0</v>
      </c>
      <c r="AQ485" t="s">
        <v>6146</v>
      </c>
      <c r="AR485" t="s">
        <v>679</v>
      </c>
      <c r="AS485" t="b">
        <v>1</v>
      </c>
      <c r="AT485" t="b">
        <v>0</v>
      </c>
      <c r="AV485">
        <v>2.0</v>
      </c>
      <c r="AW485" t="b">
        <v>0</v>
      </c>
      <c r="AZ485" t="b">
        <v>1</v>
      </c>
      <c r="BA485" t="b">
        <v>1</v>
      </c>
      <c r="BB485" t="b">
        <v>0</v>
      </c>
      <c r="BC485" t="s">
        <v>10128</v>
      </c>
      <c r="BH485" t="s">
        <v>132</v>
      </c>
      <c r="BI485">
        <v>1.0</v>
      </c>
      <c r="BJ485" t="s">
        <v>3585</v>
      </c>
      <c r="BK485">
        <v>1.0</v>
      </c>
      <c r="BL485">
        <v>3.0</v>
      </c>
      <c r="BM485" t="s">
        <v>10129</v>
      </c>
      <c r="BN485">
        <v>2.0</v>
      </c>
      <c r="BO485">
        <v>4.0</v>
      </c>
      <c r="BP485" t="s">
        <v>10130</v>
      </c>
      <c r="BQ485" t="s">
        <v>3728</v>
      </c>
      <c r="BR485" t="s">
        <v>10131</v>
      </c>
      <c r="BS485" t="s">
        <v>10132</v>
      </c>
      <c r="BU485" t="s">
        <v>528</v>
      </c>
      <c r="BV485" s="3" t="str">
        <f>HYPERLINK("https://api.typeform.com/responses/files/4807bfededdca2d13a06700685047bde85e522ea2ca6b1fd209a14b1e3164202/Rising_11th_graders_transcripts__dragged_.pdf")</f>
        <v>https://api.typeform.com/responses/files/4807bfededdca2d13a06700685047bde85e522ea2ca6b1fd209a14b1e3164202/Rising_11th_graders_transcripts__dragged_.pdf</v>
      </c>
      <c r="BW485" t="b">
        <v>1</v>
      </c>
      <c r="BX485" t="s">
        <v>1394</v>
      </c>
      <c r="BY485" t="s">
        <v>140</v>
      </c>
      <c r="CA485" t="s">
        <v>1395</v>
      </c>
      <c r="CD485">
        <v>0.0</v>
      </c>
      <c r="CF485" t="b">
        <v>0</v>
      </c>
      <c r="CG485" t="b">
        <v>0</v>
      </c>
      <c r="CH485" t="s">
        <v>168</v>
      </c>
      <c r="CJ485" t="b">
        <v>0</v>
      </c>
      <c r="CK485" t="b">
        <v>0</v>
      </c>
      <c r="CL485" t="s">
        <v>362</v>
      </c>
      <c r="CM485" t="s">
        <v>3213</v>
      </c>
      <c r="CO485" t="s">
        <v>1688</v>
      </c>
      <c r="CR485" t="b">
        <v>1</v>
      </c>
      <c r="CT485">
        <v>0.0</v>
      </c>
      <c r="CU485">
        <v>0.0</v>
      </c>
      <c r="CX485" s="4" t="s">
        <v>10133</v>
      </c>
      <c r="CZ485" s="5">
        <v>44575.81917824074</v>
      </c>
      <c r="DA485" t="s">
        <v>10134</v>
      </c>
    </row>
    <row r="486">
      <c r="A486" t="s">
        <v>98</v>
      </c>
      <c r="D486" t="s">
        <v>10135</v>
      </c>
      <c r="E486" t="s">
        <v>5155</v>
      </c>
      <c r="F486" s="2">
        <v>38176.0</v>
      </c>
      <c r="G486" t="s">
        <v>1466</v>
      </c>
      <c r="I486" s="3" t="str">
        <f>HYPERLINK("https://api.typeform.com/responses/files/58ba40e48d6b023bd67beeae3b0b11d461d17571de9d809cbac0421063e7f768/pht2me.jpg")</f>
        <v>https://api.typeform.com/responses/files/58ba40e48d6b023bd67beeae3b0b11d461d17571de9d809cbac0421063e7f768/pht2me.jpg</v>
      </c>
      <c r="J486" t="s">
        <v>10136</v>
      </c>
      <c r="K486" t="b">
        <v>1</v>
      </c>
      <c r="L486" s="4" t="s">
        <v>10137</v>
      </c>
      <c r="M486" t="s">
        <v>10138</v>
      </c>
      <c r="N486" t="s">
        <v>149</v>
      </c>
      <c r="O486" t="s">
        <v>10139</v>
      </c>
      <c r="P486" t="s">
        <v>10140</v>
      </c>
      <c r="Q486" t="s">
        <v>152</v>
      </c>
      <c r="R486" t="s">
        <v>10141</v>
      </c>
      <c r="S486" t="s">
        <v>10142</v>
      </c>
      <c r="T486" s="4" t="s">
        <v>10143</v>
      </c>
      <c r="U486" t="s">
        <v>10144</v>
      </c>
      <c r="V486" t="s">
        <v>10145</v>
      </c>
      <c r="W486" t="s">
        <v>261</v>
      </c>
      <c r="Y486" t="s">
        <v>158</v>
      </c>
      <c r="Z486" t="s">
        <v>262</v>
      </c>
      <c r="AC486" s="3" t="str">
        <f>HYPERLINK("https://api.typeform.com/responses/files/60567d76c1ba29d574b3479942eb8f6607748eb313c3e486da3212ca5234a57f/Rising_11th_graders_transcripts__dragged__3.pdf")</f>
        <v>https://api.typeform.com/responses/files/60567d76c1ba29d574b3479942eb8f6607748eb313c3e486da3212ca5234a57f/Rising_11th_graders_transcripts__dragged__3.pdf</v>
      </c>
      <c r="AD486" t="s">
        <v>118</v>
      </c>
      <c r="AE486" t="s">
        <v>1220</v>
      </c>
      <c r="AF486" t="s">
        <v>4374</v>
      </c>
      <c r="AG486">
        <v>15.0</v>
      </c>
      <c r="AH486" t="s">
        <v>4800</v>
      </c>
      <c r="AI486" t="s">
        <v>121</v>
      </c>
      <c r="AL486" t="s">
        <v>1043</v>
      </c>
      <c r="AO486" t="s">
        <v>335</v>
      </c>
      <c r="AP486">
        <v>4.0</v>
      </c>
      <c r="AQ486" t="s">
        <v>126</v>
      </c>
      <c r="AR486" t="s">
        <v>10146</v>
      </c>
      <c r="AS486" t="b">
        <v>1</v>
      </c>
      <c r="AT486" t="b">
        <v>0</v>
      </c>
      <c r="AV486">
        <v>3.0</v>
      </c>
      <c r="AW486" t="b">
        <v>0</v>
      </c>
      <c r="AZ486" t="b">
        <v>0</v>
      </c>
      <c r="BA486" t="b">
        <v>1</v>
      </c>
      <c r="BB486" t="b">
        <v>0</v>
      </c>
      <c r="BC486" t="s">
        <v>10147</v>
      </c>
      <c r="BH486" t="s">
        <v>132</v>
      </c>
      <c r="BI486">
        <v>2.0</v>
      </c>
      <c r="BJ486" t="s">
        <v>8388</v>
      </c>
      <c r="BK486">
        <v>3.0</v>
      </c>
      <c r="BL486">
        <v>4.0</v>
      </c>
      <c r="BM486" t="s">
        <v>10148</v>
      </c>
      <c r="BN486">
        <v>3.0</v>
      </c>
      <c r="BO486">
        <v>3.0</v>
      </c>
      <c r="BP486" t="s">
        <v>10149</v>
      </c>
      <c r="BQ486" t="s">
        <v>2630</v>
      </c>
      <c r="BR486" t="s">
        <v>10150</v>
      </c>
      <c r="BS486" t="s">
        <v>10151</v>
      </c>
      <c r="BU486" t="s">
        <v>139</v>
      </c>
      <c r="BV486" s="3" t="str">
        <f>HYPERLINK("https://api.typeform.com/responses/files/52a63d933af221441411c9ed7d9d8842c8f7102ec4691db6f9c4254ac53e34bd/Rising_11th_graders_transcripts__dragged__3.pdf")</f>
        <v>https://api.typeform.com/responses/files/52a63d933af221441411c9ed7d9d8842c8f7102ec4691db6f9c4254ac53e34bd/Rising_11th_graders_transcripts__dragged__3.pdf</v>
      </c>
      <c r="BW486" t="b">
        <v>1</v>
      </c>
      <c r="BX486" t="s">
        <v>1394</v>
      </c>
      <c r="BY486" t="s">
        <v>140</v>
      </c>
      <c r="CA486" t="s">
        <v>1395</v>
      </c>
      <c r="CD486">
        <v>0.0</v>
      </c>
      <c r="CF486" t="b">
        <v>1</v>
      </c>
      <c r="CG486" t="b">
        <v>1</v>
      </c>
      <c r="CH486" t="s">
        <v>1935</v>
      </c>
      <c r="CJ486" t="b">
        <v>1</v>
      </c>
      <c r="CK486" t="b">
        <v>1</v>
      </c>
      <c r="CL486" t="s">
        <v>541</v>
      </c>
      <c r="CO486" t="s">
        <v>2888</v>
      </c>
      <c r="CR486" t="b">
        <v>1</v>
      </c>
      <c r="CT486">
        <v>0.0</v>
      </c>
      <c r="CU486">
        <v>0.0</v>
      </c>
      <c r="CX486" s="4" t="s">
        <v>10152</v>
      </c>
      <c r="CZ486" s="5">
        <v>44575.82037037037</v>
      </c>
      <c r="DA486" t="s">
        <v>10153</v>
      </c>
    </row>
    <row r="487">
      <c r="A487" t="s">
        <v>98</v>
      </c>
      <c r="D487" t="s">
        <v>3633</v>
      </c>
      <c r="E487" t="s">
        <v>10154</v>
      </c>
      <c r="F487" s="2">
        <v>38208.0</v>
      </c>
      <c r="G487" t="s">
        <v>1466</v>
      </c>
      <c r="I487" s="3" t="str">
        <f>HYPERLINK("https://api.typeform.com/responses/files/43de7de82d986e219d0a368e08cbf11df69af0393dbfaf8952e218586884c86f/unnamed.jpg")</f>
        <v>https://api.typeform.com/responses/files/43de7de82d986e219d0a368e08cbf11df69af0393dbfaf8952e218586884c86f/unnamed.jpg</v>
      </c>
      <c r="J487" t="s">
        <v>10155</v>
      </c>
      <c r="K487" t="b">
        <v>1</v>
      </c>
      <c r="L487" s="4" t="s">
        <v>10156</v>
      </c>
      <c r="M487" t="s">
        <v>10157</v>
      </c>
      <c r="N487" t="s">
        <v>255</v>
      </c>
      <c r="O487" t="s">
        <v>10158</v>
      </c>
      <c r="P487" t="s">
        <v>10159</v>
      </c>
      <c r="Q487" t="s">
        <v>1510</v>
      </c>
      <c r="R487" t="s">
        <v>10155</v>
      </c>
      <c r="S487" t="s">
        <v>10157</v>
      </c>
      <c r="T487" s="4" t="s">
        <v>10160</v>
      </c>
      <c r="U487" t="s">
        <v>10161</v>
      </c>
      <c r="V487" t="s">
        <v>10162</v>
      </c>
      <c r="W487" t="s">
        <v>261</v>
      </c>
      <c r="Y487" t="s">
        <v>158</v>
      </c>
      <c r="Z487" t="s">
        <v>262</v>
      </c>
      <c r="AC487" s="3" t="str">
        <f>HYPERLINK("https://api.typeform.com/responses/files/0f7c15db56627b7b3ce0cd74f1c22c71409666356d078e908735456abf39b844/Rising_11th_graders_transcripts__dragged__2.pdf")</f>
        <v>https://api.typeform.com/responses/files/0f7c15db56627b7b3ce0cd74f1c22c71409666356d078e908735456abf39b844/Rising_11th_graders_transcripts__dragged__2.pdf</v>
      </c>
      <c r="AD487" t="s">
        <v>118</v>
      </c>
      <c r="AE487" t="s">
        <v>4219</v>
      </c>
      <c r="AF487" t="s">
        <v>5263</v>
      </c>
      <c r="AG487">
        <v>15.0</v>
      </c>
      <c r="AH487" t="s">
        <v>3275</v>
      </c>
      <c r="AI487" t="s">
        <v>205</v>
      </c>
      <c r="AK487" t="s">
        <v>139</v>
      </c>
      <c r="AL487" t="s">
        <v>10163</v>
      </c>
      <c r="AO487" t="s">
        <v>335</v>
      </c>
      <c r="AP487">
        <v>5.0</v>
      </c>
      <c r="AQ487" t="s">
        <v>303</v>
      </c>
      <c r="AR487" t="s">
        <v>10164</v>
      </c>
      <c r="AS487" t="b">
        <v>0</v>
      </c>
      <c r="AV487">
        <v>4.0</v>
      </c>
      <c r="AW487" t="b">
        <v>1</v>
      </c>
      <c r="AX487" t="s">
        <v>1902</v>
      </c>
      <c r="AY487" s="4" t="s">
        <v>518</v>
      </c>
      <c r="AZ487" t="b">
        <v>0</v>
      </c>
      <c r="BA487" t="b">
        <v>0</v>
      </c>
      <c r="BD487" t="s">
        <v>10164</v>
      </c>
      <c r="BH487" t="s">
        <v>132</v>
      </c>
      <c r="BI487">
        <v>4.0</v>
      </c>
      <c r="BJ487" t="s">
        <v>8388</v>
      </c>
      <c r="BK487">
        <v>5.0</v>
      </c>
      <c r="BL487">
        <v>4.0</v>
      </c>
      <c r="BM487" t="s">
        <v>1951</v>
      </c>
      <c r="BN487">
        <v>4.0</v>
      </c>
      <c r="BO487">
        <v>4.0</v>
      </c>
      <c r="BP487" t="s">
        <v>10165</v>
      </c>
      <c r="BQ487" t="s">
        <v>10166</v>
      </c>
      <c r="BR487" t="s">
        <v>10167</v>
      </c>
      <c r="BS487" t="s">
        <v>10168</v>
      </c>
      <c r="BU487" t="s">
        <v>10169</v>
      </c>
      <c r="BV487" s="3" t="str">
        <f>HYPERLINK("https://api.typeform.com/responses/files/534ecd403bb5f6499681f9ff432323f15257dfb2e654df50e7ae014ca4fdd5b5/Rising_11th_graders_transcripts__dragged__2.pdf")</f>
        <v>https://api.typeform.com/responses/files/534ecd403bb5f6499681f9ff432323f15257dfb2e654df50e7ae014ca4fdd5b5/Rising_11th_graders_transcripts__dragged__2.pdf</v>
      </c>
      <c r="BW487" t="b">
        <v>1</v>
      </c>
      <c r="BX487" t="s">
        <v>1394</v>
      </c>
      <c r="BY487" t="s">
        <v>140</v>
      </c>
      <c r="CA487" t="s">
        <v>1395</v>
      </c>
      <c r="CD487">
        <v>0.0</v>
      </c>
      <c r="CF487" t="b">
        <v>1</v>
      </c>
      <c r="CG487" t="b">
        <v>1</v>
      </c>
      <c r="CH487" t="s">
        <v>4188</v>
      </c>
      <c r="CJ487" t="b">
        <v>0</v>
      </c>
      <c r="CK487" t="b">
        <v>1</v>
      </c>
      <c r="CL487" t="s">
        <v>810</v>
      </c>
      <c r="CM487" t="s">
        <v>810</v>
      </c>
      <c r="CO487" t="s">
        <v>124</v>
      </c>
      <c r="CQ487" t="s">
        <v>810</v>
      </c>
      <c r="CR487" t="b">
        <v>1</v>
      </c>
      <c r="CT487">
        <v>0.0</v>
      </c>
      <c r="CU487">
        <v>0.0</v>
      </c>
      <c r="CX487" s="4" t="s">
        <v>10170</v>
      </c>
      <c r="CZ487" s="5">
        <v>44575.828935185185</v>
      </c>
      <c r="DA487" t="s">
        <v>10171</v>
      </c>
    </row>
    <row r="488">
      <c r="A488" t="s">
        <v>98</v>
      </c>
      <c r="D488" t="s">
        <v>10172</v>
      </c>
      <c r="E488" t="s">
        <v>10173</v>
      </c>
      <c r="F488" s="2">
        <v>37556.0</v>
      </c>
      <c r="G488" t="s">
        <v>1466</v>
      </c>
      <c r="I488" s="3" t="str">
        <f>HYPERLINK("https://api.typeform.com/responses/files/6b1e90cb946936f8e55acfd632758b8ce2136a258fa9cdf2e9f032bf769e457c/Eliexer_Santos_Photo.jpg")</f>
        <v>https://api.typeform.com/responses/files/6b1e90cb946936f8e55acfd632758b8ce2136a258fa9cdf2e9f032bf769e457c/Eliexer_Santos_Photo.jpg</v>
      </c>
      <c r="J488" t="s">
        <v>10174</v>
      </c>
      <c r="K488" t="b">
        <v>1</v>
      </c>
      <c r="L488" s="4" t="s">
        <v>10175</v>
      </c>
      <c r="M488" t="s">
        <v>10176</v>
      </c>
      <c r="N488" t="s">
        <v>105</v>
      </c>
      <c r="P488" t="s">
        <v>10177</v>
      </c>
      <c r="Q488" t="s">
        <v>152</v>
      </c>
      <c r="R488" t="s">
        <v>10174</v>
      </c>
      <c r="S488" s="4" t="s">
        <v>10178</v>
      </c>
      <c r="T488" s="4" t="s">
        <v>10179</v>
      </c>
      <c r="U488" t="s">
        <v>9270</v>
      </c>
      <c r="V488" t="s">
        <v>10180</v>
      </c>
      <c r="W488" t="s">
        <v>113</v>
      </c>
      <c r="Y488" t="s">
        <v>158</v>
      </c>
      <c r="Z488" t="s">
        <v>159</v>
      </c>
      <c r="AC488" s="3" t="str">
        <f>HYPERLINK("https://api.typeform.com/responses/files/ed29acfcea395296cd0f683d6dcd36e788df7cda5a114ea7e6b0d6047d374ae6/Eliexer_Santos_report_card.pdf")</f>
        <v>https://api.typeform.com/responses/files/ed29acfcea395296cd0f683d6dcd36e788df7cda5a114ea7e6b0d6047d374ae6/Eliexer_Santos_report_card.pdf</v>
      </c>
      <c r="AD488" t="s">
        <v>118</v>
      </c>
      <c r="AE488" t="s">
        <v>1220</v>
      </c>
      <c r="AF488" t="s">
        <v>2029</v>
      </c>
      <c r="AG488">
        <v>0.0</v>
      </c>
      <c r="AH488" s="4" t="s">
        <v>2875</v>
      </c>
      <c r="AI488" t="s">
        <v>121</v>
      </c>
      <c r="AL488" t="s">
        <v>2490</v>
      </c>
      <c r="AO488" t="s">
        <v>486</v>
      </c>
      <c r="AP488">
        <v>7.0</v>
      </c>
      <c r="AQ488" t="s">
        <v>303</v>
      </c>
      <c r="AR488" t="s">
        <v>10181</v>
      </c>
      <c r="AS488" t="b">
        <v>0</v>
      </c>
      <c r="AV488">
        <v>6.0</v>
      </c>
      <c r="AW488" t="b">
        <v>1</v>
      </c>
      <c r="AX488" s="4" t="s">
        <v>130</v>
      </c>
      <c r="AY488" s="4" t="s">
        <v>518</v>
      </c>
      <c r="AZ488" t="b">
        <v>1</v>
      </c>
      <c r="BA488" t="b">
        <v>0</v>
      </c>
      <c r="BD488" t="s">
        <v>10181</v>
      </c>
      <c r="BH488" t="s">
        <v>132</v>
      </c>
      <c r="BI488">
        <v>6.0</v>
      </c>
      <c r="BJ488" t="s">
        <v>10182</v>
      </c>
      <c r="BK488">
        <v>4.0</v>
      </c>
      <c r="BL488">
        <v>5.0</v>
      </c>
      <c r="BM488" t="s">
        <v>1172</v>
      </c>
      <c r="BN488">
        <v>5.0</v>
      </c>
      <c r="BO488">
        <v>5.0</v>
      </c>
      <c r="BP488" t="s">
        <v>10183</v>
      </c>
      <c r="BQ488" t="s">
        <v>1205</v>
      </c>
      <c r="BR488" t="s">
        <v>10184</v>
      </c>
      <c r="BS488" t="s">
        <v>10185</v>
      </c>
      <c r="BU488" t="s">
        <v>139</v>
      </c>
      <c r="BV488" s="3" t="str">
        <f>HYPERLINK("https://api.typeform.com/responses/files/b9ed3c93726beb2f1e02c263632f44d255cf547d945dc826cfc1d504a425d1a6/Eliexer_Santos_consent_form.pdf")</f>
        <v>https://api.typeform.com/responses/files/b9ed3c93726beb2f1e02c263632f44d255cf547d945dc826cfc1d504a425d1a6/Eliexer_Santos_consent_form.pdf</v>
      </c>
      <c r="BW488" t="b">
        <v>1</v>
      </c>
      <c r="BX488" t="s">
        <v>1394</v>
      </c>
      <c r="BY488" t="s">
        <v>140</v>
      </c>
      <c r="CA488" t="s">
        <v>1395</v>
      </c>
      <c r="CD488">
        <v>0.0</v>
      </c>
      <c r="CF488" t="b">
        <v>1</v>
      </c>
      <c r="CG488" t="b">
        <v>1</v>
      </c>
      <c r="CH488" t="s">
        <v>10186</v>
      </c>
      <c r="CJ488" t="b">
        <v>1</v>
      </c>
      <c r="CK488" t="b">
        <v>1</v>
      </c>
      <c r="CL488" t="s">
        <v>541</v>
      </c>
      <c r="CM488" t="s">
        <v>541</v>
      </c>
      <c r="CO488" t="s">
        <v>10187</v>
      </c>
      <c r="CR488" t="b">
        <v>1</v>
      </c>
      <c r="CT488">
        <v>3.0</v>
      </c>
      <c r="CU488">
        <v>1.0</v>
      </c>
      <c r="CX488" t="s">
        <v>258</v>
      </c>
      <c r="CZ488" s="5">
        <v>44579.80556712963</v>
      </c>
      <c r="DA488" t="s">
        <v>10188</v>
      </c>
    </row>
    <row r="489">
      <c r="A489" t="s">
        <v>98</v>
      </c>
      <c r="D489" t="s">
        <v>10189</v>
      </c>
      <c r="E489" t="s">
        <v>10190</v>
      </c>
      <c r="F489" s="2">
        <v>37795.0</v>
      </c>
      <c r="G489" t="s">
        <v>1360</v>
      </c>
      <c r="I489" s="3" t="str">
        <f>HYPERLINK("https://api.typeform.com/responses/files/8a396607b86030699c083ea418ae5adc1cb85a36c14ba88454fc21971f9cf46e/Kaitlynn_Coppin_Photo.jpg")</f>
        <v>https://api.typeform.com/responses/files/8a396607b86030699c083ea418ae5adc1cb85a36c14ba88454fc21971f9cf46e/Kaitlynn_Coppin_Photo.jpg</v>
      </c>
      <c r="J489" t="s">
        <v>10191</v>
      </c>
      <c r="K489" t="b">
        <v>1</v>
      </c>
      <c r="L489" s="4" t="s">
        <v>10192</v>
      </c>
      <c r="M489" t="s">
        <v>10193</v>
      </c>
      <c r="N489" t="s">
        <v>255</v>
      </c>
      <c r="O489" t="s">
        <v>990</v>
      </c>
      <c r="P489" t="s">
        <v>10194</v>
      </c>
      <c r="Q489" t="s">
        <v>189</v>
      </c>
      <c r="R489" t="s">
        <v>10195</v>
      </c>
      <c r="S489" s="4" t="s">
        <v>10196</v>
      </c>
      <c r="T489" s="4" t="s">
        <v>10197</v>
      </c>
      <c r="U489" t="s">
        <v>10198</v>
      </c>
      <c r="V489" t="s">
        <v>10199</v>
      </c>
      <c r="W489" t="s">
        <v>113</v>
      </c>
      <c r="Y489" t="s">
        <v>158</v>
      </c>
      <c r="Z489" t="s">
        <v>159</v>
      </c>
      <c r="AC489" s="3" t="str">
        <f>HYPERLINK("https://api.typeform.com/responses/files/480da5066eae5844800f4755de771c504249baaacc9baffaef5cfeb39d74e5a7/Kaitlynn_Coppin_report_card.pdf")</f>
        <v>https://api.typeform.com/responses/files/480da5066eae5844800f4755de771c504249baaacc9baffaef5cfeb39d74e5a7/Kaitlynn_Coppin_report_card.pdf</v>
      </c>
      <c r="AD489" t="s">
        <v>118</v>
      </c>
      <c r="AE489" t="s">
        <v>1780</v>
      </c>
      <c r="AI489" t="s">
        <v>121</v>
      </c>
      <c r="AK489" t="s">
        <v>139</v>
      </c>
      <c r="AL489" t="s">
        <v>10200</v>
      </c>
      <c r="AO489" t="s">
        <v>125</v>
      </c>
      <c r="AP489">
        <v>4.0</v>
      </c>
      <c r="AQ489" t="s">
        <v>461</v>
      </c>
      <c r="AR489" t="s">
        <v>10201</v>
      </c>
      <c r="AS489" t="b">
        <v>1</v>
      </c>
      <c r="AT489" t="b">
        <v>1</v>
      </c>
      <c r="AV489">
        <v>4.0</v>
      </c>
      <c r="AW489" t="b">
        <v>0</v>
      </c>
      <c r="AZ489" t="b">
        <v>1</v>
      </c>
      <c r="BA489" t="b">
        <v>1</v>
      </c>
      <c r="BB489" t="b">
        <v>1</v>
      </c>
      <c r="BC489" t="s">
        <v>10202</v>
      </c>
      <c r="BH489" t="s">
        <v>132</v>
      </c>
      <c r="BI489">
        <v>1.0</v>
      </c>
      <c r="BJ489" t="s">
        <v>10203</v>
      </c>
      <c r="BK489">
        <v>2.0</v>
      </c>
      <c r="BL489">
        <v>3.0</v>
      </c>
      <c r="BM489" t="s">
        <v>10204</v>
      </c>
      <c r="BN489">
        <v>2.0</v>
      </c>
      <c r="BO489">
        <v>3.0</v>
      </c>
      <c r="BP489" t="s">
        <v>10205</v>
      </c>
      <c r="BQ489" t="s">
        <v>10206</v>
      </c>
      <c r="BR489" t="s">
        <v>10207</v>
      </c>
      <c r="BS489" t="s">
        <v>10208</v>
      </c>
      <c r="BU489" t="s">
        <v>139</v>
      </c>
      <c r="BV489" s="3" t="str">
        <f>HYPERLINK("https://api.typeform.com/responses/files/169361449a8eb7f6c28aa92d24bc0a7c22d1bb1d7261ad71fae8848f42ec0281/SPEAKHIRE_Info.docx")</f>
        <v>https://api.typeform.com/responses/files/169361449a8eb7f6c28aa92d24bc0a7c22d1bb1d7261ad71fae8848f42ec0281/SPEAKHIRE_Info.docx</v>
      </c>
      <c r="BW489" t="b">
        <v>1</v>
      </c>
      <c r="BX489" t="s">
        <v>1394</v>
      </c>
      <c r="BY489" t="s">
        <v>140</v>
      </c>
      <c r="CA489" t="s">
        <v>1395</v>
      </c>
      <c r="CD489">
        <v>0.0</v>
      </c>
      <c r="CF489" t="b">
        <v>0</v>
      </c>
      <c r="CG489" t="b">
        <v>0</v>
      </c>
      <c r="CH489" t="s">
        <v>4188</v>
      </c>
      <c r="CJ489" t="b">
        <v>0</v>
      </c>
      <c r="CK489" t="b">
        <v>0</v>
      </c>
      <c r="CL489" t="s">
        <v>1489</v>
      </c>
      <c r="CO489" t="s">
        <v>6448</v>
      </c>
      <c r="CR489" t="b">
        <v>1</v>
      </c>
      <c r="CT489">
        <v>2.0</v>
      </c>
      <c r="CU489">
        <v>10.0</v>
      </c>
      <c r="CX489" t="s">
        <v>258</v>
      </c>
      <c r="CZ489" s="5">
        <v>44579.80608796296</v>
      </c>
      <c r="DA489" t="s">
        <v>10209</v>
      </c>
    </row>
    <row r="490">
      <c r="A490" t="s">
        <v>98</v>
      </c>
      <c r="D490" t="s">
        <v>10210</v>
      </c>
      <c r="E490" t="s">
        <v>10211</v>
      </c>
      <c r="F490" s="2">
        <v>38539.0</v>
      </c>
      <c r="G490" t="s">
        <v>1360</v>
      </c>
      <c r="I490" s="3" t="str">
        <f>HYPERLINK("https://api.typeform.com/responses/files/98f43351e963bb8bafdd80cf75b30153e5bd8cfe448e86b4bb6b6b20989392a9/IMG_5532.JPG")</f>
        <v>https://api.typeform.com/responses/files/98f43351e963bb8bafdd80cf75b30153e5bd8cfe448e86b4bb6b6b20989392a9/IMG_5532.JPG</v>
      </c>
      <c r="J490" t="s">
        <v>10212</v>
      </c>
      <c r="K490" t="b">
        <v>1</v>
      </c>
      <c r="L490" s="4" t="s">
        <v>10213</v>
      </c>
      <c r="M490" s="4" t="s">
        <v>10214</v>
      </c>
      <c r="N490" t="s">
        <v>255</v>
      </c>
      <c r="P490" t="s">
        <v>10215</v>
      </c>
      <c r="Q490" t="s">
        <v>152</v>
      </c>
      <c r="R490" t="s">
        <v>10216</v>
      </c>
      <c r="S490" s="4" t="s">
        <v>10214</v>
      </c>
      <c r="T490" s="4" t="s">
        <v>10217</v>
      </c>
      <c r="U490" t="s">
        <v>10218</v>
      </c>
      <c r="V490" t="s">
        <v>10219</v>
      </c>
      <c r="W490" t="s">
        <v>113</v>
      </c>
      <c r="Y490" t="s">
        <v>158</v>
      </c>
      <c r="Z490" t="s">
        <v>262</v>
      </c>
      <c r="AC490" s="3" t="str">
        <f>HYPERLINK("https://api.typeform.com/responses/files/2355ac128a7a25f907f47ddea44f8fb9b929b9bade1a91201221b97305190eda/Kiara_P._transcript.pdf")</f>
        <v>https://api.typeform.com/responses/files/2355ac128a7a25f907f47ddea44f8fb9b929b9bade1a91201221b97305190eda/Kiara_P._transcript.pdf</v>
      </c>
      <c r="AD490" t="s">
        <v>118</v>
      </c>
      <c r="AE490" t="s">
        <v>729</v>
      </c>
      <c r="AF490" t="s">
        <v>197</v>
      </c>
      <c r="AG490">
        <v>16.0</v>
      </c>
      <c r="AH490" s="4" t="s">
        <v>130</v>
      </c>
      <c r="AI490" t="s">
        <v>162</v>
      </c>
      <c r="AL490" t="s">
        <v>199</v>
      </c>
      <c r="AO490" t="s">
        <v>125</v>
      </c>
      <c r="AP490">
        <v>7.0</v>
      </c>
      <c r="AQ490" t="s">
        <v>201</v>
      </c>
      <c r="AR490" t="s">
        <v>3300</v>
      </c>
      <c r="AS490" t="b">
        <v>0</v>
      </c>
      <c r="AV490">
        <v>7.0</v>
      </c>
      <c r="AW490" t="b">
        <v>1</v>
      </c>
      <c r="AX490" t="s">
        <v>1902</v>
      </c>
      <c r="AY490" s="4" t="s">
        <v>518</v>
      </c>
      <c r="AZ490" t="b">
        <v>0</v>
      </c>
      <c r="BA490" t="b">
        <v>1</v>
      </c>
      <c r="BB490" t="b">
        <v>0</v>
      </c>
      <c r="BC490" t="s">
        <v>10220</v>
      </c>
      <c r="BH490" t="s">
        <v>132</v>
      </c>
      <c r="BI490">
        <v>2.0</v>
      </c>
      <c r="BJ490" t="s">
        <v>6515</v>
      </c>
      <c r="BK490">
        <v>6.0</v>
      </c>
      <c r="BL490">
        <v>6.0</v>
      </c>
      <c r="BM490" t="s">
        <v>10221</v>
      </c>
      <c r="BN490">
        <v>6.0</v>
      </c>
      <c r="BO490">
        <v>7.0</v>
      </c>
      <c r="BP490" t="s">
        <v>10222</v>
      </c>
      <c r="BQ490" t="s">
        <v>1931</v>
      </c>
      <c r="BR490" t="s">
        <v>10223</v>
      </c>
      <c r="BS490" t="s">
        <v>10224</v>
      </c>
      <c r="BU490" t="s">
        <v>139</v>
      </c>
      <c r="BV490" s="3" t="str">
        <f>HYPERLINK("https://api.typeform.com/responses/files/db7c525b160e0f05f0b4954066b85974714513f2204ab1a3a1763c849056d6f6/SPEAKHIRE_Parent.Guardian_Consent_Form.pdf")</f>
        <v>https://api.typeform.com/responses/files/db7c525b160e0f05f0b4954066b85974714513f2204ab1a3a1763c849056d6f6/SPEAKHIRE_Parent.Guardian_Consent_Form.pdf</v>
      </c>
      <c r="BW490" t="b">
        <v>1</v>
      </c>
      <c r="BX490" t="s">
        <v>1394</v>
      </c>
      <c r="BY490" t="s">
        <v>140</v>
      </c>
      <c r="CA490" t="s">
        <v>1395</v>
      </c>
      <c r="CD490">
        <v>0.0</v>
      </c>
      <c r="CF490" t="b">
        <v>1</v>
      </c>
      <c r="CG490" t="b">
        <v>1</v>
      </c>
      <c r="CH490" t="s">
        <v>10225</v>
      </c>
      <c r="CJ490" t="b">
        <v>0</v>
      </c>
      <c r="CK490" t="b">
        <v>1</v>
      </c>
      <c r="CL490" t="s">
        <v>387</v>
      </c>
      <c r="CM490" t="s">
        <v>541</v>
      </c>
      <c r="CO490" t="s">
        <v>1635</v>
      </c>
      <c r="CR490" t="b">
        <v>1</v>
      </c>
      <c r="CT490">
        <v>0.0</v>
      </c>
      <c r="CU490">
        <v>0.0</v>
      </c>
      <c r="CX490" t="s">
        <v>10226</v>
      </c>
      <c r="CZ490" s="5">
        <v>44582.815474537034</v>
      </c>
      <c r="DA490" t="s">
        <v>10227</v>
      </c>
    </row>
    <row r="491">
      <c r="A491" t="s">
        <v>98</v>
      </c>
      <c r="D491" t="s">
        <v>1966</v>
      </c>
      <c r="E491" t="s">
        <v>10228</v>
      </c>
      <c r="F491" s="2">
        <v>38657.0</v>
      </c>
      <c r="G491" t="s">
        <v>1360</v>
      </c>
      <c r="I491" s="3" t="str">
        <f>HYPERLINK("https://api.typeform.com/responses/files/d2298b4d48e42bb0f93fa3f396ebb4dc7f982d3d81677a3058e4dfb01eb38a65/AF89A945_C08F_42EA_A7AD_D85C0533048E.jpeg")</f>
        <v>https://api.typeform.com/responses/files/d2298b4d48e42bb0f93fa3f396ebb4dc7f982d3d81677a3058e4dfb01eb38a65/AF89A945_C08F_42EA_A7AD_D85C0533048E.jpeg</v>
      </c>
      <c r="J491" t="s">
        <v>10229</v>
      </c>
      <c r="K491" t="b">
        <v>1</v>
      </c>
      <c r="L491" s="4" t="s">
        <v>10230</v>
      </c>
      <c r="M491" t="s">
        <v>10231</v>
      </c>
      <c r="N491" t="s">
        <v>149</v>
      </c>
      <c r="P491" t="s">
        <v>10232</v>
      </c>
      <c r="Q491" t="s">
        <v>152</v>
      </c>
      <c r="R491" t="s">
        <v>10233</v>
      </c>
      <c r="S491" t="s">
        <v>10234</v>
      </c>
      <c r="T491" s="4" t="s">
        <v>10235</v>
      </c>
      <c r="U491" t="s">
        <v>1674</v>
      </c>
      <c r="V491" t="s">
        <v>10236</v>
      </c>
      <c r="W491" t="s">
        <v>113</v>
      </c>
      <c r="Y491" t="s">
        <v>158</v>
      </c>
      <c r="Z491" t="s">
        <v>262</v>
      </c>
      <c r="AC491" s="3" t="str">
        <f>HYPERLINK("https://api.typeform.com/responses/files/b07a292dcd812acfd9594767647d485d06304338cb88181c8bfccff65fba2e25/Emely_P.__transcript.pdf")</f>
        <v>https://api.typeform.com/responses/files/b07a292dcd812acfd9594767647d485d06304338cb88181c8bfccff65fba2e25/Emely_P.__transcript.pdf</v>
      </c>
      <c r="AD491" t="s">
        <v>118</v>
      </c>
      <c r="AE491" t="s">
        <v>729</v>
      </c>
      <c r="AF491" t="s">
        <v>197</v>
      </c>
      <c r="AG491">
        <v>13.0</v>
      </c>
      <c r="AH491" t="s">
        <v>4927</v>
      </c>
      <c r="AI491" t="s">
        <v>162</v>
      </c>
      <c r="AL491" t="s">
        <v>199</v>
      </c>
      <c r="AO491" t="s">
        <v>335</v>
      </c>
      <c r="AP491">
        <v>4.0</v>
      </c>
      <c r="AQ491" t="s">
        <v>2625</v>
      </c>
      <c r="AR491" t="s">
        <v>10237</v>
      </c>
      <c r="AS491" t="b">
        <v>1</v>
      </c>
      <c r="AT491" t="b">
        <v>0</v>
      </c>
      <c r="AV491">
        <v>4.0</v>
      </c>
      <c r="AW491" t="b">
        <v>0</v>
      </c>
      <c r="AZ491" t="b">
        <v>0</v>
      </c>
      <c r="BA491" t="b">
        <v>0</v>
      </c>
      <c r="BD491" t="s">
        <v>10238</v>
      </c>
      <c r="BH491" t="s">
        <v>132</v>
      </c>
      <c r="BI491">
        <v>2.0</v>
      </c>
      <c r="BJ491" t="s">
        <v>10239</v>
      </c>
      <c r="BK491">
        <v>3.0</v>
      </c>
      <c r="BL491">
        <v>5.0</v>
      </c>
      <c r="BM491" t="s">
        <v>10240</v>
      </c>
      <c r="BN491">
        <v>3.0</v>
      </c>
      <c r="BO491">
        <v>5.0</v>
      </c>
      <c r="BP491" t="s">
        <v>10241</v>
      </c>
      <c r="BQ491" t="s">
        <v>977</v>
      </c>
      <c r="BR491" t="s">
        <v>10242</v>
      </c>
      <c r="BS491" t="s">
        <v>10243</v>
      </c>
      <c r="BU491" t="s">
        <v>10244</v>
      </c>
      <c r="BV491" s="3" t="str">
        <f>HYPERLINK("https://api.typeform.com/responses/files/4acc3307b483d7225f52738477dda4e0b7d41c24fb1cec6c652b9a3aa19ba878/IMG_0625.heic")</f>
        <v>https://api.typeform.com/responses/files/4acc3307b483d7225f52738477dda4e0b7d41c24fb1cec6c652b9a3aa19ba878/IMG_0625.heic</v>
      </c>
      <c r="BW491" t="b">
        <v>1</v>
      </c>
      <c r="BX491" t="s">
        <v>1394</v>
      </c>
      <c r="BY491" t="s">
        <v>140</v>
      </c>
      <c r="CA491" t="s">
        <v>1395</v>
      </c>
      <c r="CD491">
        <v>0.0</v>
      </c>
      <c r="CF491" t="b">
        <v>1</v>
      </c>
      <c r="CG491" t="b">
        <v>1</v>
      </c>
      <c r="CH491" t="s">
        <v>128</v>
      </c>
      <c r="CJ491" t="b">
        <v>1</v>
      </c>
      <c r="CK491" t="b">
        <v>1</v>
      </c>
      <c r="CL491" t="s">
        <v>198</v>
      </c>
      <c r="CO491" t="s">
        <v>388</v>
      </c>
      <c r="CR491" t="b">
        <v>1</v>
      </c>
      <c r="CT491">
        <v>0.0</v>
      </c>
      <c r="CU491">
        <v>0.0</v>
      </c>
      <c r="CX491" s="4" t="s">
        <v>10245</v>
      </c>
      <c r="CZ491" s="5">
        <v>44583.15332175926</v>
      </c>
      <c r="DA491" t="s">
        <v>10246</v>
      </c>
    </row>
    <row r="492">
      <c r="A492" t="s">
        <v>98</v>
      </c>
      <c r="D492" t="s">
        <v>10247</v>
      </c>
      <c r="E492" t="s">
        <v>5327</v>
      </c>
      <c r="F492" s="2">
        <v>38182.0</v>
      </c>
      <c r="G492" t="s">
        <v>1466</v>
      </c>
      <c r="I492" s="3" t="str">
        <f>HYPERLINK("https://api.typeform.com/responses/files/222c56ef85d3b1edd05af9b911f5c98e0c82b25948185ef68d45d0a2e7ff589b/unnamed.jpg")</f>
        <v>https://api.typeform.com/responses/files/222c56ef85d3b1edd05af9b911f5c98e0c82b25948185ef68d45d0a2e7ff589b/unnamed.jpg</v>
      </c>
      <c r="J492" t="s">
        <v>10248</v>
      </c>
      <c r="K492" t="b">
        <v>1</v>
      </c>
      <c r="L492" s="4" t="s">
        <v>10249</v>
      </c>
      <c r="M492" t="s">
        <v>10250</v>
      </c>
      <c r="N492" t="s">
        <v>149</v>
      </c>
      <c r="P492" t="s">
        <v>10251</v>
      </c>
      <c r="Q492" t="s">
        <v>152</v>
      </c>
      <c r="R492" t="s">
        <v>10252</v>
      </c>
      <c r="S492" t="s">
        <v>10250</v>
      </c>
      <c r="T492" s="4" t="s">
        <v>10253</v>
      </c>
      <c r="U492" t="s">
        <v>1674</v>
      </c>
      <c r="V492" t="s">
        <v>10254</v>
      </c>
      <c r="W492" t="s">
        <v>113</v>
      </c>
      <c r="Y492" t="s">
        <v>158</v>
      </c>
      <c r="Z492" t="s">
        <v>262</v>
      </c>
      <c r="AC492" s="3" t="str">
        <f>HYPERLINK("https://api.typeform.com/responses/files/30429134a7d5f9cc719dbba2eb412ac4144807763495371e5502e950052e649b/Darwin_G.__transcript.pdf")</f>
        <v>https://api.typeform.com/responses/files/30429134a7d5f9cc719dbba2eb412ac4144807763495371e5502e950052e649b/Darwin_G.__transcript.pdf</v>
      </c>
      <c r="AD492" t="s">
        <v>118</v>
      </c>
      <c r="AE492" t="s">
        <v>1220</v>
      </c>
      <c r="AF492" t="s">
        <v>4374</v>
      </c>
      <c r="AG492">
        <v>15.0</v>
      </c>
      <c r="AH492" s="4" t="s">
        <v>1414</v>
      </c>
      <c r="AI492" t="s">
        <v>121</v>
      </c>
      <c r="AK492" t="s">
        <v>10255</v>
      </c>
      <c r="AL492" t="s">
        <v>199</v>
      </c>
      <c r="AO492" t="s">
        <v>335</v>
      </c>
      <c r="AP492">
        <v>7.0</v>
      </c>
      <c r="AQ492" t="s">
        <v>126</v>
      </c>
      <c r="AR492" t="s">
        <v>10256</v>
      </c>
      <c r="AS492" t="b">
        <v>1</v>
      </c>
      <c r="AT492" t="b">
        <v>0</v>
      </c>
      <c r="AV492">
        <v>6.0</v>
      </c>
      <c r="AW492" t="b">
        <v>0</v>
      </c>
      <c r="AZ492" t="b">
        <v>0</v>
      </c>
      <c r="BA492" t="b">
        <v>0</v>
      </c>
      <c r="BD492" t="s">
        <v>10257</v>
      </c>
      <c r="BH492" t="s">
        <v>132</v>
      </c>
      <c r="BI492">
        <v>4.0</v>
      </c>
      <c r="BJ492" t="s">
        <v>10258</v>
      </c>
      <c r="BK492">
        <v>6.0</v>
      </c>
      <c r="BL492">
        <v>6.0</v>
      </c>
      <c r="BM492" t="s">
        <v>10259</v>
      </c>
      <c r="BN492">
        <v>4.0</v>
      </c>
      <c r="BO492">
        <v>5.0</v>
      </c>
      <c r="BP492" t="s">
        <v>10260</v>
      </c>
      <c r="BQ492" t="s">
        <v>5036</v>
      </c>
      <c r="BR492" t="s">
        <v>10261</v>
      </c>
      <c r="BS492" t="s">
        <v>10262</v>
      </c>
      <c r="BU492" t="s">
        <v>10263</v>
      </c>
      <c r="BV492" s="3" t="str">
        <f>HYPERLINK("https://api.typeform.com/responses/files/764de309159eccca34f4430abeaa955c4e541340fef0dc5dc30f36a4a3a2bb20/1__Felix_Guerrero_have_read_all_information_provided_and_give_my_consent_for_the_SPEAKHIRE_to_have.pdf")</f>
        <v>https://api.typeform.com/responses/files/764de309159eccca34f4430abeaa955c4e541340fef0dc5dc30f36a4a3a2bb20/1__Felix_Guerrero_have_read_all_information_provided_and_give_my_consent_for_the_SPEAKHIRE_to_have.pdf</v>
      </c>
      <c r="BW492" t="b">
        <v>1</v>
      </c>
      <c r="BX492" t="s">
        <v>1394</v>
      </c>
      <c r="BY492" t="s">
        <v>140</v>
      </c>
      <c r="CA492" t="s">
        <v>1395</v>
      </c>
      <c r="CD492">
        <v>0.0</v>
      </c>
      <c r="CF492" t="b">
        <v>1</v>
      </c>
      <c r="CG492" t="b">
        <v>1</v>
      </c>
      <c r="CH492" t="s">
        <v>10264</v>
      </c>
      <c r="CJ492" t="b">
        <v>0</v>
      </c>
      <c r="CK492" t="b">
        <v>1</v>
      </c>
      <c r="CL492" t="s">
        <v>541</v>
      </c>
      <c r="CO492" t="s">
        <v>1635</v>
      </c>
      <c r="CR492" t="b">
        <v>1</v>
      </c>
      <c r="CT492">
        <v>1.0</v>
      </c>
      <c r="CU492">
        <v>1.0</v>
      </c>
      <c r="CX492" s="4" t="s">
        <v>10265</v>
      </c>
      <c r="CZ492" s="5">
        <v>44583.21854166667</v>
      </c>
      <c r="DA492" t="s">
        <v>10266</v>
      </c>
    </row>
    <row r="493">
      <c r="A493" t="s">
        <v>98</v>
      </c>
      <c r="D493" t="s">
        <v>182</v>
      </c>
      <c r="E493" t="s">
        <v>7582</v>
      </c>
      <c r="F493" s="2">
        <v>38299.0</v>
      </c>
      <c r="G493" t="s">
        <v>1360</v>
      </c>
      <c r="I493" s="3" t="str">
        <f>HYPERLINK("https://api.typeform.com/responses/files/3ef8f68bf3d1d5a9fc35a066f1458e6140c7fa6aebb12c4a113ed9013777bf9f/IMG_20220123_235937.jpg")</f>
        <v>https://api.typeform.com/responses/files/3ef8f68bf3d1d5a9fc35a066f1458e6140c7fa6aebb12c4a113ed9013777bf9f/IMG_20220123_235937.jpg</v>
      </c>
      <c r="J493" t="s">
        <v>10267</v>
      </c>
      <c r="K493" t="b">
        <v>0</v>
      </c>
      <c r="M493" t="s">
        <v>10268</v>
      </c>
      <c r="N493" t="s">
        <v>149</v>
      </c>
      <c r="P493" t="s">
        <v>10269</v>
      </c>
      <c r="Q493" t="s">
        <v>189</v>
      </c>
      <c r="R493" t="s">
        <v>10270</v>
      </c>
      <c r="S493" t="s">
        <v>10271</v>
      </c>
      <c r="T493" s="4" t="s">
        <v>10272</v>
      </c>
      <c r="U493" t="s">
        <v>1674</v>
      </c>
      <c r="V493" t="s">
        <v>10273</v>
      </c>
      <c r="W493" t="s">
        <v>113</v>
      </c>
      <c r="Y493" t="s">
        <v>158</v>
      </c>
      <c r="Z493" t="s">
        <v>262</v>
      </c>
      <c r="AC493" s="3" t="str">
        <f>HYPERLINK("https://api.typeform.com/responses/files/79e720a1c58fe50459663b2d4854f86a1e67bec791225156e533b0e750b7bb43/Ana_F.__transcript.pdf")</f>
        <v>https://api.typeform.com/responses/files/79e720a1c58fe50459663b2d4854f86a1e67bec791225156e533b0e750b7bb43/Ana_F.__transcript.pdf</v>
      </c>
      <c r="AD493" t="s">
        <v>118</v>
      </c>
      <c r="AE493" t="s">
        <v>729</v>
      </c>
      <c r="AF493" t="s">
        <v>4450</v>
      </c>
      <c r="AG493">
        <v>14.0</v>
      </c>
      <c r="AH493" t="s">
        <v>10274</v>
      </c>
      <c r="AI493" t="s">
        <v>543</v>
      </c>
      <c r="AL493" t="s">
        <v>1043</v>
      </c>
      <c r="AO493" t="s">
        <v>335</v>
      </c>
      <c r="AP493">
        <v>4.0</v>
      </c>
      <c r="AQ493" t="s">
        <v>126</v>
      </c>
      <c r="AR493" t="s">
        <v>10275</v>
      </c>
      <c r="AS493" t="b">
        <v>1</v>
      </c>
      <c r="AT493" t="b">
        <v>0</v>
      </c>
      <c r="AV493">
        <v>4.0</v>
      </c>
      <c r="AW493" t="b">
        <v>0</v>
      </c>
      <c r="AZ493" t="b">
        <v>0</v>
      </c>
      <c r="BA493" t="b">
        <v>1</v>
      </c>
      <c r="BB493" t="b">
        <v>0</v>
      </c>
      <c r="BC493" t="s">
        <v>10276</v>
      </c>
      <c r="BH493" t="s">
        <v>132</v>
      </c>
      <c r="BI493">
        <v>1.0</v>
      </c>
      <c r="BJ493" t="s">
        <v>10277</v>
      </c>
      <c r="BK493">
        <v>4.0</v>
      </c>
      <c r="BL493">
        <v>6.0</v>
      </c>
      <c r="BM493" t="s">
        <v>10278</v>
      </c>
      <c r="BN493">
        <v>4.0</v>
      </c>
      <c r="BO493">
        <v>6.0</v>
      </c>
      <c r="BP493" t="s">
        <v>10279</v>
      </c>
      <c r="BQ493" t="s">
        <v>916</v>
      </c>
      <c r="BR493" t="s">
        <v>10280</v>
      </c>
      <c r="BS493" t="s">
        <v>10281</v>
      </c>
      <c r="BU493" t="s">
        <v>10282</v>
      </c>
      <c r="BV493" s="3" t="str">
        <f>HYPERLINK("https://api.typeform.com/responses/files/9dfc4d17f142f46b041fc8f849a265261181abf9d830ea2cab0e6f665e5d892d/IMG_6243__1_.jpg")</f>
        <v>https://api.typeform.com/responses/files/9dfc4d17f142f46b041fc8f849a265261181abf9d830ea2cab0e6f665e5d892d/IMG_6243__1_.jpg</v>
      </c>
      <c r="BW493" t="b">
        <v>1</v>
      </c>
      <c r="BX493" t="s">
        <v>1394</v>
      </c>
      <c r="BY493" t="s">
        <v>140</v>
      </c>
      <c r="CA493" t="s">
        <v>1395</v>
      </c>
      <c r="CD493">
        <v>0.0</v>
      </c>
      <c r="CF493" t="b">
        <v>1</v>
      </c>
      <c r="CG493" t="b">
        <v>1</v>
      </c>
      <c r="CH493" t="s">
        <v>1935</v>
      </c>
      <c r="CJ493" t="b">
        <v>1</v>
      </c>
      <c r="CK493" t="b">
        <v>1</v>
      </c>
      <c r="CL493" t="s">
        <v>387</v>
      </c>
      <c r="CN493" t="s">
        <v>10283</v>
      </c>
      <c r="CO493" t="s">
        <v>388</v>
      </c>
      <c r="CR493" t="b">
        <v>1</v>
      </c>
      <c r="CT493">
        <v>0.0</v>
      </c>
      <c r="CU493">
        <v>1.0</v>
      </c>
      <c r="CX493" s="4" t="s">
        <v>10284</v>
      </c>
      <c r="CZ493" s="5">
        <v>44585.208402777775</v>
      </c>
      <c r="DA493" t="s">
        <v>10285</v>
      </c>
    </row>
    <row r="494">
      <c r="A494" t="s">
        <v>98</v>
      </c>
      <c r="D494" t="s">
        <v>4208</v>
      </c>
      <c r="E494" t="s">
        <v>10286</v>
      </c>
      <c r="F494" s="2">
        <v>44582.0</v>
      </c>
      <c r="G494" t="s">
        <v>1466</v>
      </c>
      <c r="I494" s="3" t="str">
        <f>HYPERLINK("https://api.typeform.com/responses/files/8b5016a4cd86cd1735cf23ae9856e4cb9b3ec122950f294c0e41c0dda66f1534/BBB3CC54_AA72_4827_9E40_98F879305019.jpeg")</f>
        <v>https://api.typeform.com/responses/files/8b5016a4cd86cd1735cf23ae9856e4cb9b3ec122950f294c0e41c0dda66f1534/BBB3CC54_AA72_4827_9E40_98F879305019.jpeg</v>
      </c>
      <c r="J494" t="s">
        <v>10287</v>
      </c>
      <c r="K494" t="b">
        <v>1</v>
      </c>
      <c r="L494" s="4" t="s">
        <v>10288</v>
      </c>
      <c r="M494" t="s">
        <v>10289</v>
      </c>
      <c r="N494" t="s">
        <v>255</v>
      </c>
      <c r="O494" t="s">
        <v>10290</v>
      </c>
      <c r="P494" t="s">
        <v>10291</v>
      </c>
      <c r="Q494" t="s">
        <v>152</v>
      </c>
      <c r="R494" t="s">
        <v>10292</v>
      </c>
      <c r="S494" t="s">
        <v>10293</v>
      </c>
      <c r="T494" s="4" t="s">
        <v>10294</v>
      </c>
      <c r="U494" t="s">
        <v>10295</v>
      </c>
      <c r="V494" t="s">
        <v>10296</v>
      </c>
      <c r="W494" t="s">
        <v>261</v>
      </c>
      <c r="Y494" t="s">
        <v>158</v>
      </c>
      <c r="Z494" t="s">
        <v>262</v>
      </c>
      <c r="AC494" s="3" t="str">
        <f>HYPERLINK("https://api.typeform.com/responses/files/82c5fe56e96d7993b3e9132a687764e6d36e135e85e728d9603eca8cc558b176/2922FCFC_F4AF_4EBD_AFBA_B479827A4005.jpeg")</f>
        <v>https://api.typeform.com/responses/files/82c5fe56e96d7993b3e9132a687764e6d36e135e85e728d9603eca8cc558b176/2922FCFC_F4AF_4EBD_AFBA_B479827A4005.jpeg</v>
      </c>
      <c r="AD494" t="s">
        <v>118</v>
      </c>
      <c r="AE494" t="s">
        <v>1220</v>
      </c>
      <c r="AF494" t="s">
        <v>10297</v>
      </c>
      <c r="AG494">
        <v>12.0</v>
      </c>
      <c r="AH494" t="s">
        <v>10298</v>
      </c>
      <c r="AI494" t="s">
        <v>121</v>
      </c>
      <c r="AK494" t="s">
        <v>10299</v>
      </c>
      <c r="AL494" t="s">
        <v>199</v>
      </c>
      <c r="AO494" t="s">
        <v>1479</v>
      </c>
      <c r="AP494">
        <v>4.0</v>
      </c>
      <c r="AQ494" t="s">
        <v>303</v>
      </c>
      <c r="AR494" t="s">
        <v>10300</v>
      </c>
      <c r="AS494" t="b">
        <v>0</v>
      </c>
      <c r="AV494">
        <v>4.0</v>
      </c>
      <c r="AW494" t="b">
        <v>0</v>
      </c>
      <c r="AZ494" t="b">
        <v>0</v>
      </c>
      <c r="BA494" t="b">
        <v>0</v>
      </c>
      <c r="BD494" t="s">
        <v>10301</v>
      </c>
      <c r="BH494" t="s">
        <v>132</v>
      </c>
      <c r="BI494">
        <v>2.0</v>
      </c>
      <c r="BJ494" t="s">
        <v>10302</v>
      </c>
      <c r="BK494">
        <v>5.0</v>
      </c>
      <c r="BL494">
        <v>4.0</v>
      </c>
      <c r="BM494" t="s">
        <v>10303</v>
      </c>
      <c r="BN494">
        <v>2.0</v>
      </c>
      <c r="BO494">
        <v>6.0</v>
      </c>
      <c r="BP494" t="s">
        <v>10304</v>
      </c>
      <c r="BQ494" t="s">
        <v>3878</v>
      </c>
      <c r="BR494" t="s">
        <v>10305</v>
      </c>
      <c r="BS494" t="s">
        <v>10306</v>
      </c>
      <c r="BU494" t="s">
        <v>10307</v>
      </c>
      <c r="BV494" s="3" t="str">
        <f>HYPERLINK("https://api.typeform.com/responses/files/b52e1d90f1557fafe5e77ff854759f76b134477e32f2c3718b19ce73b9e34135/363BAED4_2BEE_4286_A15E_A53A2D3F5257.jpeg")</f>
        <v>https://api.typeform.com/responses/files/b52e1d90f1557fafe5e77ff854759f76b134477e32f2c3718b19ce73b9e34135/363BAED4_2BEE_4286_A15E_A53A2D3F5257.jpeg</v>
      </c>
      <c r="BW494" t="b">
        <v>1</v>
      </c>
      <c r="BX494" t="s">
        <v>1394</v>
      </c>
      <c r="BY494" t="s">
        <v>140</v>
      </c>
      <c r="CA494" t="s">
        <v>1395</v>
      </c>
      <c r="CD494">
        <v>0.0</v>
      </c>
      <c r="CF494" t="b">
        <v>1</v>
      </c>
      <c r="CG494" t="b">
        <v>0</v>
      </c>
      <c r="CH494" t="s">
        <v>128</v>
      </c>
      <c r="CJ494" t="b">
        <v>0</v>
      </c>
      <c r="CK494" t="b">
        <v>1</v>
      </c>
      <c r="CL494" t="s">
        <v>198</v>
      </c>
      <c r="CM494" t="s">
        <v>3213</v>
      </c>
      <c r="CO494" t="s">
        <v>1688</v>
      </c>
      <c r="CQ494" t="s">
        <v>2301</v>
      </c>
      <c r="CR494" t="b">
        <v>1</v>
      </c>
      <c r="CT494">
        <v>2.0</v>
      </c>
      <c r="CU494">
        <v>0.0</v>
      </c>
      <c r="CX494" s="4" t="s">
        <v>10308</v>
      </c>
      <c r="CZ494" s="5">
        <v>44585.56949074074</v>
      </c>
      <c r="DA494" t="s">
        <v>10309</v>
      </c>
    </row>
    <row r="495">
      <c r="A495" t="s">
        <v>98</v>
      </c>
      <c r="D495" t="s">
        <v>10310</v>
      </c>
      <c r="E495" t="s">
        <v>10311</v>
      </c>
      <c r="F495" s="2">
        <v>38589.0</v>
      </c>
      <c r="G495" t="s">
        <v>1360</v>
      </c>
      <c r="I495" s="3" t="str">
        <f>HYPERLINK("https://api.typeform.com/responses/files/8f6526ccedd89b326e3f46cc87bd3aafaba6ab6edccbc868de51b4e087f823f8/IMG_20220124_092241.jpg")</f>
        <v>https://api.typeform.com/responses/files/8f6526ccedd89b326e3f46cc87bd3aafaba6ab6edccbc868de51b4e087f823f8/IMG_20220124_092241.jpg</v>
      </c>
      <c r="J495" t="s">
        <v>10312</v>
      </c>
      <c r="K495" t="b">
        <v>1</v>
      </c>
      <c r="L495" s="4" t="s">
        <v>10313</v>
      </c>
      <c r="M495" t="s">
        <v>10314</v>
      </c>
      <c r="N495" t="s">
        <v>149</v>
      </c>
      <c r="P495" t="s">
        <v>10315</v>
      </c>
      <c r="Q495" t="s">
        <v>189</v>
      </c>
      <c r="R495" t="s">
        <v>10316</v>
      </c>
      <c r="S495" t="s">
        <v>10314</v>
      </c>
      <c r="T495" s="4" t="s">
        <v>10317</v>
      </c>
      <c r="U495" t="s">
        <v>2027</v>
      </c>
      <c r="V495" t="s">
        <v>2260</v>
      </c>
      <c r="W495" t="s">
        <v>113</v>
      </c>
      <c r="Y495" t="s">
        <v>158</v>
      </c>
      <c r="Z495" t="s">
        <v>262</v>
      </c>
      <c r="AC495" s="3" t="str">
        <f>HYPERLINK("https://api.typeform.com/responses/files/c2a74923c0dbb4900ae2a05a0ddd53ae5d885bb94c5e9f77da56a661f8ee7339/Noelia_P._transcript.pdf")</f>
        <v>https://api.typeform.com/responses/files/c2a74923c0dbb4900ae2a05a0ddd53ae5d885bb94c5e9f77da56a661f8ee7339/Noelia_P._transcript.pdf</v>
      </c>
      <c r="AD495" t="s">
        <v>118</v>
      </c>
      <c r="AE495" t="s">
        <v>729</v>
      </c>
      <c r="AF495" t="s">
        <v>197</v>
      </c>
      <c r="AG495">
        <v>13.0</v>
      </c>
      <c r="AH495" s="4" t="s">
        <v>520</v>
      </c>
      <c r="AI495" t="s">
        <v>162</v>
      </c>
      <c r="AL495" t="s">
        <v>199</v>
      </c>
      <c r="AO495" t="s">
        <v>335</v>
      </c>
      <c r="AP495">
        <v>4.0</v>
      </c>
      <c r="AQ495" t="s">
        <v>126</v>
      </c>
      <c r="AR495" t="s">
        <v>10318</v>
      </c>
      <c r="AS495" t="b">
        <v>0</v>
      </c>
      <c r="AV495">
        <v>2.0</v>
      </c>
      <c r="AW495" t="b">
        <v>0</v>
      </c>
      <c r="AZ495" t="b">
        <v>0</v>
      </c>
      <c r="BA495" t="b">
        <v>0</v>
      </c>
      <c r="BD495" t="s">
        <v>9819</v>
      </c>
      <c r="BH495" t="s">
        <v>132</v>
      </c>
      <c r="BI495">
        <v>1.0</v>
      </c>
      <c r="BJ495" t="s">
        <v>10319</v>
      </c>
      <c r="BK495">
        <v>1.0</v>
      </c>
      <c r="BL495">
        <v>2.0</v>
      </c>
      <c r="BM495" t="s">
        <v>10320</v>
      </c>
      <c r="BN495">
        <v>1.0</v>
      </c>
      <c r="BO495">
        <v>1.0</v>
      </c>
      <c r="BP495" t="s">
        <v>10321</v>
      </c>
      <c r="BQ495" t="s">
        <v>977</v>
      </c>
      <c r="BR495" t="s">
        <v>10322</v>
      </c>
      <c r="BS495" t="s">
        <v>10323</v>
      </c>
      <c r="BU495" t="s">
        <v>606</v>
      </c>
      <c r="BV495" s="3" t="str">
        <f>HYPERLINK("https://api.typeform.com/responses/files/146a16aac71aed9188cbcc5045efff004a7481d7cdae7264e5d7330f04e97c18/IMG_20220124_100726.jpg")</f>
        <v>https://api.typeform.com/responses/files/146a16aac71aed9188cbcc5045efff004a7481d7cdae7264e5d7330f04e97c18/IMG_20220124_100726.jpg</v>
      </c>
      <c r="BW495" t="b">
        <v>1</v>
      </c>
      <c r="BX495" t="s">
        <v>1394</v>
      </c>
      <c r="BY495" t="s">
        <v>140</v>
      </c>
      <c r="CA495" t="s">
        <v>1395</v>
      </c>
      <c r="CD495">
        <v>0.0</v>
      </c>
      <c r="CF495" t="b">
        <v>1</v>
      </c>
      <c r="CG495" t="b">
        <v>1</v>
      </c>
      <c r="CH495" t="s">
        <v>2553</v>
      </c>
      <c r="CJ495" t="b">
        <v>1</v>
      </c>
      <c r="CK495" t="b">
        <v>1</v>
      </c>
      <c r="CL495" t="s">
        <v>198</v>
      </c>
      <c r="CO495" t="s">
        <v>2500</v>
      </c>
      <c r="CR495" t="b">
        <v>1</v>
      </c>
      <c r="CT495">
        <v>0.0</v>
      </c>
      <c r="CU495">
        <v>0.0</v>
      </c>
      <c r="CX495" s="4" t="s">
        <v>10324</v>
      </c>
      <c r="CZ495" s="5">
        <v>44585.630520833336</v>
      </c>
      <c r="DA495" t="s">
        <v>10325</v>
      </c>
    </row>
    <row r="496">
      <c r="A496" t="s">
        <v>98</v>
      </c>
      <c r="D496" t="s">
        <v>9392</v>
      </c>
      <c r="E496" t="s">
        <v>2611</v>
      </c>
      <c r="F496" s="2">
        <v>38426.0</v>
      </c>
      <c r="G496" t="s">
        <v>1360</v>
      </c>
      <c r="I496" s="3" t="str">
        <f>HYPERLINK("https://api.typeform.com/responses/files/67288c523034cd4d94f6f6414e26ec4e70e22d87bf8ff4c0d694c8fb4f0f5ff7/0.jpg")</f>
        <v>https://api.typeform.com/responses/files/67288c523034cd4d94f6f6414e26ec4e70e22d87bf8ff4c0d694c8fb4f0f5ff7/0.jpg</v>
      </c>
      <c r="J496" t="s">
        <v>10326</v>
      </c>
      <c r="K496" t="b">
        <v>1</v>
      </c>
      <c r="L496" s="4" t="s">
        <v>10327</v>
      </c>
      <c r="M496" t="s">
        <v>10328</v>
      </c>
      <c r="N496" t="s">
        <v>255</v>
      </c>
      <c r="P496" t="s">
        <v>10329</v>
      </c>
      <c r="Q496" t="s">
        <v>189</v>
      </c>
      <c r="R496" t="s">
        <v>10330</v>
      </c>
      <c r="S496" t="s">
        <v>10328</v>
      </c>
      <c r="T496" s="4" t="s">
        <v>10331</v>
      </c>
      <c r="U496" t="s">
        <v>10332</v>
      </c>
      <c r="V496" t="s">
        <v>10333</v>
      </c>
      <c r="W496" t="s">
        <v>113</v>
      </c>
      <c r="Y496" t="s">
        <v>158</v>
      </c>
      <c r="Z496" t="s">
        <v>262</v>
      </c>
      <c r="AC496" s="3" t="str">
        <f>HYPERLINK("https://api.typeform.com/responses/files/33b7232b80a09be9cb9744b31d8ff32a8f6a650563b8f314f42382a529c7775b/0.jpg")</f>
        <v>https://api.typeform.com/responses/files/33b7232b80a09be9cb9744b31d8ff32a8f6a650563b8f314f42382a529c7775b/0.jpg</v>
      </c>
      <c r="AD496" t="s">
        <v>118</v>
      </c>
      <c r="AE496" t="s">
        <v>1220</v>
      </c>
      <c r="AF496" t="s">
        <v>197</v>
      </c>
      <c r="AG496">
        <v>10.0</v>
      </c>
      <c r="AH496" t="s">
        <v>10334</v>
      </c>
      <c r="AI496" t="s">
        <v>121</v>
      </c>
      <c r="AK496" t="s">
        <v>10335</v>
      </c>
      <c r="AL496" t="s">
        <v>199</v>
      </c>
      <c r="AO496" t="s">
        <v>125</v>
      </c>
      <c r="AP496">
        <v>7.0</v>
      </c>
      <c r="AQ496" t="s">
        <v>126</v>
      </c>
      <c r="AR496" t="s">
        <v>9022</v>
      </c>
      <c r="AS496" t="b">
        <v>1</v>
      </c>
      <c r="AT496" t="b">
        <v>0</v>
      </c>
      <c r="AV496">
        <v>6.0</v>
      </c>
      <c r="AW496" t="b">
        <v>0</v>
      </c>
      <c r="AZ496" t="b">
        <v>0</v>
      </c>
      <c r="BA496" t="b">
        <v>0</v>
      </c>
      <c r="BD496" t="s">
        <v>2004</v>
      </c>
      <c r="BH496" t="s">
        <v>132</v>
      </c>
      <c r="BI496">
        <v>2.0</v>
      </c>
      <c r="BJ496" t="s">
        <v>10336</v>
      </c>
      <c r="BK496">
        <v>4.0</v>
      </c>
      <c r="BL496">
        <v>7.0</v>
      </c>
      <c r="BM496" t="s">
        <v>10337</v>
      </c>
      <c r="BN496">
        <v>3.0</v>
      </c>
      <c r="BO496">
        <v>7.0</v>
      </c>
      <c r="BP496" t="s">
        <v>10338</v>
      </c>
      <c r="BQ496" t="s">
        <v>3948</v>
      </c>
      <c r="BR496" t="s">
        <v>10339</v>
      </c>
      <c r="BS496" t="s">
        <v>10340</v>
      </c>
      <c r="BU496" t="s">
        <v>528</v>
      </c>
      <c r="BV496" s="3" t="str">
        <f>HYPERLINK("https://api.typeform.com/responses/files/026bd11b37a27a7d787edc78d5b71d5252fcc96c685e47578701cda3add62d19/0.jpg")</f>
        <v>https://api.typeform.com/responses/files/026bd11b37a27a7d787edc78d5b71d5252fcc96c685e47578701cda3add62d19/0.jpg</v>
      </c>
      <c r="BW496" t="b">
        <v>1</v>
      </c>
      <c r="BX496" t="s">
        <v>1394</v>
      </c>
      <c r="BY496" t="s">
        <v>140</v>
      </c>
      <c r="CA496" t="s">
        <v>1395</v>
      </c>
      <c r="CD496">
        <v>0.0</v>
      </c>
      <c r="CF496" t="b">
        <v>1</v>
      </c>
      <c r="CG496" t="b">
        <v>1</v>
      </c>
      <c r="CH496" t="s">
        <v>1420</v>
      </c>
      <c r="CJ496" t="b">
        <v>1</v>
      </c>
      <c r="CK496" t="b">
        <v>1</v>
      </c>
      <c r="CL496" t="s">
        <v>163</v>
      </c>
      <c r="CM496" t="s">
        <v>163</v>
      </c>
      <c r="CO496" t="s">
        <v>1688</v>
      </c>
      <c r="CR496" t="b">
        <v>1</v>
      </c>
      <c r="CT496">
        <v>1.0</v>
      </c>
      <c r="CU496">
        <v>0.0</v>
      </c>
      <c r="CX496" s="4" t="s">
        <v>10341</v>
      </c>
      <c r="CZ496" s="5">
        <v>44586.671585648146</v>
      </c>
      <c r="DA496" t="s">
        <v>10342</v>
      </c>
    </row>
    <row r="497">
      <c r="A497" t="s">
        <v>98</v>
      </c>
      <c r="D497" t="s">
        <v>10343</v>
      </c>
      <c r="E497" t="s">
        <v>9202</v>
      </c>
      <c r="F497" s="2" t="s">
        <v>10344</v>
      </c>
      <c r="G497" t="s">
        <v>1360</v>
      </c>
      <c r="I497" s="3" t="str">
        <f>HYPERLINK("https://api.typeform.com/responses/files/57ddc18475ed9b9bb626e8b04857e177bbbeb2e3db727fd30a5a9397d55b35fb/IMG_20220125_131902.jpg")</f>
        <v>https://api.typeform.com/responses/files/57ddc18475ed9b9bb626e8b04857e177bbbeb2e3db727fd30a5a9397d55b35fb/IMG_20220125_131902.jpg</v>
      </c>
      <c r="J497" t="s">
        <v>10345</v>
      </c>
      <c r="K497" t="b">
        <v>1</v>
      </c>
      <c r="L497" s="4" t="s">
        <v>10346</v>
      </c>
      <c r="M497" t="s">
        <v>10347</v>
      </c>
      <c r="N497" t="s">
        <v>354</v>
      </c>
      <c r="P497" t="s">
        <v>10348</v>
      </c>
      <c r="Q497" t="s">
        <v>189</v>
      </c>
      <c r="R497" t="s">
        <v>10349</v>
      </c>
      <c r="S497" t="s">
        <v>10350</v>
      </c>
      <c r="T497" s="4" t="s">
        <v>10351</v>
      </c>
      <c r="U497" t="s">
        <v>2027</v>
      </c>
      <c r="V497" t="s">
        <v>10352</v>
      </c>
      <c r="W497" t="s">
        <v>113</v>
      </c>
      <c r="Y497" t="s">
        <v>158</v>
      </c>
      <c r="Z497" t="s">
        <v>262</v>
      </c>
      <c r="AC497" s="3" t="str">
        <f>HYPERLINK("https://api.typeform.com/responses/files/3cc567ccce8f8c0b269a410e92fee15e6db4441e9f5d935a75e8908b302bf6aa/Lizvanny_G._transcript.pdf")</f>
        <v>https://api.typeform.com/responses/files/3cc567ccce8f8c0b269a410e92fee15e6db4441e9f5d935a75e8908b302bf6aa/Lizvanny_G._transcript.pdf</v>
      </c>
      <c r="AD497" t="s">
        <v>118</v>
      </c>
      <c r="AE497" t="s">
        <v>729</v>
      </c>
      <c r="AF497" t="s">
        <v>197</v>
      </c>
      <c r="AG497">
        <v>10.0</v>
      </c>
      <c r="AH497" t="s">
        <v>10353</v>
      </c>
      <c r="AI497" t="s">
        <v>162</v>
      </c>
      <c r="AK497" t="s">
        <v>139</v>
      </c>
      <c r="AL497" t="s">
        <v>1043</v>
      </c>
      <c r="AO497" t="s">
        <v>335</v>
      </c>
      <c r="AP497">
        <v>7.0</v>
      </c>
      <c r="AQ497" t="s">
        <v>126</v>
      </c>
      <c r="AR497" t="s">
        <v>10354</v>
      </c>
      <c r="AS497" t="b">
        <v>1</v>
      </c>
      <c r="AT497" t="b">
        <v>0</v>
      </c>
      <c r="AV497">
        <v>4.0</v>
      </c>
      <c r="AW497" t="b">
        <v>0</v>
      </c>
      <c r="AZ497" t="b">
        <v>0</v>
      </c>
      <c r="BA497" t="b">
        <v>0</v>
      </c>
      <c r="BD497" t="s">
        <v>10355</v>
      </c>
      <c r="BH497" t="s">
        <v>132</v>
      </c>
      <c r="BI497">
        <v>4.0</v>
      </c>
      <c r="BJ497" t="s">
        <v>10356</v>
      </c>
      <c r="BK497">
        <v>3.0</v>
      </c>
      <c r="BL497">
        <v>3.0</v>
      </c>
      <c r="BM497" t="s">
        <v>10357</v>
      </c>
      <c r="BN497">
        <v>3.0</v>
      </c>
      <c r="BO497">
        <v>6.0</v>
      </c>
      <c r="BP497" t="s">
        <v>4707</v>
      </c>
      <c r="BQ497" t="s">
        <v>916</v>
      </c>
      <c r="BR497" t="s">
        <v>10358</v>
      </c>
      <c r="BS497" t="s">
        <v>10359</v>
      </c>
      <c r="BU497" t="s">
        <v>10360</v>
      </c>
      <c r="BV497" s="3" t="str">
        <f>HYPERLINK("https://api.typeform.com/responses/files/85f54bdfedd9362f945090ce11ed9e67ca1c073d30dedc6c0c07697cfecbfa2f/IMG_20220125_130741.jpg")</f>
        <v>https://api.typeform.com/responses/files/85f54bdfedd9362f945090ce11ed9e67ca1c073d30dedc6c0c07697cfecbfa2f/IMG_20220125_130741.jpg</v>
      </c>
      <c r="BW497" t="b">
        <v>1</v>
      </c>
      <c r="BX497" t="s">
        <v>1394</v>
      </c>
      <c r="BY497" t="s">
        <v>140</v>
      </c>
      <c r="CA497" t="s">
        <v>1395</v>
      </c>
      <c r="CD497">
        <v>0.0</v>
      </c>
      <c r="CF497" t="b">
        <v>1</v>
      </c>
      <c r="CG497" t="b">
        <v>0</v>
      </c>
      <c r="CH497" t="s">
        <v>2553</v>
      </c>
      <c r="CJ497" t="b">
        <v>1</v>
      </c>
      <c r="CK497" t="b">
        <v>1</v>
      </c>
      <c r="CL497" t="s">
        <v>198</v>
      </c>
      <c r="CM497" t="s">
        <v>198</v>
      </c>
      <c r="CO497" t="s">
        <v>2888</v>
      </c>
      <c r="CR497" t="b">
        <v>1</v>
      </c>
      <c r="CT497">
        <v>0.0</v>
      </c>
      <c r="CU497">
        <v>0.0</v>
      </c>
      <c r="CX497" s="4" t="s">
        <v>10361</v>
      </c>
      <c r="CZ497" s="5">
        <v>44586.766064814816</v>
      </c>
      <c r="DA497" t="s">
        <v>10362</v>
      </c>
    </row>
    <row r="498">
      <c r="A498" t="s">
        <v>98</v>
      </c>
      <c r="D498" t="s">
        <v>10363</v>
      </c>
      <c r="E498" t="s">
        <v>10364</v>
      </c>
      <c r="F498" s="2">
        <v>38624.0</v>
      </c>
      <c r="G498" t="s">
        <v>1466</v>
      </c>
      <c r="I498" s="3" t="str">
        <f>HYPERLINK("https://api.typeform.com/responses/files/f6a793e2fe96f1747d258623221fe69b2803f680a690b1004422a3fd3d32c3d0/Photo_on_1_20_22_at_10.08_AM.jpg")</f>
        <v>https://api.typeform.com/responses/files/f6a793e2fe96f1747d258623221fe69b2803f680a690b1004422a3fd3d32c3d0/Photo_on_1_20_22_at_10.08_AM.jpg</v>
      </c>
      <c r="J498" t="s">
        <v>10365</v>
      </c>
      <c r="K498" t="b">
        <v>1</v>
      </c>
      <c r="L498" s="4" t="s">
        <v>10366</v>
      </c>
      <c r="M498" t="s">
        <v>10367</v>
      </c>
      <c r="N498" t="s">
        <v>149</v>
      </c>
      <c r="O498" t="s">
        <v>10368</v>
      </c>
      <c r="P498" t="s">
        <v>10369</v>
      </c>
      <c r="Q498" t="s">
        <v>189</v>
      </c>
      <c r="R498" t="s">
        <v>10370</v>
      </c>
      <c r="S498" s="4" t="s">
        <v>10371</v>
      </c>
      <c r="T498" s="4" t="s">
        <v>10372</v>
      </c>
      <c r="U498" t="s">
        <v>1674</v>
      </c>
      <c r="V498" t="s">
        <v>10373</v>
      </c>
      <c r="W498" t="s">
        <v>113</v>
      </c>
      <c r="Y498" t="s">
        <v>158</v>
      </c>
      <c r="Z498" t="s">
        <v>262</v>
      </c>
      <c r="AC498" s="3" t="str">
        <f>HYPERLINK("https://api.typeform.com/responses/files/dc5e3fb426367f091da837cddd9903d01ed06c218aaab2edc9f810fadf110f0b/Alex_Aquino_transcript__1_.pdf")</f>
        <v>https://api.typeform.com/responses/files/dc5e3fb426367f091da837cddd9903d01ed06c218aaab2edc9f810fadf110f0b/Alex_Aquino_transcript__1_.pdf</v>
      </c>
      <c r="AD498" t="s">
        <v>118</v>
      </c>
      <c r="AE498" t="s">
        <v>781</v>
      </c>
      <c r="AF498" t="s">
        <v>10374</v>
      </c>
      <c r="AG498">
        <v>4.0</v>
      </c>
      <c r="AH498" t="s">
        <v>10375</v>
      </c>
      <c r="AI498" t="s">
        <v>121</v>
      </c>
      <c r="AK498" t="s">
        <v>10376</v>
      </c>
      <c r="AL498" t="s">
        <v>967</v>
      </c>
      <c r="AO498" t="s">
        <v>125</v>
      </c>
      <c r="AP498">
        <v>1.0</v>
      </c>
      <c r="AQ498" t="s">
        <v>2240</v>
      </c>
      <c r="AR498" t="s">
        <v>10377</v>
      </c>
      <c r="AS498" t="b">
        <v>1</v>
      </c>
      <c r="AT498" t="b">
        <v>0</v>
      </c>
      <c r="AV498">
        <v>3.0</v>
      </c>
      <c r="AW498" t="b">
        <v>1</v>
      </c>
      <c r="AX498" s="4" t="s">
        <v>130</v>
      </c>
      <c r="AY498" t="s">
        <v>706</v>
      </c>
      <c r="AZ498" t="b">
        <v>1</v>
      </c>
      <c r="BA498" t="b">
        <v>0</v>
      </c>
      <c r="BD498" t="s">
        <v>10378</v>
      </c>
      <c r="BH498" t="s">
        <v>132</v>
      </c>
      <c r="BI498">
        <v>5.0</v>
      </c>
      <c r="BJ498" t="s">
        <v>10379</v>
      </c>
      <c r="BK498">
        <v>5.0</v>
      </c>
      <c r="BL498">
        <v>6.0</v>
      </c>
      <c r="BM498" t="s">
        <v>10380</v>
      </c>
      <c r="BN498">
        <v>5.0</v>
      </c>
      <c r="BO498">
        <v>6.0</v>
      </c>
      <c r="BP498" t="s">
        <v>10381</v>
      </c>
      <c r="BQ498" t="s">
        <v>10382</v>
      </c>
      <c r="BR498" t="s">
        <v>10383</v>
      </c>
      <c r="BS498" t="s">
        <v>10384</v>
      </c>
      <c r="BU498" t="s">
        <v>10385</v>
      </c>
      <c r="BV498" s="3" t="str">
        <f>HYPERLINK("https://api.typeform.com/responses/files/b7de81539fbc8115338a3b1c7b1d42ced49c22408e93d3e577b8af0526b77a2d/20220125_163528.jpg")</f>
        <v>https://api.typeform.com/responses/files/b7de81539fbc8115338a3b1c7b1d42ced49c22408e93d3e577b8af0526b77a2d/20220125_163528.jpg</v>
      </c>
      <c r="BW498" t="b">
        <v>1</v>
      </c>
      <c r="BX498" t="s">
        <v>1394</v>
      </c>
      <c r="BY498" t="s">
        <v>140</v>
      </c>
      <c r="CA498" t="s">
        <v>1395</v>
      </c>
      <c r="CD498">
        <v>0.0</v>
      </c>
      <c r="CF498" t="b">
        <v>1</v>
      </c>
      <c r="CG498" t="b">
        <v>1</v>
      </c>
      <c r="CH498" t="s">
        <v>168</v>
      </c>
      <c r="CJ498" t="b">
        <v>1</v>
      </c>
      <c r="CK498" t="b">
        <v>1</v>
      </c>
      <c r="CL498" t="s">
        <v>198</v>
      </c>
      <c r="CM498" t="s">
        <v>413</v>
      </c>
      <c r="CO498" t="s">
        <v>388</v>
      </c>
      <c r="CQ498" t="s">
        <v>3213</v>
      </c>
      <c r="CR498" t="b">
        <v>1</v>
      </c>
      <c r="CT498">
        <v>0.0</v>
      </c>
      <c r="CU498">
        <v>0.0</v>
      </c>
      <c r="CX498" s="4" t="s">
        <v>2199</v>
      </c>
      <c r="CZ498" s="5">
        <v>44587.12907407407</v>
      </c>
      <c r="DA498" t="s">
        <v>10386</v>
      </c>
    </row>
    <row r="499">
      <c r="A499" t="s">
        <v>98</v>
      </c>
      <c r="D499" t="s">
        <v>10387</v>
      </c>
      <c r="E499" t="s">
        <v>10388</v>
      </c>
      <c r="F499" s="2">
        <v>38617.0</v>
      </c>
      <c r="G499" t="s">
        <v>1466</v>
      </c>
      <c r="I499" s="3" t="str">
        <f>HYPERLINK("https://api.typeform.com/responses/files/b5c16a1d786e2255d617ed0137c0d79188e643df7c232c5a9222744f6ef4d558/IMG_20220126_064746.jpg")</f>
        <v>https://api.typeform.com/responses/files/b5c16a1d786e2255d617ed0137c0d79188e643df7c232c5a9222744f6ef4d558/IMG_20220126_064746.jpg</v>
      </c>
      <c r="J499" t="s">
        <v>10389</v>
      </c>
      <c r="K499" t="b">
        <v>1</v>
      </c>
      <c r="L499" s="4" t="s">
        <v>10390</v>
      </c>
      <c r="M499" t="s">
        <v>10391</v>
      </c>
      <c r="N499" t="s">
        <v>149</v>
      </c>
      <c r="O499" t="s">
        <v>10392</v>
      </c>
      <c r="P499" t="s">
        <v>10393</v>
      </c>
      <c r="Q499" t="s">
        <v>189</v>
      </c>
      <c r="R499" t="s">
        <v>10394</v>
      </c>
      <c r="S499" t="s">
        <v>10391</v>
      </c>
      <c r="T499" s="4" t="s">
        <v>10395</v>
      </c>
      <c r="U499" t="s">
        <v>1751</v>
      </c>
      <c r="V499" t="s">
        <v>1778</v>
      </c>
      <c r="W499" t="s">
        <v>113</v>
      </c>
      <c r="Y499" t="s">
        <v>158</v>
      </c>
      <c r="Z499" t="s">
        <v>262</v>
      </c>
      <c r="AC499" s="3" t="str">
        <f>HYPERLINK("https://api.typeform.com/responses/files/aff12147369d3862d1781062b351982a164b5b898abfaafb2f1dcc0cecfc48b9/Francisco_D._transcript.pdf")</f>
        <v>https://api.typeform.com/responses/files/aff12147369d3862d1781062b351982a164b5b898abfaafb2f1dcc0cecfc48b9/Francisco_D._transcript.pdf</v>
      </c>
      <c r="AD499" t="s">
        <v>118</v>
      </c>
      <c r="AE499" t="s">
        <v>729</v>
      </c>
      <c r="AF499" t="s">
        <v>197</v>
      </c>
      <c r="AG499">
        <v>12.0</v>
      </c>
      <c r="AH499" s="4" t="s">
        <v>130</v>
      </c>
      <c r="AI499" t="s">
        <v>162</v>
      </c>
      <c r="AL499" t="s">
        <v>1043</v>
      </c>
      <c r="AO499" t="s">
        <v>335</v>
      </c>
      <c r="AP499">
        <v>5.0</v>
      </c>
      <c r="AQ499" t="s">
        <v>1070</v>
      </c>
      <c r="AR499" t="s">
        <v>10396</v>
      </c>
      <c r="AS499" t="b">
        <v>0</v>
      </c>
      <c r="AV499">
        <v>6.0</v>
      </c>
      <c r="AW499" t="b">
        <v>0</v>
      </c>
      <c r="AZ499" t="b">
        <v>0</v>
      </c>
      <c r="BA499" t="b">
        <v>0</v>
      </c>
      <c r="BD499" t="s">
        <v>127</v>
      </c>
      <c r="BH499" t="s">
        <v>132</v>
      </c>
      <c r="BI499">
        <v>3.0</v>
      </c>
      <c r="BJ499" t="s">
        <v>6515</v>
      </c>
      <c r="BK499">
        <v>6.0</v>
      </c>
      <c r="BL499">
        <v>3.0</v>
      </c>
      <c r="BM499" t="s">
        <v>10397</v>
      </c>
      <c r="BN499">
        <v>3.0</v>
      </c>
      <c r="BO499">
        <v>4.0</v>
      </c>
      <c r="BP499" t="s">
        <v>10398</v>
      </c>
      <c r="BQ499" t="s">
        <v>3728</v>
      </c>
      <c r="BR499" t="s">
        <v>10399</v>
      </c>
      <c r="BS499" t="s">
        <v>10400</v>
      </c>
      <c r="BU499" t="s">
        <v>10401</v>
      </c>
      <c r="BV499" s="3" t="str">
        <f>HYPERLINK("https://api.typeform.com/responses/files/86335834637bd8bd352365c0bcb8b6f645716b383c5c117e86f93533d72d3578/SPEAKHIRE_Parent.Guardian_Consent_Form.pdf")</f>
        <v>https://api.typeform.com/responses/files/86335834637bd8bd352365c0bcb8b6f645716b383c5c117e86f93533d72d3578/SPEAKHIRE_Parent.Guardian_Consent_Form.pdf</v>
      </c>
      <c r="BW499" t="b">
        <v>1</v>
      </c>
      <c r="BX499" t="s">
        <v>1394</v>
      </c>
      <c r="BY499" t="s">
        <v>140</v>
      </c>
      <c r="CA499" t="s">
        <v>1395</v>
      </c>
      <c r="CD499">
        <v>0.0</v>
      </c>
      <c r="CF499" t="b">
        <v>0</v>
      </c>
      <c r="CG499" t="b">
        <v>0</v>
      </c>
      <c r="CH499" t="s">
        <v>168</v>
      </c>
      <c r="CJ499" t="b">
        <v>0</v>
      </c>
      <c r="CK499" t="b">
        <v>0</v>
      </c>
      <c r="CL499" t="s">
        <v>541</v>
      </c>
      <c r="CM499" t="s">
        <v>387</v>
      </c>
      <c r="CO499" t="s">
        <v>1635</v>
      </c>
      <c r="CR499" t="b">
        <v>1</v>
      </c>
      <c r="CT499">
        <v>0.0</v>
      </c>
      <c r="CU499">
        <v>1.0</v>
      </c>
      <c r="CX499" s="4" t="s">
        <v>10402</v>
      </c>
      <c r="CZ499" s="5">
        <v>44587.584131944444</v>
      </c>
      <c r="DA499" t="s">
        <v>10403</v>
      </c>
    </row>
    <row r="500">
      <c r="A500" t="s">
        <v>98</v>
      </c>
      <c r="D500" t="s">
        <v>10404</v>
      </c>
      <c r="E500" t="s">
        <v>10405</v>
      </c>
      <c r="F500" s="2">
        <v>37641.0</v>
      </c>
      <c r="G500" t="s">
        <v>1466</v>
      </c>
      <c r="I500" s="3" t="str">
        <f>HYPERLINK("https://api.typeform.com/responses/files/94119a65fbf8fdeefbc9368e53caf10475d2561120b1db6ca7e8febc1cc3462c/1.jpg")</f>
        <v>https://api.typeform.com/responses/files/94119a65fbf8fdeefbc9368e53caf10475d2561120b1db6ca7e8febc1cc3462c/1.jpg</v>
      </c>
      <c r="J500" t="s">
        <v>10406</v>
      </c>
      <c r="K500" t="b">
        <v>1</v>
      </c>
      <c r="L500" s="4" t="s">
        <v>10407</v>
      </c>
      <c r="M500" t="s">
        <v>10408</v>
      </c>
      <c r="N500" t="s">
        <v>105</v>
      </c>
      <c r="P500" t="s">
        <v>10409</v>
      </c>
      <c r="Q500" t="s">
        <v>189</v>
      </c>
      <c r="R500" t="s">
        <v>10410</v>
      </c>
      <c r="S500" t="s">
        <v>10411</v>
      </c>
      <c r="T500" s="4" t="s">
        <v>10412</v>
      </c>
      <c r="U500" t="s">
        <v>10019</v>
      </c>
      <c r="V500" t="s">
        <v>10020</v>
      </c>
      <c r="W500" t="s">
        <v>113</v>
      </c>
      <c r="Y500" t="s">
        <v>158</v>
      </c>
      <c r="Z500" t="s">
        <v>159</v>
      </c>
      <c r="AC500" s="3" t="str">
        <f>HYPERLINK("https://api.typeform.com/responses/files/ec058ea1915d185bcbb15d125fd225f9c0f142fb3636b96b6aee1f3b72767f38/Sebastien_Sierra_report_card.pdf")</f>
        <v>https://api.typeform.com/responses/files/ec058ea1915d185bcbb15d125fd225f9c0f142fb3636b96b6aee1f3b72767f38/Sebastien_Sierra_report_card.pdf</v>
      </c>
      <c r="AD500" t="s">
        <v>118</v>
      </c>
      <c r="AE500" t="s">
        <v>781</v>
      </c>
      <c r="AF500" t="s">
        <v>197</v>
      </c>
      <c r="AG500">
        <v>0.0</v>
      </c>
      <c r="AH500" t="s">
        <v>2383</v>
      </c>
      <c r="AI500" t="s">
        <v>121</v>
      </c>
      <c r="AK500" t="s">
        <v>1852</v>
      </c>
      <c r="AL500" t="s">
        <v>1925</v>
      </c>
      <c r="AO500" t="s">
        <v>125</v>
      </c>
      <c r="AP500">
        <v>6.0</v>
      </c>
      <c r="AQ500" t="s">
        <v>4222</v>
      </c>
      <c r="AR500" t="s">
        <v>10413</v>
      </c>
      <c r="AS500" t="b">
        <v>1</v>
      </c>
      <c r="AT500" t="b">
        <v>1</v>
      </c>
      <c r="AV500">
        <v>4.0</v>
      </c>
      <c r="AW500" t="b">
        <v>0</v>
      </c>
      <c r="AZ500" t="b">
        <v>1</v>
      </c>
      <c r="BA500" t="b">
        <v>1</v>
      </c>
      <c r="BB500" t="b">
        <v>0</v>
      </c>
      <c r="BC500" t="s">
        <v>10414</v>
      </c>
      <c r="BH500" t="s">
        <v>132</v>
      </c>
      <c r="BI500">
        <v>4.0</v>
      </c>
      <c r="BJ500" t="s">
        <v>10415</v>
      </c>
      <c r="BK500">
        <v>4.0</v>
      </c>
      <c r="BL500">
        <v>5.0</v>
      </c>
      <c r="BM500" t="s">
        <v>10416</v>
      </c>
      <c r="BN500">
        <v>5.0</v>
      </c>
      <c r="BO500">
        <v>5.0</v>
      </c>
      <c r="BP500" t="s">
        <v>10417</v>
      </c>
      <c r="BQ500" t="s">
        <v>1335</v>
      </c>
      <c r="BR500" t="s">
        <v>10418</v>
      </c>
      <c r="BS500" t="s">
        <v>10419</v>
      </c>
      <c r="BU500" t="s">
        <v>10420</v>
      </c>
      <c r="BV500" s="3" t="str">
        <f>HYPERLINK("https://api.typeform.com/responses/files/9ded58571ddceb33f599b7981cc22ba3c124ab7d595c09360e9e4a447005735e/Sebastien_Sierra_consent_form.pdf")</f>
        <v>https://api.typeform.com/responses/files/9ded58571ddceb33f599b7981cc22ba3c124ab7d595c09360e9e4a447005735e/Sebastien_Sierra_consent_form.pdf</v>
      </c>
      <c r="BW500" t="b">
        <v>1</v>
      </c>
      <c r="BX500" t="s">
        <v>1394</v>
      </c>
      <c r="BY500" t="s">
        <v>140</v>
      </c>
      <c r="CA500" t="s">
        <v>1395</v>
      </c>
      <c r="CD500">
        <v>0.0</v>
      </c>
      <c r="CF500" t="b">
        <v>1</v>
      </c>
      <c r="CG500" t="b">
        <v>0</v>
      </c>
      <c r="CH500" t="s">
        <v>9219</v>
      </c>
      <c r="CJ500" t="b">
        <v>0</v>
      </c>
      <c r="CK500" t="b">
        <v>1</v>
      </c>
      <c r="CL500" t="s">
        <v>541</v>
      </c>
      <c r="CO500" t="s">
        <v>200</v>
      </c>
      <c r="CR500" t="b">
        <v>1</v>
      </c>
      <c r="CT500">
        <v>2.0</v>
      </c>
      <c r="CU500">
        <v>0.0</v>
      </c>
      <c r="CX500" t="s">
        <v>258</v>
      </c>
      <c r="CZ500" s="5">
        <v>44587.70309027778</v>
      </c>
      <c r="DA500" t="s">
        <v>10421</v>
      </c>
    </row>
    <row r="501">
      <c r="A501" t="s">
        <v>98</v>
      </c>
      <c r="D501" t="s">
        <v>2638</v>
      </c>
      <c r="E501" t="s">
        <v>1314</v>
      </c>
      <c r="F501" s="2">
        <v>38154.0</v>
      </c>
      <c r="G501" t="s">
        <v>1466</v>
      </c>
      <c r="I501" s="3" t="str">
        <f>HYPERLINK("https://api.typeform.com/responses/files/ace41513e315ecbf8468fa7428dabbae826db180ed23e58e32e43f186563f204/IMG_9532__2_.jpg")</f>
        <v>https://api.typeform.com/responses/files/ace41513e315ecbf8468fa7428dabbae826db180ed23e58e32e43f186563f204/IMG_9532__2_.jpg</v>
      </c>
      <c r="J501" t="s">
        <v>10422</v>
      </c>
      <c r="K501" t="b">
        <v>1</v>
      </c>
      <c r="L501" s="4" t="s">
        <v>10423</v>
      </c>
      <c r="M501" t="s">
        <v>10424</v>
      </c>
      <c r="N501" t="s">
        <v>149</v>
      </c>
      <c r="P501" t="s">
        <v>10425</v>
      </c>
      <c r="Q501" t="s">
        <v>292</v>
      </c>
      <c r="R501" t="s">
        <v>10426</v>
      </c>
      <c r="S501" t="s">
        <v>10424</v>
      </c>
      <c r="T501" s="4" t="s">
        <v>10427</v>
      </c>
      <c r="U501" t="s">
        <v>5964</v>
      </c>
      <c r="V501" t="s">
        <v>10428</v>
      </c>
      <c r="W501" t="s">
        <v>261</v>
      </c>
      <c r="Y501" t="s">
        <v>158</v>
      </c>
      <c r="Z501" t="s">
        <v>262</v>
      </c>
      <c r="AC501" s="3" t="str">
        <f>HYPERLINK("https://api.typeform.com/responses/files/4c001fa9a4d819b800edf4fbec6b21201a663d14465c6f6e27a4cc89cad8720f/Screenshot_2022_01_27_2.17.33_PM.png")</f>
        <v>https://api.typeform.com/responses/files/4c001fa9a4d819b800edf4fbec6b21201a663d14465c6f6e27a4cc89cad8720f/Screenshot_2022_01_27_2.17.33_PM.png</v>
      </c>
      <c r="AD501" t="s">
        <v>118</v>
      </c>
      <c r="AE501" t="s">
        <v>1780</v>
      </c>
      <c r="AI501" t="s">
        <v>543</v>
      </c>
      <c r="AK501" t="s">
        <v>179</v>
      </c>
      <c r="AL501" t="s">
        <v>199</v>
      </c>
      <c r="AO501" t="s">
        <v>335</v>
      </c>
      <c r="AP501">
        <v>4.0</v>
      </c>
      <c r="AQ501" t="s">
        <v>4222</v>
      </c>
      <c r="AR501" t="s">
        <v>10429</v>
      </c>
      <c r="AS501" t="b">
        <v>1</v>
      </c>
      <c r="AT501" t="b">
        <v>0</v>
      </c>
      <c r="AV501">
        <v>6.0</v>
      </c>
      <c r="AW501" t="b">
        <v>1</v>
      </c>
      <c r="AX501" t="s">
        <v>1902</v>
      </c>
      <c r="AY501" s="4" t="s">
        <v>518</v>
      </c>
      <c r="AZ501" t="b">
        <v>0</v>
      </c>
      <c r="BA501" t="b">
        <v>0</v>
      </c>
      <c r="BD501" t="s">
        <v>10430</v>
      </c>
      <c r="BH501" t="s">
        <v>132</v>
      </c>
      <c r="BI501">
        <v>4.0</v>
      </c>
      <c r="BJ501" t="s">
        <v>10431</v>
      </c>
      <c r="BK501">
        <v>3.0</v>
      </c>
      <c r="BL501">
        <v>4.0</v>
      </c>
      <c r="BM501" t="s">
        <v>10432</v>
      </c>
      <c r="BN501">
        <v>3.0</v>
      </c>
      <c r="BO501">
        <v>3.0</v>
      </c>
      <c r="BP501" t="s">
        <v>10433</v>
      </c>
      <c r="BQ501" t="s">
        <v>3728</v>
      </c>
      <c r="BR501" t="s">
        <v>10434</v>
      </c>
      <c r="BS501" t="s">
        <v>10435</v>
      </c>
      <c r="BU501" t="s">
        <v>606</v>
      </c>
      <c r="BV501" s="3" t="str">
        <f>HYPERLINK("https://api.typeform.com/responses/files/ff346942e175599f2bb982d6de3ddd67dfa28b44a7532008c4dcd87040b858fb/Screenshot_2022_01_27_2.17.33_PM.png")</f>
        <v>https://api.typeform.com/responses/files/ff346942e175599f2bb982d6de3ddd67dfa28b44a7532008c4dcd87040b858fb/Screenshot_2022_01_27_2.17.33_PM.png</v>
      </c>
      <c r="BW501" t="b">
        <v>1</v>
      </c>
      <c r="BX501" t="s">
        <v>1394</v>
      </c>
      <c r="BY501" t="s">
        <v>140</v>
      </c>
      <c r="CA501" t="s">
        <v>1395</v>
      </c>
      <c r="CD501">
        <v>0.0</v>
      </c>
      <c r="CF501" t="b">
        <v>1</v>
      </c>
      <c r="CG501" t="b">
        <v>1</v>
      </c>
      <c r="CH501" t="s">
        <v>10436</v>
      </c>
      <c r="CJ501" t="b">
        <v>1</v>
      </c>
      <c r="CK501" t="b">
        <v>0</v>
      </c>
      <c r="CL501" t="s">
        <v>2301</v>
      </c>
      <c r="CN501" t="s">
        <v>10437</v>
      </c>
      <c r="CO501" t="s">
        <v>200</v>
      </c>
      <c r="CR501" t="b">
        <v>1</v>
      </c>
      <c r="CT501">
        <v>0.0</v>
      </c>
      <c r="CU501">
        <v>0.0</v>
      </c>
      <c r="CX501" t="s">
        <v>3585</v>
      </c>
      <c r="CZ501" s="5">
        <v>44588.84305555555</v>
      </c>
      <c r="DA501" t="s">
        <v>10438</v>
      </c>
    </row>
    <row r="502">
      <c r="A502" t="s">
        <v>98</v>
      </c>
      <c r="D502" t="s">
        <v>10439</v>
      </c>
      <c r="E502" t="s">
        <v>10440</v>
      </c>
      <c r="F502" s="2">
        <v>37663.0</v>
      </c>
      <c r="G502" t="s">
        <v>1360</v>
      </c>
      <c r="I502" s="3" t="str">
        <f>HYPERLINK("https://api.typeform.com/responses/files/c5566b66cde05b52308c5efbeb5445fc18130d4b035f4e02effe05292e9b1e62/IMG_20220126_175920.jpg")</f>
        <v>https://api.typeform.com/responses/files/c5566b66cde05b52308c5efbeb5445fc18130d4b035f4e02effe05292e9b1e62/IMG_20220126_175920.jpg</v>
      </c>
      <c r="J502" t="s">
        <v>10441</v>
      </c>
      <c r="K502" t="b">
        <v>1</v>
      </c>
      <c r="L502" s="4" t="s">
        <v>10442</v>
      </c>
      <c r="M502" t="s">
        <v>10443</v>
      </c>
      <c r="N502" t="s">
        <v>149</v>
      </c>
      <c r="P502" t="s">
        <v>10444</v>
      </c>
      <c r="Q502" t="s">
        <v>189</v>
      </c>
      <c r="R502" t="s">
        <v>10445</v>
      </c>
      <c r="S502" t="s">
        <v>10446</v>
      </c>
      <c r="T502" s="4" t="s">
        <v>10447</v>
      </c>
      <c r="U502" t="s">
        <v>1674</v>
      </c>
      <c r="V502" t="s">
        <v>10333</v>
      </c>
      <c r="W502" t="s">
        <v>113</v>
      </c>
      <c r="Y502" t="s">
        <v>158</v>
      </c>
      <c r="Z502" t="s">
        <v>262</v>
      </c>
      <c r="AC502" s="3" t="str">
        <f>HYPERLINK("https://api.typeform.com/responses/files/1df7f3c59517709e049ea8f18214b1c7e447405fbfa186856bfc8b62e82c9492/Aminata_K.__transcript.pdf")</f>
        <v>https://api.typeform.com/responses/files/1df7f3c59517709e049ea8f18214b1c7e447405fbfa186856bfc8b62e82c9492/Aminata_K.__transcript.pdf</v>
      </c>
      <c r="AD502" t="s">
        <v>118</v>
      </c>
      <c r="AE502" t="s">
        <v>1220</v>
      </c>
      <c r="AF502" t="s">
        <v>1650</v>
      </c>
      <c r="AG502">
        <v>17.0</v>
      </c>
      <c r="AH502" s="4" t="s">
        <v>4946</v>
      </c>
      <c r="AI502" t="s">
        <v>121</v>
      </c>
      <c r="AK502" t="s">
        <v>139</v>
      </c>
      <c r="AL502" t="s">
        <v>10448</v>
      </c>
      <c r="AO502" t="s">
        <v>335</v>
      </c>
      <c r="AP502">
        <v>6.0</v>
      </c>
      <c r="AQ502" t="s">
        <v>303</v>
      </c>
      <c r="AR502" t="s">
        <v>4722</v>
      </c>
      <c r="AS502" t="b">
        <v>0</v>
      </c>
      <c r="AV502">
        <v>1.0</v>
      </c>
      <c r="AW502" t="b">
        <v>0</v>
      </c>
      <c r="AZ502" t="b">
        <v>0</v>
      </c>
      <c r="BA502" t="b">
        <v>0</v>
      </c>
      <c r="BD502" t="s">
        <v>4722</v>
      </c>
      <c r="BH502" t="s">
        <v>132</v>
      </c>
      <c r="BI502">
        <v>1.0</v>
      </c>
      <c r="BJ502" t="s">
        <v>10449</v>
      </c>
      <c r="BK502">
        <v>1.0</v>
      </c>
      <c r="BL502">
        <v>5.0</v>
      </c>
      <c r="BM502" t="s">
        <v>10450</v>
      </c>
      <c r="BN502">
        <v>1.0</v>
      </c>
      <c r="BO502">
        <v>3.0</v>
      </c>
      <c r="BP502" t="s">
        <v>10451</v>
      </c>
      <c r="BQ502" t="s">
        <v>916</v>
      </c>
      <c r="BR502" t="s">
        <v>10452</v>
      </c>
      <c r="BS502" t="s">
        <v>10453</v>
      </c>
      <c r="BU502" t="s">
        <v>10454</v>
      </c>
      <c r="BV502" s="3" t="str">
        <f>HYPERLINK("https://api.typeform.com/responses/files/d1269f972908004454b2bb395323ebd4258ce4444cf9ed5507d21069a2382465/IMG_6214.JPG")</f>
        <v>https://api.typeform.com/responses/files/d1269f972908004454b2bb395323ebd4258ce4444cf9ed5507d21069a2382465/IMG_6214.JPG</v>
      </c>
      <c r="BW502" t="b">
        <v>1</v>
      </c>
      <c r="BX502" t="s">
        <v>1394</v>
      </c>
      <c r="BY502" t="s">
        <v>140</v>
      </c>
      <c r="CA502" t="s">
        <v>1395</v>
      </c>
      <c r="CD502">
        <v>0.0</v>
      </c>
      <c r="CF502" t="b">
        <v>1</v>
      </c>
      <c r="CG502" t="b">
        <v>1</v>
      </c>
      <c r="CH502" t="s">
        <v>168</v>
      </c>
      <c r="CJ502" t="b">
        <v>1</v>
      </c>
      <c r="CK502" t="b">
        <v>1</v>
      </c>
      <c r="CL502" t="s">
        <v>300</v>
      </c>
      <c r="CO502" t="s">
        <v>124</v>
      </c>
      <c r="CR502" t="b">
        <v>1</v>
      </c>
      <c r="CT502">
        <v>0.0</v>
      </c>
      <c r="CU502">
        <v>0.0</v>
      </c>
      <c r="CX502" s="4" t="s">
        <v>10455</v>
      </c>
      <c r="CZ502" s="5">
        <v>44589.61199074074</v>
      </c>
      <c r="DA502" t="s">
        <v>10456</v>
      </c>
    </row>
    <row r="503">
      <c r="A503" t="s">
        <v>98</v>
      </c>
      <c r="D503" t="s">
        <v>10457</v>
      </c>
      <c r="E503" t="s">
        <v>10458</v>
      </c>
      <c r="F503" s="2">
        <v>37386.0</v>
      </c>
      <c r="G503" t="s">
        <v>1360</v>
      </c>
      <c r="I503" s="3" t="str">
        <f>HYPERLINK("https://api.typeform.com/responses/files/71f326f87cd72572e985fdba49058d4028747bb73b767949ec9b703eebccdc63/IMG_20220128_094613.jpg")</f>
        <v>https://api.typeform.com/responses/files/71f326f87cd72572e985fdba49058d4028747bb73b767949ec9b703eebccdc63/IMG_20220128_094613.jpg</v>
      </c>
      <c r="J503" t="s">
        <v>10459</v>
      </c>
      <c r="K503" t="b">
        <v>1</v>
      </c>
      <c r="L503" s="4" t="s">
        <v>10460</v>
      </c>
      <c r="M503" t="s">
        <v>10461</v>
      </c>
      <c r="N503" t="s">
        <v>149</v>
      </c>
      <c r="P503" t="s">
        <v>10462</v>
      </c>
      <c r="Q503" t="s">
        <v>1510</v>
      </c>
      <c r="R503" t="s">
        <v>10463</v>
      </c>
      <c r="S503" t="s">
        <v>10464</v>
      </c>
      <c r="T503" s="4" t="s">
        <v>10465</v>
      </c>
      <c r="U503" t="s">
        <v>10218</v>
      </c>
      <c r="V503" t="s">
        <v>10466</v>
      </c>
      <c r="W503" t="s">
        <v>113</v>
      </c>
      <c r="Y503" t="s">
        <v>158</v>
      </c>
      <c r="Z503" t="s">
        <v>262</v>
      </c>
      <c r="AC503" s="3" t="str">
        <f>HYPERLINK("https://api.typeform.com/responses/files/8e04e59c0ce118786507dccfe23655bd59049aa3905d5792dd41b944f35ee8ba/Kadidiatou_T.__transcript.pdf")</f>
        <v>https://api.typeform.com/responses/files/8e04e59c0ce118786507dccfe23655bd59049aa3905d5792dd41b944f35ee8ba/Kadidiatou_T.__transcript.pdf</v>
      </c>
      <c r="AD503" t="s">
        <v>118</v>
      </c>
      <c r="AE503" t="s">
        <v>729</v>
      </c>
      <c r="AF503" t="s">
        <v>936</v>
      </c>
      <c r="AG503">
        <v>17.0</v>
      </c>
      <c r="AH503" t="s">
        <v>10467</v>
      </c>
      <c r="AI503" t="s">
        <v>162</v>
      </c>
      <c r="AK503" t="s">
        <v>10468</v>
      </c>
      <c r="AL503" t="s">
        <v>10469</v>
      </c>
      <c r="AO503" t="s">
        <v>335</v>
      </c>
      <c r="AP503">
        <v>5.0</v>
      </c>
      <c r="AQ503" t="s">
        <v>126</v>
      </c>
      <c r="AR503" t="s">
        <v>10470</v>
      </c>
      <c r="AS503" t="b">
        <v>0</v>
      </c>
      <c r="AV503">
        <v>5.0</v>
      </c>
      <c r="AW503" t="b">
        <v>1</v>
      </c>
      <c r="AX503" t="s">
        <v>1902</v>
      </c>
      <c r="AY503" t="s">
        <v>706</v>
      </c>
      <c r="AZ503" t="b">
        <v>0</v>
      </c>
      <c r="BA503" t="b">
        <v>1</v>
      </c>
      <c r="BB503" t="b">
        <v>0</v>
      </c>
      <c r="BC503" t="s">
        <v>10471</v>
      </c>
      <c r="BH503" t="s">
        <v>132</v>
      </c>
      <c r="BI503">
        <v>1.0</v>
      </c>
      <c r="BJ503" t="s">
        <v>679</v>
      </c>
      <c r="BK503">
        <v>2.0</v>
      </c>
      <c r="BL503">
        <v>2.0</v>
      </c>
      <c r="BM503" t="s">
        <v>10472</v>
      </c>
      <c r="BN503">
        <v>2.0</v>
      </c>
      <c r="BO503">
        <v>4.0</v>
      </c>
      <c r="BP503" t="s">
        <v>10473</v>
      </c>
      <c r="BQ503" t="s">
        <v>3728</v>
      </c>
      <c r="BR503" t="s">
        <v>10474</v>
      </c>
      <c r="BS503" t="s">
        <v>10475</v>
      </c>
      <c r="BU503" t="s">
        <v>10476</v>
      </c>
      <c r="BV503" s="3" t="str">
        <f>HYPERLINK("https://api.typeform.com/responses/files/d5b1993e862a48ecf6ed17862c6c7c26d4fa67edfff20b0b5214fd76a8bc39d3/IMG_1791.jpg")</f>
        <v>https://api.typeform.com/responses/files/d5b1993e862a48ecf6ed17862c6c7c26d4fa67edfff20b0b5214fd76a8bc39d3/IMG_1791.jpg</v>
      </c>
      <c r="BW503" t="b">
        <v>1</v>
      </c>
      <c r="BX503" t="s">
        <v>1394</v>
      </c>
      <c r="BY503" t="s">
        <v>140</v>
      </c>
      <c r="CA503" t="s">
        <v>1395</v>
      </c>
      <c r="CD503">
        <v>0.0</v>
      </c>
      <c r="CF503" t="b">
        <v>1</v>
      </c>
      <c r="CG503" t="b">
        <v>0</v>
      </c>
      <c r="CH503" t="s">
        <v>10477</v>
      </c>
      <c r="CJ503" t="b">
        <v>0</v>
      </c>
      <c r="CK503" t="b">
        <v>1</v>
      </c>
      <c r="CL503" t="s">
        <v>300</v>
      </c>
      <c r="CO503" t="s">
        <v>124</v>
      </c>
      <c r="CR503" t="b">
        <v>1</v>
      </c>
      <c r="CT503">
        <v>0.0</v>
      </c>
      <c r="CU503">
        <v>0.0</v>
      </c>
      <c r="CX503" t="s">
        <v>10478</v>
      </c>
      <c r="CZ503" s="5">
        <v>44589.616006944445</v>
      </c>
      <c r="DA503" t="s">
        <v>10479</v>
      </c>
    </row>
    <row r="504">
      <c r="A504" t="s">
        <v>98</v>
      </c>
      <c r="D504" t="s">
        <v>10480</v>
      </c>
      <c r="E504" t="s">
        <v>10481</v>
      </c>
      <c r="F504" s="2">
        <v>37800.0</v>
      </c>
      <c r="G504" t="s">
        <v>1466</v>
      </c>
      <c r="I504" s="3" t="str">
        <f>HYPERLINK("https://api.typeform.com/responses/files/075cb518e7c46c7b6bec902915976c29e7f4a743a7901dad068d9b6d12ab2f2d/IMG_20220128_093735.jpg")</f>
        <v>https://api.typeform.com/responses/files/075cb518e7c46c7b6bec902915976c29e7f4a743a7901dad068d9b6d12ab2f2d/IMG_20220128_093735.jpg</v>
      </c>
      <c r="J504" t="s">
        <v>10482</v>
      </c>
      <c r="K504" t="b">
        <v>1</v>
      </c>
      <c r="L504" s="4" t="s">
        <v>10483</v>
      </c>
      <c r="M504" t="s">
        <v>10484</v>
      </c>
      <c r="N504" t="s">
        <v>149</v>
      </c>
      <c r="O504" t="s">
        <v>10485</v>
      </c>
      <c r="P504" t="s">
        <v>10486</v>
      </c>
      <c r="Q504" t="s">
        <v>152</v>
      </c>
      <c r="R504" t="s">
        <v>10482</v>
      </c>
      <c r="S504" s="4" t="s">
        <v>10214</v>
      </c>
      <c r="T504" s="4" t="s">
        <v>10483</v>
      </c>
      <c r="U504" t="s">
        <v>2027</v>
      </c>
      <c r="V504" t="s">
        <v>10487</v>
      </c>
      <c r="W504" t="s">
        <v>261</v>
      </c>
      <c r="Y504" t="s">
        <v>158</v>
      </c>
      <c r="Z504" t="s">
        <v>262</v>
      </c>
      <c r="AC504" s="3" t="str">
        <f>HYPERLINK("https://api.typeform.com/responses/files/1b08eae7f5b66004213a899dd07318aa3ae43d154805fa4cce03774e5fe3ac2e/IMG_20220128_093735.jpg")</f>
        <v>https://api.typeform.com/responses/files/1b08eae7f5b66004213a899dd07318aa3ae43d154805fa4cce03774e5fe3ac2e/IMG_20220128_093735.jpg</v>
      </c>
      <c r="AD504" t="s">
        <v>118</v>
      </c>
      <c r="AE504" t="s">
        <v>1220</v>
      </c>
      <c r="AF504" t="s">
        <v>2083</v>
      </c>
      <c r="AG504">
        <v>17.0</v>
      </c>
      <c r="AH504" t="s">
        <v>1600</v>
      </c>
      <c r="AI504" t="s">
        <v>386</v>
      </c>
      <c r="AL504" t="s">
        <v>10488</v>
      </c>
      <c r="AO504" t="s">
        <v>486</v>
      </c>
      <c r="AP504">
        <v>4.0</v>
      </c>
      <c r="AQ504" t="s">
        <v>2625</v>
      </c>
      <c r="AR504" t="s">
        <v>3856</v>
      </c>
      <c r="AS504" t="b">
        <v>1</v>
      </c>
      <c r="AT504" t="b">
        <v>0</v>
      </c>
      <c r="AV504">
        <v>4.0</v>
      </c>
      <c r="AW504" t="b">
        <v>0</v>
      </c>
      <c r="AZ504" t="b">
        <v>0</v>
      </c>
      <c r="BA504" t="b">
        <v>1</v>
      </c>
      <c r="BB504" t="b">
        <v>0</v>
      </c>
      <c r="BC504" t="s">
        <v>10489</v>
      </c>
      <c r="BH504" t="s">
        <v>132</v>
      </c>
      <c r="BI504">
        <v>4.0</v>
      </c>
      <c r="BJ504" t="s">
        <v>10490</v>
      </c>
      <c r="BK504">
        <v>6.0</v>
      </c>
      <c r="BL504">
        <v>6.0</v>
      </c>
      <c r="BM504" t="s">
        <v>3856</v>
      </c>
      <c r="BN504">
        <v>5.0</v>
      </c>
      <c r="BO504">
        <v>4.0</v>
      </c>
      <c r="BP504" t="s">
        <v>10490</v>
      </c>
      <c r="BQ504" t="s">
        <v>1050</v>
      </c>
      <c r="BR504" t="s">
        <v>10490</v>
      </c>
      <c r="BS504" t="s">
        <v>10490</v>
      </c>
      <c r="BU504" t="s">
        <v>10490</v>
      </c>
      <c r="BV504" s="3" t="str">
        <f>HYPERLINK("https://api.typeform.com/responses/files/abb6ab0ababe6e81a9056df30fbe0bd73834323c6fd5c8b6005cda5eb9782b28/IMG_20220128_093735.jpg")</f>
        <v>https://api.typeform.com/responses/files/abb6ab0ababe6e81a9056df30fbe0bd73834323c6fd5c8b6005cda5eb9782b28/IMG_20220128_093735.jpg</v>
      </c>
      <c r="BW504" t="b">
        <v>1</v>
      </c>
      <c r="BX504" t="s">
        <v>1394</v>
      </c>
      <c r="BY504" t="s">
        <v>140</v>
      </c>
      <c r="CA504" t="s">
        <v>1395</v>
      </c>
      <c r="CD504">
        <v>0.0</v>
      </c>
      <c r="CF504" t="b">
        <v>1</v>
      </c>
      <c r="CG504" t="b">
        <v>0</v>
      </c>
      <c r="CH504" t="s">
        <v>4869</v>
      </c>
      <c r="CJ504" t="b">
        <v>1</v>
      </c>
      <c r="CK504" t="b">
        <v>1</v>
      </c>
      <c r="CL504" t="s">
        <v>300</v>
      </c>
      <c r="CM504" t="s">
        <v>300</v>
      </c>
      <c r="CO504" t="s">
        <v>2068</v>
      </c>
      <c r="CQ504" t="s">
        <v>300</v>
      </c>
      <c r="CR504" t="b">
        <v>1</v>
      </c>
      <c r="CT504">
        <v>0.0</v>
      </c>
      <c r="CU504">
        <v>0.0</v>
      </c>
      <c r="CX504" s="4" t="s">
        <v>10491</v>
      </c>
      <c r="CZ504" s="5">
        <v>44589.6580787037</v>
      </c>
      <c r="DA504" t="s">
        <v>10492</v>
      </c>
    </row>
    <row r="505">
      <c r="A505" t="s">
        <v>98</v>
      </c>
      <c r="D505" t="s">
        <v>10493</v>
      </c>
      <c r="E505" t="s">
        <v>10494</v>
      </c>
      <c r="F505" s="2">
        <v>38068.0</v>
      </c>
      <c r="G505" t="s">
        <v>1360</v>
      </c>
      <c r="I505" s="3" t="str">
        <f>HYPERLINK("https://api.typeform.com/responses/files/9ecbbf304bc0d9a1e1e6f5a6131e8ee5bdb895e2fcb414c1714691d941c2f12f/66AFC584_D9ED_4D16_9BBB_CA88DD5064CC.JPG")</f>
        <v>https://api.typeform.com/responses/files/9ecbbf304bc0d9a1e1e6f5a6131e8ee5bdb895e2fcb414c1714691d941c2f12f/66AFC584_D9ED_4D16_9BBB_CA88DD5064CC.JPG</v>
      </c>
      <c r="J505" t="s">
        <v>10495</v>
      </c>
      <c r="K505" t="b">
        <v>1</v>
      </c>
      <c r="L505" s="4" t="s">
        <v>10496</v>
      </c>
      <c r="M505" t="s">
        <v>10497</v>
      </c>
      <c r="N505" t="s">
        <v>255</v>
      </c>
      <c r="O505" t="s">
        <v>10498</v>
      </c>
      <c r="P505" t="s">
        <v>10499</v>
      </c>
      <c r="Q505" t="s">
        <v>152</v>
      </c>
      <c r="R505" t="s">
        <v>10500</v>
      </c>
      <c r="S505" t="s">
        <v>10497</v>
      </c>
      <c r="T505" s="4" t="s">
        <v>10501</v>
      </c>
      <c r="U505" t="s">
        <v>1674</v>
      </c>
      <c r="V505" t="s">
        <v>10333</v>
      </c>
      <c r="W505" t="s">
        <v>113</v>
      </c>
      <c r="Y505" t="s">
        <v>158</v>
      </c>
      <c r="Z505" t="s">
        <v>262</v>
      </c>
      <c r="AC505" s="3" t="str">
        <f>HYPERLINK("https://api.typeform.com/responses/files/3a77f018cd079ef65a85a7495ec1f4cdf29b97769f634652ee524749c42a8173/Greisi_Colon_transcript__1_.pdf")</f>
        <v>https://api.typeform.com/responses/files/3a77f018cd079ef65a85a7495ec1f4cdf29b97769f634652ee524749c42a8173/Greisi_Colon_transcript__1_.pdf</v>
      </c>
      <c r="AD505" t="s">
        <v>118</v>
      </c>
      <c r="AE505" t="s">
        <v>729</v>
      </c>
      <c r="AF505" t="s">
        <v>197</v>
      </c>
      <c r="AG505">
        <v>15.0</v>
      </c>
      <c r="AH505" s="4" t="s">
        <v>882</v>
      </c>
      <c r="AI505" t="s">
        <v>162</v>
      </c>
      <c r="AL505" t="s">
        <v>967</v>
      </c>
      <c r="AO505" t="s">
        <v>125</v>
      </c>
      <c r="AP505">
        <v>5.0</v>
      </c>
      <c r="AQ505" t="s">
        <v>1070</v>
      </c>
      <c r="AR505" t="s">
        <v>10502</v>
      </c>
      <c r="AS505" t="b">
        <v>1</v>
      </c>
      <c r="AT505" t="b">
        <v>0</v>
      </c>
      <c r="AV505">
        <v>6.0</v>
      </c>
      <c r="AW505" t="b">
        <v>0</v>
      </c>
      <c r="AZ505" t="b">
        <v>0</v>
      </c>
      <c r="BA505" t="b">
        <v>0</v>
      </c>
      <c r="BD505" t="s">
        <v>10503</v>
      </c>
      <c r="BH505" t="s">
        <v>132</v>
      </c>
      <c r="BI505">
        <v>4.0</v>
      </c>
      <c r="BJ505" t="s">
        <v>10504</v>
      </c>
      <c r="BK505">
        <v>1.0</v>
      </c>
      <c r="BL505">
        <v>5.0</v>
      </c>
      <c r="BM505" t="s">
        <v>10505</v>
      </c>
      <c r="BN505">
        <v>4.0</v>
      </c>
      <c r="BO505">
        <v>5.0</v>
      </c>
      <c r="BP505" t="s">
        <v>10506</v>
      </c>
      <c r="BQ505" t="s">
        <v>3878</v>
      </c>
      <c r="BR505" t="s">
        <v>10507</v>
      </c>
      <c r="BS505" t="s">
        <v>10508</v>
      </c>
      <c r="BU505" t="s">
        <v>10509</v>
      </c>
      <c r="BV505" s="3" t="str">
        <f>HYPERLINK("https://api.typeform.com/responses/files/7be2810d31ed1c8588287a4a81870036be2309c1fe2d22ecbb7a33d4a3da4ed4/unnamed__6_.jpg")</f>
        <v>https://api.typeform.com/responses/files/7be2810d31ed1c8588287a4a81870036be2309c1fe2d22ecbb7a33d4a3da4ed4/unnamed__6_.jpg</v>
      </c>
      <c r="BW505" t="b">
        <v>1</v>
      </c>
      <c r="BX505" t="s">
        <v>1394</v>
      </c>
      <c r="BY505" t="s">
        <v>140</v>
      </c>
      <c r="CA505" t="s">
        <v>1395</v>
      </c>
      <c r="CD505">
        <v>0.0</v>
      </c>
      <c r="CF505" t="b">
        <v>1</v>
      </c>
      <c r="CG505" t="b">
        <v>1</v>
      </c>
      <c r="CH505" t="s">
        <v>10510</v>
      </c>
      <c r="CJ505" t="b">
        <v>0</v>
      </c>
      <c r="CK505" t="b">
        <v>1</v>
      </c>
      <c r="CL505" t="s">
        <v>198</v>
      </c>
      <c r="CO505" t="s">
        <v>200</v>
      </c>
      <c r="CR505" t="b">
        <v>1</v>
      </c>
      <c r="CT505">
        <v>0.0</v>
      </c>
      <c r="CU505">
        <v>2.0</v>
      </c>
      <c r="CX505" s="4" t="s">
        <v>10511</v>
      </c>
      <c r="CZ505" s="5">
        <v>44590.00510416667</v>
      </c>
      <c r="DA505" t="s">
        <v>10512</v>
      </c>
    </row>
    <row r="506">
      <c r="A506" t="s">
        <v>98</v>
      </c>
      <c r="D506" t="s">
        <v>10513</v>
      </c>
      <c r="E506" t="s">
        <v>10514</v>
      </c>
      <c r="F506" s="2">
        <v>38024.0</v>
      </c>
      <c r="G506" t="s">
        <v>1360</v>
      </c>
      <c r="I506" s="3" t="str">
        <f>HYPERLINK("https://api.typeform.com/responses/files/fe6d9f1d5979505fd3c8474a89f3b088597cb153ea4ca470099951108639e1ad/Heather_Nieves_Photo.jpg")</f>
        <v>https://api.typeform.com/responses/files/fe6d9f1d5979505fd3c8474a89f3b088597cb153ea4ca470099951108639e1ad/Heather_Nieves_Photo.jpg</v>
      </c>
      <c r="J506" t="s">
        <v>10515</v>
      </c>
      <c r="K506" t="b">
        <v>1</v>
      </c>
      <c r="L506" s="4" t="s">
        <v>10516</v>
      </c>
      <c r="M506" t="s">
        <v>10517</v>
      </c>
      <c r="N506" t="s">
        <v>255</v>
      </c>
      <c r="P506" t="s">
        <v>10518</v>
      </c>
      <c r="Q506" t="s">
        <v>189</v>
      </c>
      <c r="R506" t="s">
        <v>10519</v>
      </c>
      <c r="S506" t="s">
        <v>10520</v>
      </c>
      <c r="T506" s="4" t="s">
        <v>10521</v>
      </c>
      <c r="U506" t="s">
        <v>10522</v>
      </c>
      <c r="V506" t="s">
        <v>10523</v>
      </c>
      <c r="W506" t="s">
        <v>113</v>
      </c>
      <c r="Y506" t="s">
        <v>158</v>
      </c>
      <c r="Z506" t="s">
        <v>195</v>
      </c>
      <c r="AC506" s="3" t="str">
        <f>HYPERLINK("https://api.typeform.com/responses/files/b1513141944ef5dfdc738ad0d357b2db6a5d2b52f8da131484e9092704695eec/Heather_Nieves_report_card.pdf")</f>
        <v>https://api.typeform.com/responses/files/b1513141944ef5dfdc738ad0d357b2db6a5d2b52f8da131484e9092704695eec/Heather_Nieves_report_card.pdf</v>
      </c>
      <c r="AD506" t="s">
        <v>118</v>
      </c>
      <c r="AE506" t="s">
        <v>1780</v>
      </c>
      <c r="AI506" t="s">
        <v>121</v>
      </c>
      <c r="AL506" t="s">
        <v>621</v>
      </c>
      <c r="AO506" t="s">
        <v>486</v>
      </c>
      <c r="AP506">
        <v>5.0</v>
      </c>
      <c r="AQ506" t="s">
        <v>1520</v>
      </c>
      <c r="AR506" t="s">
        <v>10524</v>
      </c>
      <c r="AS506" t="b">
        <v>1</v>
      </c>
      <c r="AT506" t="b">
        <v>1</v>
      </c>
      <c r="AV506">
        <v>5.0</v>
      </c>
      <c r="AW506" t="b">
        <v>1</v>
      </c>
      <c r="AX506" t="s">
        <v>1902</v>
      </c>
      <c r="AY506" s="4" t="s">
        <v>170</v>
      </c>
      <c r="AZ506" t="b">
        <v>1</v>
      </c>
      <c r="BA506" t="b">
        <v>1</v>
      </c>
      <c r="BB506" t="b">
        <v>1</v>
      </c>
      <c r="BC506" t="s">
        <v>10525</v>
      </c>
      <c r="BH506" t="s">
        <v>132</v>
      </c>
      <c r="BI506">
        <v>3.0</v>
      </c>
      <c r="BJ506" t="s">
        <v>10526</v>
      </c>
      <c r="BK506">
        <v>3.0</v>
      </c>
      <c r="BL506">
        <v>4.0</v>
      </c>
      <c r="BM506" t="s">
        <v>10527</v>
      </c>
      <c r="BN506">
        <v>4.0</v>
      </c>
      <c r="BO506">
        <v>4.0</v>
      </c>
      <c r="BP506" t="s">
        <v>10528</v>
      </c>
      <c r="BQ506" t="s">
        <v>6586</v>
      </c>
      <c r="BR506" t="s">
        <v>10529</v>
      </c>
      <c r="BS506" t="s">
        <v>10530</v>
      </c>
      <c r="BU506" t="s">
        <v>10531</v>
      </c>
      <c r="BV506" s="3" t="str">
        <f>HYPERLINK("https://api.typeform.com/responses/files/365e41eeb7c5aab98b46463e9f68d448bdd7748a6bd6e1262a187b6eee77cb6c/Heather_Nieves_Consent_form.pdf")</f>
        <v>https://api.typeform.com/responses/files/365e41eeb7c5aab98b46463e9f68d448bdd7748a6bd6e1262a187b6eee77cb6c/Heather_Nieves_Consent_form.pdf</v>
      </c>
      <c r="BW506" t="b">
        <v>1</v>
      </c>
      <c r="BX506" t="s">
        <v>1394</v>
      </c>
      <c r="BY506" t="s">
        <v>140</v>
      </c>
      <c r="CA506" t="s">
        <v>1395</v>
      </c>
      <c r="CD506">
        <v>0.0</v>
      </c>
      <c r="CF506" t="b">
        <v>0</v>
      </c>
      <c r="CG506" t="b">
        <v>1</v>
      </c>
      <c r="CH506" t="s">
        <v>10532</v>
      </c>
      <c r="CJ506" t="b">
        <v>1</v>
      </c>
      <c r="CK506" t="b">
        <v>0</v>
      </c>
      <c r="CL506" t="s">
        <v>541</v>
      </c>
      <c r="CM506" t="s">
        <v>541</v>
      </c>
      <c r="CO506" t="s">
        <v>388</v>
      </c>
      <c r="CR506" t="b">
        <v>1</v>
      </c>
      <c r="CT506">
        <v>3.0</v>
      </c>
      <c r="CU506">
        <v>5.0</v>
      </c>
      <c r="CX506" t="s">
        <v>620</v>
      </c>
      <c r="CZ506" s="5">
        <v>44594.09421296296</v>
      </c>
      <c r="DA506" t="s">
        <v>10533</v>
      </c>
    </row>
    <row r="507">
      <c r="A507" t="s">
        <v>98</v>
      </c>
      <c r="D507" t="s">
        <v>10534</v>
      </c>
      <c r="E507" t="s">
        <v>10535</v>
      </c>
      <c r="F507" s="2">
        <v>38067.0</v>
      </c>
      <c r="G507" t="s">
        <v>1360</v>
      </c>
      <c r="I507" s="3" t="str">
        <f>HYPERLINK("https://api.typeform.com/responses/files/ae8e8736c6aa9611b7bf57916d6378628a199e357347fe3be00bfe1f562e96bb/IMG_8603.jpg")</f>
        <v>https://api.typeform.com/responses/files/ae8e8736c6aa9611b7bf57916d6378628a199e357347fe3be00bfe1f562e96bb/IMG_8603.jpg</v>
      </c>
      <c r="J507" t="s">
        <v>10536</v>
      </c>
      <c r="K507" t="b">
        <v>1</v>
      </c>
      <c r="L507" s="4" t="s">
        <v>10537</v>
      </c>
      <c r="M507" t="s">
        <v>10538</v>
      </c>
      <c r="N507" t="s">
        <v>149</v>
      </c>
      <c r="O507" t="s">
        <v>479</v>
      </c>
      <c r="P507" t="s">
        <v>10539</v>
      </c>
      <c r="Q507" t="s">
        <v>189</v>
      </c>
      <c r="R507" t="s">
        <v>8191</v>
      </c>
      <c r="S507" t="s">
        <v>10538</v>
      </c>
      <c r="T507" s="4" t="s">
        <v>10540</v>
      </c>
      <c r="U507" t="s">
        <v>7424</v>
      </c>
      <c r="V507" t="s">
        <v>8137</v>
      </c>
      <c r="W507" t="s">
        <v>2290</v>
      </c>
      <c r="Y507" t="s">
        <v>158</v>
      </c>
      <c r="Z507" t="s">
        <v>262</v>
      </c>
      <c r="AC507" s="3" t="str">
        <f>HYPERLINK("https://api.typeform.com/responses/files/6abd83b5d2fe649843d68a1cb0b2846b8e9701266fe41a25d39548248cf53bc1/Screen_Shot_2022_02_02_at_12.52.53_PM.png")</f>
        <v>https://api.typeform.com/responses/files/6abd83b5d2fe649843d68a1cb0b2846b8e9701266fe41a25d39548248cf53bc1/Screen_Shot_2022_02_02_at_12.52.53_PM.png</v>
      </c>
      <c r="AD507" t="s">
        <v>118</v>
      </c>
      <c r="AE507" t="s">
        <v>729</v>
      </c>
      <c r="AF507" t="s">
        <v>197</v>
      </c>
      <c r="AG507">
        <v>15.0</v>
      </c>
      <c r="AH507" s="4" t="s">
        <v>734</v>
      </c>
      <c r="AI507" t="s">
        <v>543</v>
      </c>
      <c r="AL507" t="s">
        <v>1043</v>
      </c>
      <c r="AO507" t="s">
        <v>335</v>
      </c>
      <c r="AP507">
        <v>4.0</v>
      </c>
      <c r="AQ507" t="s">
        <v>303</v>
      </c>
      <c r="AR507" t="s">
        <v>10541</v>
      </c>
      <c r="AS507" t="b">
        <v>1</v>
      </c>
      <c r="AT507" t="b">
        <v>1</v>
      </c>
      <c r="AV507">
        <v>5.0</v>
      </c>
      <c r="AW507" t="b">
        <v>0</v>
      </c>
      <c r="AZ507" t="b">
        <v>0</v>
      </c>
      <c r="BA507" t="b">
        <v>1</v>
      </c>
      <c r="BB507" t="b">
        <v>0</v>
      </c>
      <c r="BC507" t="s">
        <v>4825</v>
      </c>
      <c r="BH507" t="s">
        <v>132</v>
      </c>
      <c r="BI507">
        <v>3.0</v>
      </c>
      <c r="BJ507" t="s">
        <v>1951</v>
      </c>
      <c r="BK507">
        <v>3.0</v>
      </c>
      <c r="BL507">
        <v>5.0</v>
      </c>
      <c r="BM507" t="s">
        <v>139</v>
      </c>
      <c r="BN507">
        <v>1.0</v>
      </c>
      <c r="BO507">
        <v>1.0</v>
      </c>
      <c r="BP507" t="s">
        <v>10542</v>
      </c>
      <c r="BQ507" t="s">
        <v>945</v>
      </c>
      <c r="BR507" t="s">
        <v>10543</v>
      </c>
      <c r="BS507" t="s">
        <v>3087</v>
      </c>
      <c r="BU507" t="s">
        <v>9125</v>
      </c>
      <c r="BV507" s="3" t="str">
        <f>HYPERLINK("https://api.typeform.com/responses/files/762e86304e902cfd6d67c81b7b2318be28ee3c36ec245e818f739fa111f5b586/IMG_8603.jpg")</f>
        <v>https://api.typeform.com/responses/files/762e86304e902cfd6d67c81b7b2318be28ee3c36ec245e818f739fa111f5b586/IMG_8603.jpg</v>
      </c>
      <c r="BW507" t="b">
        <v>1</v>
      </c>
      <c r="BX507" t="s">
        <v>1394</v>
      </c>
      <c r="BY507" t="s">
        <v>140</v>
      </c>
      <c r="CA507" t="s">
        <v>1395</v>
      </c>
      <c r="CD507">
        <v>0.0</v>
      </c>
      <c r="CF507" t="b">
        <v>0</v>
      </c>
      <c r="CG507" t="b">
        <v>0</v>
      </c>
      <c r="CH507" t="s">
        <v>10544</v>
      </c>
      <c r="CJ507" t="b">
        <v>1</v>
      </c>
      <c r="CK507" t="b">
        <v>0</v>
      </c>
      <c r="CL507" t="s">
        <v>198</v>
      </c>
      <c r="CM507" t="s">
        <v>198</v>
      </c>
      <c r="CO507" t="s">
        <v>1635</v>
      </c>
      <c r="CQ507" t="s">
        <v>198</v>
      </c>
      <c r="CR507" t="b">
        <v>1</v>
      </c>
      <c r="CT507">
        <v>0.0</v>
      </c>
      <c r="CU507">
        <v>0.0</v>
      </c>
      <c r="CX507" s="4" t="s">
        <v>7350</v>
      </c>
      <c r="CZ507" s="5">
        <v>44594.746782407405</v>
      </c>
      <c r="DA507" t="s">
        <v>10545</v>
      </c>
    </row>
    <row r="508">
      <c r="A508" t="s">
        <v>98</v>
      </c>
      <c r="D508" t="s">
        <v>10546</v>
      </c>
      <c r="E508" t="s">
        <v>10547</v>
      </c>
      <c r="F508" s="2">
        <v>38354.0</v>
      </c>
      <c r="G508" t="s">
        <v>1466</v>
      </c>
      <c r="I508" s="3" t="str">
        <f>HYPERLINK("https://api.typeform.com/responses/files/593550d0ce52fecc09d9a1acd29ed7457e1ca55fe1f7a0dbff003625e0e04400/headshot.jpg")</f>
        <v>https://api.typeform.com/responses/files/593550d0ce52fecc09d9a1acd29ed7457e1ca55fe1f7a0dbff003625e0e04400/headshot.jpg</v>
      </c>
      <c r="J508" t="s">
        <v>10548</v>
      </c>
      <c r="K508" t="b">
        <v>1</v>
      </c>
      <c r="L508" s="4" t="s">
        <v>10549</v>
      </c>
      <c r="M508" t="s">
        <v>10550</v>
      </c>
      <c r="N508" t="s">
        <v>149</v>
      </c>
      <c r="P508" t="s">
        <v>10551</v>
      </c>
      <c r="Q508" t="s">
        <v>189</v>
      </c>
      <c r="R508" t="s">
        <v>8191</v>
      </c>
      <c r="S508" t="s">
        <v>10550</v>
      </c>
      <c r="T508" s="4" t="s">
        <v>10552</v>
      </c>
      <c r="U508" t="s">
        <v>10553</v>
      </c>
      <c r="V508" t="s">
        <v>10554</v>
      </c>
      <c r="W508" t="s">
        <v>261</v>
      </c>
      <c r="Y508" t="s">
        <v>114</v>
      </c>
      <c r="Z508" t="s">
        <v>262</v>
      </c>
      <c r="AC508" s="3" t="str">
        <f>HYPERLINK("https://api.typeform.com/responses/files/fa4e4df0ed7936ef968b754f37ab542d7a96cee6bcc935e7c7d5f26ed8fc7509/Screen_Shot_2022_02_02_at_1.03.45_PM.png")</f>
        <v>https://api.typeform.com/responses/files/fa4e4df0ed7936ef968b754f37ab542d7a96cee6bcc935e7c7d5f26ed8fc7509/Screen_Shot_2022_02_02_at_1.03.45_PM.png</v>
      </c>
      <c r="AD508" t="s">
        <v>118</v>
      </c>
      <c r="AE508" t="s">
        <v>1220</v>
      </c>
      <c r="AF508" t="s">
        <v>1170</v>
      </c>
      <c r="AG508">
        <v>12.0</v>
      </c>
      <c r="AH508" s="4" t="s">
        <v>882</v>
      </c>
      <c r="AI508" t="s">
        <v>205</v>
      </c>
      <c r="AK508" t="s">
        <v>139</v>
      </c>
      <c r="AL508" t="s">
        <v>1043</v>
      </c>
      <c r="AO508" t="s">
        <v>335</v>
      </c>
      <c r="AP508">
        <v>5.0</v>
      </c>
      <c r="AQ508" t="s">
        <v>4222</v>
      </c>
      <c r="AR508" t="s">
        <v>10555</v>
      </c>
      <c r="AS508" t="b">
        <v>1</v>
      </c>
      <c r="AT508" t="b">
        <v>1</v>
      </c>
      <c r="AV508">
        <v>6.0</v>
      </c>
      <c r="AW508" t="b">
        <v>1</v>
      </c>
      <c r="AX508" s="4" t="s">
        <v>130</v>
      </c>
      <c r="AY508" s="4" t="s">
        <v>170</v>
      </c>
      <c r="AZ508" t="b">
        <v>1</v>
      </c>
      <c r="BA508" t="b">
        <v>1</v>
      </c>
      <c r="BB508" t="b">
        <v>1</v>
      </c>
      <c r="BC508" t="s">
        <v>10556</v>
      </c>
      <c r="BH508" t="s">
        <v>132</v>
      </c>
      <c r="BI508">
        <v>6.0</v>
      </c>
      <c r="BJ508" t="s">
        <v>10557</v>
      </c>
      <c r="BK508">
        <v>6.0</v>
      </c>
      <c r="BL508">
        <v>6.0</v>
      </c>
      <c r="BM508" t="s">
        <v>8277</v>
      </c>
      <c r="BN508">
        <v>6.0</v>
      </c>
      <c r="BO508">
        <v>6.0</v>
      </c>
      <c r="BP508" t="s">
        <v>10558</v>
      </c>
      <c r="BQ508" t="s">
        <v>916</v>
      </c>
      <c r="BR508" t="s">
        <v>10559</v>
      </c>
      <c r="BS508" t="s">
        <v>10560</v>
      </c>
      <c r="BU508" t="s">
        <v>10560</v>
      </c>
      <c r="BV508" s="3" t="str">
        <f>HYPERLINK("https://api.typeform.com/responses/files/fb7cf339d4c2ecf1cb61fa8125019cad67e17efbe6ee54a76e4dbf17f7a47904/VICTOR_RIVAS___SPEAKHIRE_2021___Parent_Consent_Form.docx")</f>
        <v>https://api.typeform.com/responses/files/fb7cf339d4c2ecf1cb61fa8125019cad67e17efbe6ee54a76e4dbf17f7a47904/VICTOR_RIVAS___SPEAKHIRE_2021___Parent_Consent_Form.docx</v>
      </c>
      <c r="BW508" t="b">
        <v>1</v>
      </c>
      <c r="BX508" t="s">
        <v>1394</v>
      </c>
      <c r="BY508" t="s">
        <v>140</v>
      </c>
      <c r="CA508" t="s">
        <v>1395</v>
      </c>
      <c r="CD508">
        <v>0.0</v>
      </c>
      <c r="CF508" t="b">
        <v>0</v>
      </c>
      <c r="CG508" t="b">
        <v>0</v>
      </c>
      <c r="CH508" t="s">
        <v>1687</v>
      </c>
      <c r="CJ508" t="b">
        <v>1</v>
      </c>
      <c r="CK508" t="b">
        <v>1</v>
      </c>
      <c r="CL508" t="s">
        <v>387</v>
      </c>
      <c r="CM508" t="s">
        <v>541</v>
      </c>
      <c r="CO508" t="s">
        <v>200</v>
      </c>
      <c r="CQ508" t="s">
        <v>636</v>
      </c>
      <c r="CR508" t="b">
        <v>1</v>
      </c>
      <c r="CT508">
        <v>1.0</v>
      </c>
      <c r="CU508">
        <v>0.0</v>
      </c>
      <c r="CX508" t="s">
        <v>10560</v>
      </c>
      <c r="CZ508" s="5">
        <v>44594.75361111111</v>
      </c>
      <c r="DA508" t="s">
        <v>10561</v>
      </c>
    </row>
    <row r="509">
      <c r="A509" t="s">
        <v>98</v>
      </c>
      <c r="D509" t="s">
        <v>5326</v>
      </c>
      <c r="E509" t="s">
        <v>10562</v>
      </c>
      <c r="F509" s="2">
        <v>37412.0</v>
      </c>
      <c r="G509" t="s">
        <v>1360</v>
      </c>
      <c r="I509" s="3" t="str">
        <f>HYPERLINK("https://api.typeform.com/responses/files/23c0b525c80d471f2ff74d55967c07dfb8c17160244cdcea363f0c5d75090882/IMG_3969.jpg")</f>
        <v>https://api.typeform.com/responses/files/23c0b525c80d471f2ff74d55967c07dfb8c17160244cdcea363f0c5d75090882/IMG_3969.jpg</v>
      </c>
      <c r="J509" t="s">
        <v>10563</v>
      </c>
      <c r="K509" t="b">
        <v>1</v>
      </c>
      <c r="L509" s="4" t="s">
        <v>10564</v>
      </c>
      <c r="M509" t="s">
        <v>10565</v>
      </c>
      <c r="N509" t="s">
        <v>255</v>
      </c>
      <c r="O509" t="s">
        <v>10566</v>
      </c>
      <c r="P509" t="s">
        <v>10567</v>
      </c>
      <c r="Q509" t="s">
        <v>189</v>
      </c>
      <c r="R509" t="s">
        <v>10568</v>
      </c>
      <c r="S509" t="s">
        <v>10565</v>
      </c>
      <c r="T509" s="4" t="s">
        <v>10569</v>
      </c>
      <c r="U509" t="s">
        <v>7424</v>
      </c>
      <c r="V509" t="s">
        <v>7570</v>
      </c>
      <c r="W509" t="s">
        <v>2290</v>
      </c>
      <c r="Y509" t="s">
        <v>158</v>
      </c>
      <c r="Z509" t="s">
        <v>262</v>
      </c>
      <c r="AC509" s="3" t="str">
        <f>HYPERLINK("https://api.typeform.com/responses/files/c62899b9200997a03eaee882e6e9d581e5fecde24fba261815af7841b7a95459/IMG_2372.jpg")</f>
        <v>https://api.typeform.com/responses/files/c62899b9200997a03eaee882e6e9d581e5fecde24fba261815af7841b7a95459/IMG_2372.jpg</v>
      </c>
      <c r="AD509" t="s">
        <v>118</v>
      </c>
      <c r="AE509" t="s">
        <v>729</v>
      </c>
      <c r="AF509" t="s">
        <v>2292</v>
      </c>
      <c r="AG509">
        <v>18.0</v>
      </c>
      <c r="AH509" t="s">
        <v>10570</v>
      </c>
      <c r="AI509" t="s">
        <v>386</v>
      </c>
      <c r="AK509" t="s">
        <v>10571</v>
      </c>
      <c r="AL509" t="s">
        <v>199</v>
      </c>
      <c r="AO509" t="s">
        <v>335</v>
      </c>
      <c r="AP509">
        <v>7.0</v>
      </c>
      <c r="AQ509" t="s">
        <v>126</v>
      </c>
      <c r="AR509" t="s">
        <v>544</v>
      </c>
      <c r="AS509" t="b">
        <v>1</v>
      </c>
      <c r="AT509" t="b">
        <v>1</v>
      </c>
      <c r="AV509">
        <v>5.0</v>
      </c>
      <c r="AW509" t="b">
        <v>0</v>
      </c>
      <c r="AZ509" t="b">
        <v>0</v>
      </c>
      <c r="BA509" t="b">
        <v>1</v>
      </c>
      <c r="BB509" t="b">
        <v>1</v>
      </c>
      <c r="BC509" t="s">
        <v>6868</v>
      </c>
      <c r="BH509" t="s">
        <v>132</v>
      </c>
      <c r="BI509">
        <v>5.0</v>
      </c>
      <c r="BJ509" t="s">
        <v>10572</v>
      </c>
      <c r="BK509">
        <v>7.0</v>
      </c>
      <c r="BL509">
        <v>7.0</v>
      </c>
      <c r="BM509" t="s">
        <v>10573</v>
      </c>
      <c r="BN509">
        <v>6.0</v>
      </c>
      <c r="BO509">
        <v>7.0</v>
      </c>
      <c r="BP509" t="s">
        <v>10574</v>
      </c>
      <c r="BQ509" t="s">
        <v>1258</v>
      </c>
      <c r="BR509" t="s">
        <v>10575</v>
      </c>
      <c r="BS509" t="s">
        <v>10576</v>
      </c>
      <c r="BU509" t="s">
        <v>10577</v>
      </c>
      <c r="BV509" s="3" t="str">
        <f>HYPERLINK("https://api.typeform.com/responses/files/12a7e667a674495618095941055dd7333663df7eb3174d791e1536befef5f2ff/VALENTINA_JAQUE_SANCHEZ___SPEAKHIRE_2021___Parent_Consent_Form.docx")</f>
        <v>https://api.typeform.com/responses/files/12a7e667a674495618095941055dd7333663df7eb3174d791e1536befef5f2ff/VALENTINA_JAQUE_SANCHEZ___SPEAKHIRE_2021___Parent_Consent_Form.docx</v>
      </c>
      <c r="BW509" t="b">
        <v>1</v>
      </c>
      <c r="BX509" t="s">
        <v>1394</v>
      </c>
      <c r="BY509" t="s">
        <v>140</v>
      </c>
      <c r="CA509" t="s">
        <v>1395</v>
      </c>
      <c r="CD509">
        <v>0.0</v>
      </c>
      <c r="CF509" t="b">
        <v>1</v>
      </c>
      <c r="CG509" t="b">
        <v>1</v>
      </c>
      <c r="CH509" t="s">
        <v>128</v>
      </c>
      <c r="CJ509" t="b">
        <v>1</v>
      </c>
      <c r="CK509" t="b">
        <v>1</v>
      </c>
      <c r="CL509" t="s">
        <v>2301</v>
      </c>
      <c r="CO509" t="s">
        <v>388</v>
      </c>
      <c r="CR509" t="b">
        <v>1</v>
      </c>
      <c r="CT509">
        <v>5.0</v>
      </c>
      <c r="CU509">
        <v>3.0</v>
      </c>
      <c r="CX509" s="4" t="s">
        <v>419</v>
      </c>
      <c r="CZ509" s="5">
        <v>44595.12577546296</v>
      </c>
      <c r="DA509" t="s">
        <v>10578</v>
      </c>
    </row>
    <row r="510">
      <c r="A510" t="s">
        <v>98</v>
      </c>
      <c r="D510" t="s">
        <v>5792</v>
      </c>
      <c r="E510" t="s">
        <v>10579</v>
      </c>
      <c r="F510" s="2">
        <v>38371.0</v>
      </c>
      <c r="G510" t="s">
        <v>1360</v>
      </c>
      <c r="I510" s="3" t="str">
        <f>HYPERLINK("https://api.typeform.com/responses/files/7c710614eea1d8fa39fe24f21e428fcc2bdaa035c33710fb7a2cdc9dce524fa0/IMG_20220131_172738.jpg")</f>
        <v>https://api.typeform.com/responses/files/7c710614eea1d8fa39fe24f21e428fcc2bdaa035c33710fb7a2cdc9dce524fa0/IMG_20220131_172738.jpg</v>
      </c>
      <c r="J510" t="s">
        <v>10580</v>
      </c>
      <c r="K510" t="b">
        <v>1</v>
      </c>
      <c r="L510" s="4" t="s">
        <v>10581</v>
      </c>
      <c r="M510" s="4" t="s">
        <v>2053</v>
      </c>
      <c r="N510" t="s">
        <v>149</v>
      </c>
      <c r="O510" t="s">
        <v>10582</v>
      </c>
      <c r="P510" t="s">
        <v>5755</v>
      </c>
      <c r="Q510" t="s">
        <v>152</v>
      </c>
      <c r="R510" t="s">
        <v>10580</v>
      </c>
      <c r="S510" s="4" t="s">
        <v>2053</v>
      </c>
      <c r="T510" s="4" t="s">
        <v>10583</v>
      </c>
      <c r="U510" t="s">
        <v>2027</v>
      </c>
      <c r="V510" t="s">
        <v>10333</v>
      </c>
      <c r="W510" t="s">
        <v>113</v>
      </c>
      <c r="Y510" t="s">
        <v>158</v>
      </c>
      <c r="Z510" t="s">
        <v>262</v>
      </c>
      <c r="AC510" s="3" t="str">
        <f>HYPERLINK("https://api.typeform.com/responses/files/af65b8b2f5e22c411926490d219ec62231e5ac0f2891b89b49bfc500c2d0f4f0/Aaliyah_A.__transcript.pdf")</f>
        <v>https://api.typeform.com/responses/files/af65b8b2f5e22c411926490d219ec62231e5ac0f2891b89b49bfc500c2d0f4f0/Aaliyah_A.__transcript.pdf</v>
      </c>
      <c r="AD510" t="s">
        <v>118</v>
      </c>
      <c r="AE510" t="s">
        <v>1220</v>
      </c>
      <c r="AF510" t="s">
        <v>197</v>
      </c>
      <c r="AG510">
        <v>13.0</v>
      </c>
      <c r="AH510" s="4" t="s">
        <v>520</v>
      </c>
      <c r="AI510" t="s">
        <v>121</v>
      </c>
      <c r="AK510" t="s">
        <v>10584</v>
      </c>
      <c r="AL510" t="s">
        <v>1043</v>
      </c>
      <c r="AO510" t="s">
        <v>125</v>
      </c>
      <c r="AP510">
        <v>4.0</v>
      </c>
      <c r="AQ510" t="s">
        <v>126</v>
      </c>
      <c r="AR510" t="s">
        <v>10585</v>
      </c>
      <c r="AS510" t="b">
        <v>1</v>
      </c>
      <c r="AT510" t="b">
        <v>0</v>
      </c>
      <c r="AV510">
        <v>5.0</v>
      </c>
      <c r="AW510" t="b">
        <v>1</v>
      </c>
      <c r="AX510" t="s">
        <v>1902</v>
      </c>
      <c r="AY510" s="4" t="s">
        <v>518</v>
      </c>
      <c r="AZ510" t="b">
        <v>0</v>
      </c>
      <c r="BA510" t="b">
        <v>0</v>
      </c>
      <c r="BD510" t="s">
        <v>10586</v>
      </c>
      <c r="BH510" t="s">
        <v>132</v>
      </c>
      <c r="BI510">
        <v>1.0</v>
      </c>
      <c r="BJ510" t="s">
        <v>10587</v>
      </c>
      <c r="BK510">
        <v>2.0</v>
      </c>
      <c r="BL510">
        <v>4.0</v>
      </c>
      <c r="BM510" t="s">
        <v>10588</v>
      </c>
      <c r="BN510">
        <v>3.0</v>
      </c>
      <c r="BO510">
        <v>4.0</v>
      </c>
      <c r="BP510" t="s">
        <v>10589</v>
      </c>
      <c r="BQ510" t="s">
        <v>945</v>
      </c>
      <c r="BR510" t="s">
        <v>10590</v>
      </c>
      <c r="BS510" t="s">
        <v>10591</v>
      </c>
      <c r="BU510" t="s">
        <v>139</v>
      </c>
      <c r="BV510" s="3" t="str">
        <f>HYPERLINK("https://api.typeform.com/responses/files/55341f679e3488b2b4086cbcf9abdc08f387886aa95e63a69bc84f4749ee2656/66563879929__A2C7071B_8FB7_4420_BC1A_A00AD2FF47C2__1_.jpg")</f>
        <v>https://api.typeform.com/responses/files/55341f679e3488b2b4086cbcf9abdc08f387886aa95e63a69bc84f4749ee2656/66563879929__A2C7071B_8FB7_4420_BC1A_A00AD2FF47C2__1_.jpg</v>
      </c>
      <c r="BW510" t="b">
        <v>1</v>
      </c>
      <c r="BX510" t="s">
        <v>1394</v>
      </c>
      <c r="BY510" t="s">
        <v>140</v>
      </c>
      <c r="CA510" t="s">
        <v>1395</v>
      </c>
      <c r="CD510">
        <v>0.0</v>
      </c>
      <c r="CF510" t="b">
        <v>0</v>
      </c>
      <c r="CG510" t="b">
        <v>1</v>
      </c>
      <c r="CH510" t="s">
        <v>2553</v>
      </c>
      <c r="CJ510" t="b">
        <v>1</v>
      </c>
      <c r="CK510" t="b">
        <v>1</v>
      </c>
      <c r="CL510" t="s">
        <v>198</v>
      </c>
      <c r="CM510" t="s">
        <v>198</v>
      </c>
      <c r="CO510" t="s">
        <v>2500</v>
      </c>
      <c r="CQ510" t="s">
        <v>198</v>
      </c>
      <c r="CR510" t="b">
        <v>1</v>
      </c>
      <c r="CT510">
        <v>0.0</v>
      </c>
      <c r="CU510">
        <v>0.0</v>
      </c>
      <c r="CX510" s="4" t="s">
        <v>419</v>
      </c>
      <c r="CZ510" s="5">
        <v>44596.166875</v>
      </c>
      <c r="DA510" t="s">
        <v>10592</v>
      </c>
    </row>
    <row r="511">
      <c r="A511" t="s">
        <v>98</v>
      </c>
      <c r="D511" t="s">
        <v>10593</v>
      </c>
      <c r="E511" t="s">
        <v>9202</v>
      </c>
      <c r="F511" s="2">
        <v>38610.0</v>
      </c>
      <c r="G511" t="s">
        <v>1360</v>
      </c>
      <c r="I511" s="3" t="str">
        <f>HYPERLINK("https://api.typeform.com/responses/files/a9b43716be218471da129033945b658dd099516078d639c55fedf43e842a44b1/IMG_20220120_101930.jpg")</f>
        <v>https://api.typeform.com/responses/files/a9b43716be218471da129033945b658dd099516078d639c55fedf43e842a44b1/IMG_20220120_101930.jpg</v>
      </c>
      <c r="J511" t="s">
        <v>10594</v>
      </c>
      <c r="K511" t="b">
        <v>1</v>
      </c>
      <c r="L511" s="4" t="s">
        <v>10595</v>
      </c>
      <c r="M511" t="s">
        <v>10596</v>
      </c>
      <c r="N511" t="s">
        <v>149</v>
      </c>
      <c r="P511" t="s">
        <v>10597</v>
      </c>
      <c r="Q511" t="s">
        <v>152</v>
      </c>
      <c r="R511" t="s">
        <v>10598</v>
      </c>
      <c r="S511" t="s">
        <v>10599</v>
      </c>
      <c r="T511" s="4" t="s">
        <v>10600</v>
      </c>
      <c r="U511" t="s">
        <v>2027</v>
      </c>
      <c r="V511" t="s">
        <v>10333</v>
      </c>
      <c r="W511" t="s">
        <v>113</v>
      </c>
      <c r="Y511" t="s">
        <v>158</v>
      </c>
      <c r="Z511" t="s">
        <v>262</v>
      </c>
      <c r="AC511" s="3" t="str">
        <f>HYPERLINK("https://api.typeform.com/responses/files/2b7601fed647de9474287150cc81ed1ffc69f876721cdb1af1ce5035b9657832/Carolyn_G.__transcript.pdf")</f>
        <v>https://api.typeform.com/responses/files/2b7601fed647de9474287150cc81ed1ffc69f876721cdb1af1ce5035b9657832/Carolyn_G.__transcript.pdf</v>
      </c>
      <c r="AD511" t="s">
        <v>118</v>
      </c>
      <c r="AE511" t="s">
        <v>729</v>
      </c>
      <c r="AF511" t="s">
        <v>10601</v>
      </c>
      <c r="AG511">
        <v>12.0</v>
      </c>
      <c r="AH511" s="4" t="s">
        <v>520</v>
      </c>
      <c r="AI511" t="s">
        <v>162</v>
      </c>
      <c r="AL511" t="s">
        <v>1043</v>
      </c>
      <c r="AO511" t="s">
        <v>125</v>
      </c>
      <c r="AP511">
        <v>4.0</v>
      </c>
      <c r="AQ511" t="s">
        <v>1070</v>
      </c>
      <c r="AR511" t="s">
        <v>10602</v>
      </c>
      <c r="AS511" t="b">
        <v>1</v>
      </c>
      <c r="AT511" t="b">
        <v>0</v>
      </c>
      <c r="AV511">
        <v>4.0</v>
      </c>
      <c r="AW511" t="b">
        <v>0</v>
      </c>
      <c r="AZ511" t="b">
        <v>1</v>
      </c>
      <c r="BA511" t="b">
        <v>0</v>
      </c>
      <c r="BD511" t="s">
        <v>10603</v>
      </c>
      <c r="BH511" t="s">
        <v>132</v>
      </c>
      <c r="BI511">
        <v>1.0</v>
      </c>
      <c r="BJ511" t="s">
        <v>10604</v>
      </c>
      <c r="BK511">
        <v>5.0</v>
      </c>
      <c r="BL511">
        <v>3.0</v>
      </c>
      <c r="BM511" t="s">
        <v>10605</v>
      </c>
      <c r="BN511">
        <v>3.0</v>
      </c>
      <c r="BO511">
        <v>5.0</v>
      </c>
      <c r="BP511" t="s">
        <v>10606</v>
      </c>
      <c r="BQ511" t="s">
        <v>10607</v>
      </c>
      <c r="BR511" t="s">
        <v>10608</v>
      </c>
      <c r="BS511" t="s">
        <v>10609</v>
      </c>
      <c r="BU511" t="s">
        <v>9425</v>
      </c>
      <c r="BV511" s="3" t="str">
        <f>HYPERLINK("https://api.typeform.com/responses/files/dfeded2e6dbc961793975a04657553f67010f1deff4bccbe0933dfe45f402c58/20220123_103425.jpg")</f>
        <v>https://api.typeform.com/responses/files/dfeded2e6dbc961793975a04657553f67010f1deff4bccbe0933dfe45f402c58/20220123_103425.jpg</v>
      </c>
      <c r="BW511" t="b">
        <v>1</v>
      </c>
      <c r="BX511" t="s">
        <v>1394</v>
      </c>
      <c r="BY511" t="s">
        <v>140</v>
      </c>
      <c r="CA511" t="s">
        <v>1395</v>
      </c>
      <c r="CD511">
        <v>0.0</v>
      </c>
      <c r="CF511" t="b">
        <v>1</v>
      </c>
      <c r="CG511" t="b">
        <v>1</v>
      </c>
      <c r="CH511" t="s">
        <v>4029</v>
      </c>
      <c r="CJ511" t="b">
        <v>1</v>
      </c>
      <c r="CK511" t="b">
        <v>1</v>
      </c>
      <c r="CL511" t="s">
        <v>198</v>
      </c>
      <c r="CO511" t="s">
        <v>10610</v>
      </c>
      <c r="CR511" t="b">
        <v>1</v>
      </c>
      <c r="CT511">
        <v>1.0</v>
      </c>
      <c r="CU511">
        <v>2.0</v>
      </c>
      <c r="CX511" s="4" t="s">
        <v>7090</v>
      </c>
      <c r="CZ511" s="5">
        <v>44596.668333333335</v>
      </c>
      <c r="DA511" t="s">
        <v>10611</v>
      </c>
    </row>
    <row r="512">
      <c r="A512" t="s">
        <v>98</v>
      </c>
      <c r="D512" t="s">
        <v>10612</v>
      </c>
      <c r="E512" t="s">
        <v>10613</v>
      </c>
      <c r="F512" s="2">
        <v>36819.0</v>
      </c>
      <c r="G512" t="s">
        <v>1360</v>
      </c>
      <c r="I512" s="3" t="str">
        <f>HYPERLINK("https://api.typeform.com/responses/files/bce0208cb287558af576fe7b0de5a8ac34c67f00e491d1d186411ae3316e7323/IMG_20220204_104813.jpg")</f>
        <v>https://api.typeform.com/responses/files/bce0208cb287558af576fe7b0de5a8ac34c67f00e491d1d186411ae3316e7323/IMG_20220204_104813.jpg</v>
      </c>
      <c r="J512" t="s">
        <v>10614</v>
      </c>
      <c r="K512" t="b">
        <v>1</v>
      </c>
      <c r="L512" s="4" t="s">
        <v>10615</v>
      </c>
      <c r="M512" t="s">
        <v>10616</v>
      </c>
      <c r="N512" t="s">
        <v>149</v>
      </c>
      <c r="O512" t="s">
        <v>10617</v>
      </c>
      <c r="P512" t="s">
        <v>10618</v>
      </c>
      <c r="Q512" t="s">
        <v>152</v>
      </c>
      <c r="R512" t="s">
        <v>10619</v>
      </c>
      <c r="S512" t="s">
        <v>10620</v>
      </c>
      <c r="T512" s="4" t="s">
        <v>10621</v>
      </c>
      <c r="U512" t="s">
        <v>2027</v>
      </c>
      <c r="V512" t="s">
        <v>10333</v>
      </c>
      <c r="W512" t="s">
        <v>113</v>
      </c>
      <c r="Y512" t="s">
        <v>158</v>
      </c>
      <c r="Z512" t="s">
        <v>262</v>
      </c>
      <c r="AC512" s="3" t="str">
        <f>HYPERLINK("https://api.typeform.com/responses/files/b89ab345c9879011a40796d4347d996cd7047ac51657a58fb5665162e56b2ad6/Kaddijatou_Sey_transcript.pdf")</f>
        <v>https://api.typeform.com/responses/files/b89ab345c9879011a40796d4347d996cd7047ac51657a58fb5665162e56b2ad6/Kaddijatou_Sey_transcript.pdf</v>
      </c>
      <c r="AD512" t="s">
        <v>118</v>
      </c>
      <c r="AE512" t="s">
        <v>729</v>
      </c>
      <c r="AF512" t="s">
        <v>10622</v>
      </c>
      <c r="AG512">
        <v>20.0</v>
      </c>
      <c r="AH512" t="s">
        <v>10623</v>
      </c>
      <c r="AI512" t="s">
        <v>205</v>
      </c>
      <c r="AL512" t="s">
        <v>10624</v>
      </c>
      <c r="AO512" t="s">
        <v>335</v>
      </c>
      <c r="AP512">
        <v>4.0</v>
      </c>
      <c r="AQ512" t="s">
        <v>303</v>
      </c>
      <c r="AR512" t="s">
        <v>10625</v>
      </c>
      <c r="AS512" t="b">
        <v>0</v>
      </c>
      <c r="AV512">
        <v>5.0</v>
      </c>
      <c r="AW512" t="b">
        <v>0</v>
      </c>
      <c r="AZ512" t="b">
        <v>0</v>
      </c>
      <c r="BA512" t="b">
        <v>0</v>
      </c>
      <c r="BD512" t="s">
        <v>10626</v>
      </c>
      <c r="BH512" t="s">
        <v>132</v>
      </c>
      <c r="BI512">
        <v>1.0</v>
      </c>
      <c r="BJ512" s="4" t="s">
        <v>130</v>
      </c>
      <c r="BK512">
        <v>5.0</v>
      </c>
      <c r="BL512">
        <v>2.0</v>
      </c>
      <c r="BM512" t="s">
        <v>10627</v>
      </c>
      <c r="BN512">
        <v>1.0</v>
      </c>
      <c r="BO512">
        <v>3.0</v>
      </c>
      <c r="BP512" t="s">
        <v>10628</v>
      </c>
      <c r="BQ512" t="s">
        <v>3728</v>
      </c>
      <c r="BR512" t="s">
        <v>10629</v>
      </c>
      <c r="BS512" t="s">
        <v>10630</v>
      </c>
      <c r="BU512" t="s">
        <v>10631</v>
      </c>
      <c r="BV512" s="3" t="str">
        <f>HYPERLINK("https://api.typeform.com/responses/files/cf0345ae8862c5cf4b9b3e0303e1c087d2a2a57583a5022c3a6b8c160346966b/Kaddijatou_Sey_transcript__1_.pdf")</f>
        <v>https://api.typeform.com/responses/files/cf0345ae8862c5cf4b9b3e0303e1c087d2a2a57583a5022c3a6b8c160346966b/Kaddijatou_Sey_transcript__1_.pdf</v>
      </c>
      <c r="BW512" t="b">
        <v>1</v>
      </c>
      <c r="BX512" t="s">
        <v>1394</v>
      </c>
      <c r="BY512" t="s">
        <v>140</v>
      </c>
      <c r="CA512" t="s">
        <v>1395</v>
      </c>
      <c r="CD512">
        <v>0.0</v>
      </c>
      <c r="CF512" t="b">
        <v>0</v>
      </c>
      <c r="CG512" t="b">
        <v>1</v>
      </c>
      <c r="CH512" t="s">
        <v>1935</v>
      </c>
      <c r="CJ512" t="b">
        <v>1</v>
      </c>
      <c r="CK512" t="b">
        <v>1</v>
      </c>
      <c r="CL512" t="s">
        <v>300</v>
      </c>
      <c r="CM512" t="s">
        <v>300</v>
      </c>
      <c r="CO512" t="s">
        <v>124</v>
      </c>
      <c r="CQ512" t="s">
        <v>300</v>
      </c>
      <c r="CR512" t="b">
        <v>1</v>
      </c>
      <c r="CT512">
        <v>0.0</v>
      </c>
      <c r="CU512">
        <v>0.0</v>
      </c>
      <c r="CX512" t="s">
        <v>10632</v>
      </c>
      <c r="CZ512" s="5">
        <v>44596.68604166667</v>
      </c>
      <c r="DA512" t="s">
        <v>10633</v>
      </c>
    </row>
    <row r="513">
      <c r="A513" t="s">
        <v>98</v>
      </c>
      <c r="D513" t="s">
        <v>10634</v>
      </c>
      <c r="E513" t="s">
        <v>10635</v>
      </c>
      <c r="F513" s="2">
        <v>38506.0</v>
      </c>
      <c r="G513" t="s">
        <v>1466</v>
      </c>
      <c r="I513" s="3" t="str">
        <f>HYPERLINK("https://api.typeform.com/responses/files/f581cc8dd0e8ac45a09534c43ac76291b74d04f8c4afda24c2f42911e7307f76/IMG_20220204_113427.jpg")</f>
        <v>https://api.typeform.com/responses/files/f581cc8dd0e8ac45a09534c43ac76291b74d04f8c4afda24c2f42911e7307f76/IMG_20220204_113427.jpg</v>
      </c>
      <c r="J513" t="s">
        <v>10636</v>
      </c>
      <c r="K513" t="b">
        <v>1</v>
      </c>
      <c r="L513" s="4" t="s">
        <v>10637</v>
      </c>
      <c r="M513" t="s">
        <v>10638</v>
      </c>
      <c r="N513" t="s">
        <v>149</v>
      </c>
      <c r="P513" t="s">
        <v>10639</v>
      </c>
      <c r="Q513" t="s">
        <v>152</v>
      </c>
      <c r="R513" t="s">
        <v>10640</v>
      </c>
      <c r="S513" t="s">
        <v>10641</v>
      </c>
      <c r="T513" s="4" t="s">
        <v>10642</v>
      </c>
      <c r="U513" t="s">
        <v>10643</v>
      </c>
      <c r="V513" t="s">
        <v>10254</v>
      </c>
      <c r="W513" t="s">
        <v>113</v>
      </c>
      <c r="Y513" t="s">
        <v>158</v>
      </c>
      <c r="Z513" t="s">
        <v>262</v>
      </c>
      <c r="AC513" s="3" t="str">
        <f>HYPERLINK("https://api.typeform.com/responses/files/8c2fb17962c4e9cffa13e441389ca60303ace528aaa09197b4964d2c8f5a105c/Edgar_S.__transcript.pdf")</f>
        <v>https://api.typeform.com/responses/files/8c2fb17962c4e9cffa13e441389ca60303ace528aaa09197b4964d2c8f5a105c/Edgar_S.__transcript.pdf</v>
      </c>
      <c r="AD513" t="s">
        <v>118</v>
      </c>
      <c r="AE513" t="s">
        <v>729</v>
      </c>
      <c r="AF513" t="s">
        <v>197</v>
      </c>
      <c r="AG513">
        <v>10.0</v>
      </c>
      <c r="AH513" t="s">
        <v>620</v>
      </c>
      <c r="AI513" t="s">
        <v>162</v>
      </c>
      <c r="AK513" t="s">
        <v>4241</v>
      </c>
      <c r="AL513" t="s">
        <v>199</v>
      </c>
      <c r="AO513" t="s">
        <v>335</v>
      </c>
      <c r="AP513">
        <v>5.0</v>
      </c>
      <c r="AQ513" t="s">
        <v>2625</v>
      </c>
      <c r="AR513" t="s">
        <v>10644</v>
      </c>
      <c r="AS513" t="b">
        <v>0</v>
      </c>
      <c r="AV513">
        <v>6.0</v>
      </c>
      <c r="AW513" t="b">
        <v>0</v>
      </c>
      <c r="AZ513" t="b">
        <v>0</v>
      </c>
      <c r="BA513" t="b">
        <v>0</v>
      </c>
      <c r="BD513" t="s">
        <v>8579</v>
      </c>
      <c r="BH513" t="s">
        <v>132</v>
      </c>
      <c r="BI513">
        <v>1.0</v>
      </c>
      <c r="BJ513" t="s">
        <v>10645</v>
      </c>
      <c r="BK513">
        <v>3.0</v>
      </c>
      <c r="BL513">
        <v>1.0</v>
      </c>
      <c r="BM513" t="s">
        <v>623</v>
      </c>
      <c r="BN513">
        <v>1.0</v>
      </c>
      <c r="BO513">
        <v>4.0</v>
      </c>
      <c r="BP513" t="s">
        <v>10646</v>
      </c>
      <c r="BQ513" t="s">
        <v>8181</v>
      </c>
      <c r="BR513" t="s">
        <v>10647</v>
      </c>
      <c r="BS513" t="s">
        <v>10648</v>
      </c>
      <c r="BU513" t="s">
        <v>10649</v>
      </c>
      <c r="BV513" s="3" t="str">
        <f>HYPERLINK("https://api.typeform.com/responses/files/1082926e0d3130c2e7e57665f565b887ceec58ea5f043dfd10a72a4b823d5e13/Edgar_S.__transcript.pdf")</f>
        <v>https://api.typeform.com/responses/files/1082926e0d3130c2e7e57665f565b887ceec58ea5f043dfd10a72a4b823d5e13/Edgar_S.__transcript.pdf</v>
      </c>
      <c r="BW513" t="b">
        <v>1</v>
      </c>
      <c r="BX513" t="s">
        <v>1394</v>
      </c>
      <c r="BY513" t="s">
        <v>140</v>
      </c>
      <c r="CA513" t="s">
        <v>1395</v>
      </c>
      <c r="CD513">
        <v>0.0</v>
      </c>
      <c r="CF513" t="b">
        <v>1</v>
      </c>
      <c r="CG513" t="b">
        <v>1</v>
      </c>
      <c r="CH513" t="s">
        <v>705</v>
      </c>
      <c r="CJ513" t="b">
        <v>1</v>
      </c>
      <c r="CK513" t="b">
        <v>1</v>
      </c>
      <c r="CL513" t="s">
        <v>387</v>
      </c>
      <c r="CO513" t="s">
        <v>200</v>
      </c>
      <c r="CR513" t="b">
        <v>1</v>
      </c>
      <c r="CT513">
        <v>0.0</v>
      </c>
      <c r="CU513">
        <v>0.0</v>
      </c>
      <c r="CX513" s="4" t="s">
        <v>10650</v>
      </c>
      <c r="CZ513" s="5">
        <v>44596.691458333335</v>
      </c>
      <c r="DA513" t="s">
        <v>10651</v>
      </c>
    </row>
    <row r="514">
      <c r="A514" t="s">
        <v>98</v>
      </c>
      <c r="D514" t="s">
        <v>10652</v>
      </c>
      <c r="E514" t="s">
        <v>10653</v>
      </c>
      <c r="F514" s="2">
        <v>38184.0</v>
      </c>
      <c r="G514" t="s">
        <v>1466</v>
      </c>
      <c r="I514" s="3" t="str">
        <f>HYPERLINK("https://api.typeform.com/responses/files/8b72bb42e7d679f3008ee0734b922b6e02da46436d76167a2e27af6d604e575c/Speakhire_.jpg")</f>
        <v>https://api.typeform.com/responses/files/8b72bb42e7d679f3008ee0734b922b6e02da46436d76167a2e27af6d604e575c/Speakhire_.jpg</v>
      </c>
      <c r="J514" t="s">
        <v>10654</v>
      </c>
      <c r="K514" t="b">
        <v>1</v>
      </c>
      <c r="L514" s="4" t="s">
        <v>10655</v>
      </c>
      <c r="M514" t="s">
        <v>10656</v>
      </c>
      <c r="N514" t="s">
        <v>149</v>
      </c>
      <c r="O514" t="s">
        <v>10657</v>
      </c>
      <c r="P514" t="s">
        <v>10658</v>
      </c>
      <c r="Q514" t="s">
        <v>152</v>
      </c>
      <c r="R514" t="s">
        <v>10659</v>
      </c>
      <c r="S514" t="s">
        <v>10656</v>
      </c>
      <c r="T514" s="4" t="s">
        <v>10660</v>
      </c>
      <c r="U514" t="s">
        <v>1674</v>
      </c>
      <c r="V514" t="s">
        <v>10254</v>
      </c>
      <c r="W514" t="s">
        <v>113</v>
      </c>
      <c r="Y514" t="s">
        <v>158</v>
      </c>
      <c r="Z514" t="s">
        <v>262</v>
      </c>
      <c r="AC514" s="3" t="str">
        <f>HYPERLINK("https://api.typeform.com/responses/files/f820ca68a0c56f19d11bce0933c3957a55f7e95e726403d6ce44f790b8caf365/Akram_M.__transcript.pdf")</f>
        <v>https://api.typeform.com/responses/files/f820ca68a0c56f19d11bce0933c3957a55f7e95e726403d6ce44f790b8caf365/Akram_M.__transcript.pdf</v>
      </c>
      <c r="AD514" t="s">
        <v>118</v>
      </c>
      <c r="AE514" t="s">
        <v>729</v>
      </c>
      <c r="AF514" t="s">
        <v>161</v>
      </c>
      <c r="AG514">
        <v>15.0</v>
      </c>
      <c r="AH514" t="s">
        <v>620</v>
      </c>
      <c r="AI514" t="s">
        <v>121</v>
      </c>
      <c r="AK514" t="s">
        <v>620</v>
      </c>
      <c r="AL514" t="s">
        <v>165</v>
      </c>
      <c r="AO514" t="s">
        <v>335</v>
      </c>
      <c r="AP514">
        <v>4.0</v>
      </c>
      <c r="AQ514" t="s">
        <v>2240</v>
      </c>
      <c r="AR514" t="s">
        <v>10661</v>
      </c>
      <c r="AS514" t="b">
        <v>1</v>
      </c>
      <c r="AT514" t="b">
        <v>0</v>
      </c>
      <c r="AV514">
        <v>5.0</v>
      </c>
      <c r="AW514" t="b">
        <v>0</v>
      </c>
      <c r="AZ514" t="b">
        <v>0</v>
      </c>
      <c r="BA514" t="b">
        <v>1</v>
      </c>
      <c r="BB514" t="b">
        <v>0</v>
      </c>
      <c r="BC514" t="s">
        <v>10662</v>
      </c>
      <c r="BH514" t="s">
        <v>132</v>
      </c>
      <c r="BI514">
        <v>1.0</v>
      </c>
      <c r="BJ514" t="s">
        <v>10663</v>
      </c>
      <c r="BK514">
        <v>2.0</v>
      </c>
      <c r="BL514">
        <v>4.0</v>
      </c>
      <c r="BM514" t="s">
        <v>10664</v>
      </c>
      <c r="BN514">
        <v>3.0</v>
      </c>
      <c r="BO514">
        <v>3.0</v>
      </c>
      <c r="BP514" t="s">
        <v>5338</v>
      </c>
      <c r="BQ514" t="s">
        <v>1050</v>
      </c>
      <c r="BR514" t="s">
        <v>10665</v>
      </c>
      <c r="BS514" t="s">
        <v>10666</v>
      </c>
      <c r="BU514" t="s">
        <v>10667</v>
      </c>
      <c r="BV514" s="3" t="str">
        <f>HYPERLINK("https://api.typeform.com/responses/files/c541acb86421cde36326e87b5013b77db2774593081b50f948a4a2bdd3ea3b0b/Akram_M.__transcript.pdf")</f>
        <v>https://api.typeform.com/responses/files/c541acb86421cde36326e87b5013b77db2774593081b50f948a4a2bdd3ea3b0b/Akram_M.__transcript.pdf</v>
      </c>
      <c r="BW514" t="b">
        <v>1</v>
      </c>
      <c r="BX514" t="s">
        <v>1394</v>
      </c>
      <c r="BY514" t="s">
        <v>140</v>
      </c>
      <c r="CA514" t="s">
        <v>1395</v>
      </c>
      <c r="CD514">
        <v>0.0</v>
      </c>
      <c r="CF514" t="b">
        <v>1</v>
      </c>
      <c r="CG514" t="b">
        <v>1</v>
      </c>
      <c r="CH514" t="s">
        <v>1935</v>
      </c>
      <c r="CJ514" t="b">
        <v>1</v>
      </c>
      <c r="CK514" t="b">
        <v>1</v>
      </c>
      <c r="CL514" t="s">
        <v>163</v>
      </c>
      <c r="CO514" t="s">
        <v>124</v>
      </c>
      <c r="CR514" t="b">
        <v>1</v>
      </c>
      <c r="CT514">
        <v>2.0</v>
      </c>
      <c r="CU514">
        <v>5.0</v>
      </c>
      <c r="CX514" s="4" t="s">
        <v>10491</v>
      </c>
      <c r="CZ514" s="5">
        <v>44596.69395833334</v>
      </c>
      <c r="DA514" t="s">
        <v>10668</v>
      </c>
    </row>
    <row r="515">
      <c r="A515" t="s">
        <v>98</v>
      </c>
      <c r="D515" t="s">
        <v>10669</v>
      </c>
      <c r="E515" t="s">
        <v>10670</v>
      </c>
      <c r="F515" s="2">
        <v>37921.0</v>
      </c>
      <c r="G515" t="s">
        <v>1360</v>
      </c>
      <c r="I515" s="3" t="str">
        <f>HYPERLINK("https://api.typeform.com/responses/files/e7fc73e69d1e9ae0fc4ad75de388a18362077856ae9c13afa495590041b2fe33/IMG_20220120_101220.jpg")</f>
        <v>https://api.typeform.com/responses/files/e7fc73e69d1e9ae0fc4ad75de388a18362077856ae9c13afa495590041b2fe33/IMG_20220120_101220.jpg</v>
      </c>
      <c r="J515" t="s">
        <v>10671</v>
      </c>
      <c r="K515" t="b">
        <v>1</v>
      </c>
      <c r="L515" s="4" t="s">
        <v>10672</v>
      </c>
      <c r="M515" t="s">
        <v>10673</v>
      </c>
      <c r="N515" t="s">
        <v>149</v>
      </c>
      <c r="P515" t="s">
        <v>10674</v>
      </c>
      <c r="Q515" t="s">
        <v>292</v>
      </c>
      <c r="R515" t="s">
        <v>10675</v>
      </c>
      <c r="S515" t="s">
        <v>10673</v>
      </c>
      <c r="T515" s="4" t="s">
        <v>10676</v>
      </c>
      <c r="U515" t="s">
        <v>1674</v>
      </c>
      <c r="V515" t="s">
        <v>10254</v>
      </c>
      <c r="W515" t="s">
        <v>113</v>
      </c>
      <c r="Y515" t="s">
        <v>158</v>
      </c>
      <c r="Z515" t="s">
        <v>262</v>
      </c>
      <c r="AC515" s="3" t="str">
        <f>HYPERLINK("https://api.typeform.com/responses/files/6297493cb5d8a29f2904899038f49c4fa586625463f22eb0226f99be160cef18/Ilse_C.__transcript.pdf")</f>
        <v>https://api.typeform.com/responses/files/6297493cb5d8a29f2904899038f49c4fa586625463f22eb0226f99be160cef18/Ilse_C.__transcript.pdf</v>
      </c>
      <c r="AD515" t="s">
        <v>118</v>
      </c>
      <c r="AE515" t="s">
        <v>729</v>
      </c>
      <c r="AF515" t="s">
        <v>10677</v>
      </c>
      <c r="AG515">
        <v>14.0</v>
      </c>
      <c r="AH515" s="4" t="s">
        <v>520</v>
      </c>
      <c r="AI515" t="s">
        <v>386</v>
      </c>
      <c r="AK515" t="s">
        <v>10678</v>
      </c>
      <c r="AL515" t="s">
        <v>199</v>
      </c>
      <c r="AO515" t="s">
        <v>125</v>
      </c>
      <c r="AP515">
        <v>5.0</v>
      </c>
      <c r="AQ515" t="s">
        <v>126</v>
      </c>
      <c r="AR515" t="s">
        <v>10679</v>
      </c>
      <c r="AS515" t="b">
        <v>0</v>
      </c>
      <c r="AV515">
        <v>6.0</v>
      </c>
      <c r="AW515" t="b">
        <v>0</v>
      </c>
      <c r="AZ515" t="b">
        <v>0</v>
      </c>
      <c r="BA515" t="b">
        <v>0</v>
      </c>
      <c r="BD515" t="s">
        <v>10680</v>
      </c>
      <c r="BH515" t="s">
        <v>132</v>
      </c>
      <c r="BI515">
        <v>1.0</v>
      </c>
      <c r="BJ515" t="s">
        <v>10681</v>
      </c>
      <c r="BK515">
        <v>1.0</v>
      </c>
      <c r="BL515">
        <v>5.0</v>
      </c>
      <c r="BM515" t="s">
        <v>840</v>
      </c>
      <c r="BN515">
        <v>2.0</v>
      </c>
      <c r="BO515">
        <v>4.0</v>
      </c>
      <c r="BP515" t="s">
        <v>10682</v>
      </c>
      <c r="BQ515" t="s">
        <v>3728</v>
      </c>
      <c r="BR515" t="s">
        <v>10683</v>
      </c>
      <c r="BS515" t="s">
        <v>10684</v>
      </c>
      <c r="BU515" t="s">
        <v>179</v>
      </c>
      <c r="BV515" s="3" t="str">
        <f>HYPERLINK("https://api.typeform.com/responses/files/745f56ff587e16836536b3dbe8e05199f208b72c59dd5ddae5d9df1c2ee8383e/IMG_6248.jpg")</f>
        <v>https://api.typeform.com/responses/files/745f56ff587e16836536b3dbe8e05199f208b72c59dd5ddae5d9df1c2ee8383e/IMG_6248.jpg</v>
      </c>
      <c r="BW515" t="b">
        <v>1</v>
      </c>
      <c r="BX515" t="s">
        <v>1394</v>
      </c>
      <c r="BY515" t="s">
        <v>140</v>
      </c>
      <c r="CA515" t="s">
        <v>1395</v>
      </c>
      <c r="CD515">
        <v>0.0</v>
      </c>
      <c r="CF515" t="b">
        <v>1</v>
      </c>
      <c r="CG515" t="b">
        <v>1</v>
      </c>
      <c r="CH515" t="s">
        <v>128</v>
      </c>
      <c r="CJ515" t="b">
        <v>1</v>
      </c>
      <c r="CK515" t="b">
        <v>1</v>
      </c>
      <c r="CL515" t="s">
        <v>387</v>
      </c>
      <c r="CO515" t="s">
        <v>10685</v>
      </c>
      <c r="CR515" t="b">
        <v>1</v>
      </c>
      <c r="CT515">
        <v>0.0</v>
      </c>
      <c r="CU515">
        <v>0.0</v>
      </c>
      <c r="CX515" s="4" t="s">
        <v>10686</v>
      </c>
      <c r="CZ515" s="5">
        <v>44596.74060185185</v>
      </c>
      <c r="DA515" t="s">
        <v>10687</v>
      </c>
    </row>
    <row r="516">
      <c r="A516" t="s">
        <v>98</v>
      </c>
      <c r="D516" t="s">
        <v>10688</v>
      </c>
      <c r="E516" t="s">
        <v>4733</v>
      </c>
      <c r="F516" s="2">
        <v>37892.0</v>
      </c>
      <c r="G516" t="s">
        <v>1466</v>
      </c>
      <c r="I516" s="3" t="str">
        <f>HYPERLINK("https://api.typeform.com/responses/files/789f5a9e05ed6dffb7b71dc739362062b6d602e8e6bba29fff5e552e34df7246/Photo_on_2_4_22_at_12.34_PM.jpg")</f>
        <v>https://api.typeform.com/responses/files/789f5a9e05ed6dffb7b71dc739362062b6d602e8e6bba29fff5e552e34df7246/Photo_on_2_4_22_at_12.34_PM.jpg</v>
      </c>
      <c r="J516" t="s">
        <v>10689</v>
      </c>
      <c r="K516" t="b">
        <v>1</v>
      </c>
      <c r="L516" s="4" t="s">
        <v>10690</v>
      </c>
      <c r="M516" t="s">
        <v>10691</v>
      </c>
      <c r="N516" t="s">
        <v>149</v>
      </c>
      <c r="O516" t="s">
        <v>5705</v>
      </c>
      <c r="P516" t="s">
        <v>10692</v>
      </c>
      <c r="Q516" t="s">
        <v>189</v>
      </c>
      <c r="R516" t="s">
        <v>10693</v>
      </c>
      <c r="S516" t="s">
        <v>10694</v>
      </c>
      <c r="T516" s="4" t="s">
        <v>10695</v>
      </c>
      <c r="U516" t="s">
        <v>1674</v>
      </c>
      <c r="V516" t="s">
        <v>10696</v>
      </c>
      <c r="W516" t="s">
        <v>113</v>
      </c>
      <c r="Y516" t="s">
        <v>158</v>
      </c>
      <c r="Z516" t="s">
        <v>262</v>
      </c>
      <c r="AC516" s="3" t="str">
        <f>HYPERLINK("https://api.typeform.com/responses/files/228fed025104d3356ccb9b1178ee047f5848362abb902abf76e7a7ecd1275524/Denzel_V._transcript.pdf")</f>
        <v>https://api.typeform.com/responses/files/228fed025104d3356ccb9b1178ee047f5848362abb902abf76e7a7ecd1275524/Denzel_V._transcript.pdf</v>
      </c>
      <c r="AD516" t="s">
        <v>118</v>
      </c>
      <c r="AE516" t="s">
        <v>729</v>
      </c>
      <c r="AF516" t="s">
        <v>1019</v>
      </c>
      <c r="AG516">
        <v>15.0</v>
      </c>
      <c r="AH516" t="s">
        <v>10697</v>
      </c>
      <c r="AI516" t="s">
        <v>386</v>
      </c>
      <c r="AK516" t="s">
        <v>10698</v>
      </c>
      <c r="AL516" t="s">
        <v>199</v>
      </c>
      <c r="AO516" t="s">
        <v>335</v>
      </c>
      <c r="AP516">
        <v>4.0</v>
      </c>
      <c r="AQ516" t="s">
        <v>5671</v>
      </c>
      <c r="AR516" t="s">
        <v>10699</v>
      </c>
      <c r="AS516" t="b">
        <v>0</v>
      </c>
      <c r="AV516">
        <v>4.0</v>
      </c>
      <c r="AW516" t="b">
        <v>0</v>
      </c>
      <c r="AZ516" t="b">
        <v>0</v>
      </c>
      <c r="BA516" t="b">
        <v>1</v>
      </c>
      <c r="BB516" t="b">
        <v>0</v>
      </c>
      <c r="BC516" t="s">
        <v>10700</v>
      </c>
      <c r="BH516" t="s">
        <v>132</v>
      </c>
      <c r="BI516">
        <v>1.0</v>
      </c>
      <c r="BJ516" t="s">
        <v>679</v>
      </c>
      <c r="BK516">
        <v>2.0</v>
      </c>
      <c r="BL516">
        <v>4.0</v>
      </c>
      <c r="BM516" t="s">
        <v>10701</v>
      </c>
      <c r="BN516">
        <v>3.0</v>
      </c>
      <c r="BO516">
        <v>5.0</v>
      </c>
      <c r="BP516" t="s">
        <v>10702</v>
      </c>
      <c r="BQ516" t="s">
        <v>1050</v>
      </c>
      <c r="BR516" t="s">
        <v>10703</v>
      </c>
      <c r="BS516" t="s">
        <v>10704</v>
      </c>
      <c r="BU516" t="s">
        <v>10705</v>
      </c>
      <c r="BV516" s="3" t="str">
        <f>HYPERLINK("https://api.typeform.com/responses/files/e7713802fbe99e377060d45b51c0f5fde2257b296a69a7372cf49f2d4172cfb0/speak_.jpeg")</f>
        <v>https://api.typeform.com/responses/files/e7713802fbe99e377060d45b51c0f5fde2257b296a69a7372cf49f2d4172cfb0/speak_.jpeg</v>
      </c>
      <c r="BW516" t="b">
        <v>1</v>
      </c>
      <c r="BX516" t="s">
        <v>1394</v>
      </c>
      <c r="BY516" t="s">
        <v>140</v>
      </c>
      <c r="CA516" t="s">
        <v>1395</v>
      </c>
      <c r="CD516">
        <v>0.0</v>
      </c>
      <c r="CF516" t="b">
        <v>1</v>
      </c>
      <c r="CG516" t="b">
        <v>1</v>
      </c>
      <c r="CH516" t="s">
        <v>128</v>
      </c>
      <c r="CJ516" t="b">
        <v>1</v>
      </c>
      <c r="CK516" t="b">
        <v>1</v>
      </c>
      <c r="CL516" t="s">
        <v>387</v>
      </c>
      <c r="CO516" t="s">
        <v>1688</v>
      </c>
      <c r="CR516" t="b">
        <v>1</v>
      </c>
      <c r="CT516">
        <v>1.0</v>
      </c>
      <c r="CU516">
        <v>0.0</v>
      </c>
      <c r="CX516" s="4" t="s">
        <v>6117</v>
      </c>
      <c r="CZ516" s="5">
        <v>44596.74475694444</v>
      </c>
      <c r="DA516" t="s">
        <v>10706</v>
      </c>
    </row>
    <row r="517">
      <c r="A517" t="s">
        <v>98</v>
      </c>
      <c r="D517" t="s">
        <v>2638</v>
      </c>
      <c r="E517" t="s">
        <v>10707</v>
      </c>
      <c r="F517" s="2">
        <v>38192.0</v>
      </c>
      <c r="G517" t="s">
        <v>1466</v>
      </c>
      <c r="I517" s="3" t="str">
        <f>HYPERLINK("https://api.typeform.com/responses/files/acbdc6a894bd4da8998ccf5267fd2fd0f1cdfc1783c3bff3ea58a4c60a10525c/Jose_S._transcript.pdf")</f>
        <v>https://api.typeform.com/responses/files/acbdc6a894bd4da8998ccf5267fd2fd0f1cdfc1783c3bff3ea58a4c60a10525c/Jose_S._transcript.pdf</v>
      </c>
      <c r="J517" t="s">
        <v>10708</v>
      </c>
      <c r="K517" t="b">
        <v>1</v>
      </c>
      <c r="L517" s="4" t="s">
        <v>10709</v>
      </c>
      <c r="M517" t="s">
        <v>10710</v>
      </c>
      <c r="N517" t="s">
        <v>149</v>
      </c>
      <c r="O517" t="s">
        <v>10711</v>
      </c>
      <c r="P517" t="s">
        <v>10712</v>
      </c>
      <c r="Q517" t="s">
        <v>563</v>
      </c>
      <c r="R517" t="s">
        <v>10713</v>
      </c>
      <c r="S517" t="s">
        <v>10714</v>
      </c>
      <c r="T517" s="4" t="s">
        <v>10709</v>
      </c>
      <c r="U517" t="s">
        <v>1674</v>
      </c>
      <c r="V517" t="s">
        <v>10333</v>
      </c>
      <c r="W517" t="s">
        <v>113</v>
      </c>
      <c r="Y517" t="s">
        <v>158</v>
      </c>
      <c r="Z517" t="s">
        <v>262</v>
      </c>
      <c r="AC517" s="3" t="str">
        <f>HYPERLINK("https://api.typeform.com/responses/files/809761aee298e50898a8ddddb72e4f0341a8f12d836b28d41ce7d34cc55f1df7/Jose_S._transcript.pdf")</f>
        <v>https://api.typeform.com/responses/files/809761aee298e50898a8ddddb72e4f0341a8f12d836b28d41ce7d34cc55f1df7/Jose_S._transcript.pdf</v>
      </c>
      <c r="AD517" t="s">
        <v>118</v>
      </c>
      <c r="AE517" t="s">
        <v>1780</v>
      </c>
      <c r="AI517" t="s">
        <v>162</v>
      </c>
      <c r="AL517" t="s">
        <v>967</v>
      </c>
      <c r="AO517" t="s">
        <v>486</v>
      </c>
      <c r="AP517">
        <v>4.0</v>
      </c>
      <c r="AQ517" t="s">
        <v>2240</v>
      </c>
      <c r="AR517" t="s">
        <v>10715</v>
      </c>
      <c r="AS517" t="b">
        <v>1</v>
      </c>
      <c r="AT517" t="b">
        <v>1</v>
      </c>
      <c r="AV517">
        <v>7.0</v>
      </c>
      <c r="AW517" t="b">
        <v>0</v>
      </c>
      <c r="AZ517" t="b">
        <v>0</v>
      </c>
      <c r="BA517" t="b">
        <v>0</v>
      </c>
      <c r="BD517" t="s">
        <v>10716</v>
      </c>
      <c r="BH517" t="s">
        <v>132</v>
      </c>
      <c r="BI517">
        <v>4.0</v>
      </c>
      <c r="BJ517" t="s">
        <v>10717</v>
      </c>
      <c r="BK517">
        <v>2.0</v>
      </c>
      <c r="BL517">
        <v>5.0</v>
      </c>
      <c r="BM517" t="s">
        <v>10718</v>
      </c>
      <c r="BN517">
        <v>4.0</v>
      </c>
      <c r="BO517">
        <v>4.0</v>
      </c>
      <c r="BP517" t="s">
        <v>10719</v>
      </c>
      <c r="BQ517" t="s">
        <v>1050</v>
      </c>
      <c r="BR517" t="s">
        <v>10720</v>
      </c>
      <c r="BS517" t="s">
        <v>10721</v>
      </c>
      <c r="BU517" t="s">
        <v>10722</v>
      </c>
      <c r="BV517" s="3" t="str">
        <f>HYPERLINK("https://api.typeform.com/responses/files/a30c8f4cdb36070bd4b18b52841fc87c53821aa343bdb60129753b8b7dbbeb02/Jose_S._transcript.pdf")</f>
        <v>https://api.typeform.com/responses/files/a30c8f4cdb36070bd4b18b52841fc87c53821aa343bdb60129753b8b7dbbeb02/Jose_S._transcript.pdf</v>
      </c>
      <c r="BW517" t="b">
        <v>1</v>
      </c>
      <c r="BX517" t="s">
        <v>1394</v>
      </c>
      <c r="BY517" t="s">
        <v>140</v>
      </c>
      <c r="CA517" t="s">
        <v>1395</v>
      </c>
      <c r="CD517">
        <v>0.0</v>
      </c>
      <c r="CF517" t="b">
        <v>1</v>
      </c>
      <c r="CG517" t="b">
        <v>1</v>
      </c>
      <c r="CH517" t="s">
        <v>4563</v>
      </c>
      <c r="CJ517" t="b">
        <v>1</v>
      </c>
      <c r="CK517" t="b">
        <v>1</v>
      </c>
      <c r="CL517" t="s">
        <v>387</v>
      </c>
      <c r="CM517" t="s">
        <v>387</v>
      </c>
      <c r="CO517" t="s">
        <v>1635</v>
      </c>
      <c r="CR517" t="b">
        <v>1</v>
      </c>
      <c r="CT517">
        <v>1.0</v>
      </c>
      <c r="CU517">
        <v>2.0</v>
      </c>
      <c r="CX517" s="4" t="s">
        <v>10723</v>
      </c>
      <c r="CZ517" s="5">
        <v>44596.83366898148</v>
      </c>
      <c r="DA517" t="s">
        <v>10724</v>
      </c>
    </row>
    <row r="518">
      <c r="A518" t="s">
        <v>98</v>
      </c>
      <c r="D518" t="s">
        <v>10725</v>
      </c>
      <c r="E518" t="s">
        <v>10726</v>
      </c>
      <c r="F518" s="2">
        <v>38373.0</v>
      </c>
      <c r="G518" t="s">
        <v>1360</v>
      </c>
      <c r="I518" s="3" t="str">
        <f>HYPERLINK("https://api.typeform.com/responses/files/2d723821169b965e04ee1c26d9dc3c88d89de7e4308743d8d2a2b19668622299/mail__1_.jpeg")</f>
        <v>https://api.typeform.com/responses/files/2d723821169b965e04ee1c26d9dc3c88d89de7e4308743d8d2a2b19668622299/mail__1_.jpeg</v>
      </c>
      <c r="J518" t="s">
        <v>10727</v>
      </c>
      <c r="K518" t="b">
        <v>1</v>
      </c>
      <c r="L518" s="4" t="s">
        <v>10728</v>
      </c>
      <c r="M518" t="s">
        <v>10729</v>
      </c>
      <c r="N518" t="s">
        <v>354</v>
      </c>
      <c r="O518" t="s">
        <v>9125</v>
      </c>
      <c r="P518" t="s">
        <v>10730</v>
      </c>
      <c r="Q518" t="s">
        <v>152</v>
      </c>
      <c r="R518" t="s">
        <v>10727</v>
      </c>
      <c r="S518" t="s">
        <v>10731</v>
      </c>
      <c r="T518" s="4" t="s">
        <v>10728</v>
      </c>
      <c r="U518" t="s">
        <v>1674</v>
      </c>
      <c r="V518" t="s">
        <v>10732</v>
      </c>
      <c r="W518" t="s">
        <v>113</v>
      </c>
      <c r="Y518" t="s">
        <v>158</v>
      </c>
      <c r="Z518" t="s">
        <v>262</v>
      </c>
      <c r="AC518" s="3" t="str">
        <f>HYPERLINK("https://api.typeform.com/responses/files/0d6aafcfc81df8a57cec97cb3300773788f63655b9c0ae1bb157762265dd7cfb/Shiralyn_M.__transcript__1_.pdf")</f>
        <v>https://api.typeform.com/responses/files/0d6aafcfc81df8a57cec97cb3300773788f63655b9c0ae1bb157762265dd7cfb/Shiralyn_M.__transcript__1_.pdf</v>
      </c>
      <c r="AD518" t="s">
        <v>118</v>
      </c>
      <c r="AE518" t="s">
        <v>729</v>
      </c>
      <c r="AF518" t="s">
        <v>10733</v>
      </c>
      <c r="AG518">
        <v>15.0</v>
      </c>
      <c r="AH518" t="s">
        <v>10734</v>
      </c>
      <c r="AI518" t="s">
        <v>162</v>
      </c>
      <c r="AK518" t="s">
        <v>179</v>
      </c>
      <c r="AL518" t="s">
        <v>199</v>
      </c>
      <c r="AO518" t="s">
        <v>335</v>
      </c>
      <c r="AP518">
        <v>4.0</v>
      </c>
      <c r="AQ518" t="s">
        <v>1520</v>
      </c>
      <c r="AR518" t="s">
        <v>10735</v>
      </c>
      <c r="AS518" t="b">
        <v>1</v>
      </c>
      <c r="AT518" t="b">
        <v>0</v>
      </c>
      <c r="AV518">
        <v>2.0</v>
      </c>
      <c r="AW518" t="b">
        <v>0</v>
      </c>
      <c r="AZ518" t="b">
        <v>0</v>
      </c>
      <c r="BA518" t="b">
        <v>0</v>
      </c>
      <c r="BD518" t="s">
        <v>5131</v>
      </c>
      <c r="BH518" t="s">
        <v>132</v>
      </c>
      <c r="BI518">
        <v>1.0</v>
      </c>
      <c r="BJ518" t="s">
        <v>679</v>
      </c>
      <c r="BK518">
        <v>4.0</v>
      </c>
      <c r="BL518">
        <v>3.0</v>
      </c>
      <c r="BM518" t="s">
        <v>679</v>
      </c>
      <c r="BN518">
        <v>2.0</v>
      </c>
      <c r="BO518">
        <v>5.0</v>
      </c>
      <c r="BP518" t="s">
        <v>10736</v>
      </c>
      <c r="BQ518" t="s">
        <v>9880</v>
      </c>
      <c r="BR518" t="s">
        <v>10737</v>
      </c>
      <c r="BS518" t="s">
        <v>10738</v>
      </c>
      <c r="BU518" t="s">
        <v>10739</v>
      </c>
      <c r="BV518" s="3" t="str">
        <f>HYPERLINK("https://api.typeform.com/responses/files/8b8c31421b40df8ae659986aac14325a02836faba2f80a1d298d71cdb20e80bc/unnamed.jpeg")</f>
        <v>https://api.typeform.com/responses/files/8b8c31421b40df8ae659986aac14325a02836faba2f80a1d298d71cdb20e80bc/unnamed.jpeg</v>
      </c>
      <c r="BW518" t="b">
        <v>1</v>
      </c>
      <c r="BX518" t="s">
        <v>1394</v>
      </c>
      <c r="BY518" t="s">
        <v>140</v>
      </c>
      <c r="CA518" t="s">
        <v>1395</v>
      </c>
      <c r="CD518">
        <v>0.0</v>
      </c>
      <c r="CF518" t="b">
        <v>1</v>
      </c>
      <c r="CG518" t="b">
        <v>1</v>
      </c>
      <c r="CH518" t="s">
        <v>1420</v>
      </c>
      <c r="CJ518" t="b">
        <v>1</v>
      </c>
      <c r="CK518" t="b">
        <v>1</v>
      </c>
      <c r="CL518" t="s">
        <v>541</v>
      </c>
      <c r="CM518" t="s">
        <v>541</v>
      </c>
      <c r="CO518" t="s">
        <v>1635</v>
      </c>
      <c r="CQ518" t="s">
        <v>541</v>
      </c>
      <c r="CR518" t="b">
        <v>1</v>
      </c>
      <c r="CT518">
        <v>0.0</v>
      </c>
      <c r="CU518">
        <v>0.0</v>
      </c>
      <c r="CX518" s="4" t="s">
        <v>10740</v>
      </c>
      <c r="CZ518" s="5">
        <v>44600.63858796296</v>
      </c>
      <c r="DA518" t="s">
        <v>10741</v>
      </c>
    </row>
    <row r="519">
      <c r="A519" t="s">
        <v>98</v>
      </c>
      <c r="D519" t="s">
        <v>10742</v>
      </c>
      <c r="E519" t="s">
        <v>10743</v>
      </c>
      <c r="F519" s="2">
        <v>38581.0</v>
      </c>
      <c r="G519" t="s">
        <v>1466</v>
      </c>
      <c r="I519" s="3" t="str">
        <f>HYPERLINK("https://api.typeform.com/responses/files/64fa1d0e84178bb12bcd3548e58bd74d4089c93eb2ad95144819f939c174810a/IMG_20220208_092314.jpg")</f>
        <v>https://api.typeform.com/responses/files/64fa1d0e84178bb12bcd3548e58bd74d4089c93eb2ad95144819f939c174810a/IMG_20220208_092314.jpg</v>
      </c>
      <c r="J519" t="s">
        <v>10744</v>
      </c>
      <c r="K519" t="b">
        <v>1</v>
      </c>
      <c r="L519" s="4" t="s">
        <v>10745</v>
      </c>
      <c r="M519" t="s">
        <v>10746</v>
      </c>
      <c r="N519" t="s">
        <v>149</v>
      </c>
      <c r="P519" t="s">
        <v>10747</v>
      </c>
      <c r="Q519" t="s">
        <v>189</v>
      </c>
      <c r="R519" t="s">
        <v>10748</v>
      </c>
      <c r="S519" t="s">
        <v>10749</v>
      </c>
      <c r="T519" s="4" t="s">
        <v>10750</v>
      </c>
      <c r="U519" t="s">
        <v>10751</v>
      </c>
      <c r="V519" t="s">
        <v>10752</v>
      </c>
      <c r="W519" t="s">
        <v>261</v>
      </c>
      <c r="Y519" t="s">
        <v>158</v>
      </c>
      <c r="Z519" t="s">
        <v>262</v>
      </c>
      <c r="AC519" s="3" t="str">
        <f>HYPERLINK("https://api.typeform.com/responses/files/5cfeab765d94a0805d4b91e75bcfffa6806c3a199750b3ed8ea3c513f2f98fb3/Jhojanly_M.__transcript.pdf")</f>
        <v>https://api.typeform.com/responses/files/5cfeab765d94a0805d4b91e75bcfffa6806c3a199750b3ed8ea3c513f2f98fb3/Jhojanly_M.__transcript.pdf</v>
      </c>
      <c r="AD519" t="s">
        <v>1516</v>
      </c>
      <c r="AE519" t="s">
        <v>729</v>
      </c>
      <c r="AF519" t="s">
        <v>2874</v>
      </c>
      <c r="AG519">
        <v>11.0</v>
      </c>
      <c r="AH519" t="s">
        <v>10353</v>
      </c>
      <c r="AI519" t="s">
        <v>162</v>
      </c>
      <c r="AK519" t="s">
        <v>606</v>
      </c>
      <c r="AL519" t="s">
        <v>1043</v>
      </c>
      <c r="AO519" t="s">
        <v>335</v>
      </c>
      <c r="AP519">
        <v>7.0</v>
      </c>
      <c r="AQ519" t="s">
        <v>2625</v>
      </c>
      <c r="AR519" t="s">
        <v>10753</v>
      </c>
      <c r="AS519" t="b">
        <v>0</v>
      </c>
      <c r="AV519">
        <v>6.0</v>
      </c>
      <c r="AW519" t="b">
        <v>0</v>
      </c>
      <c r="AZ519" t="b">
        <v>0</v>
      </c>
      <c r="BA519" t="b">
        <v>0</v>
      </c>
      <c r="BD519" t="s">
        <v>10753</v>
      </c>
      <c r="BH519" t="s">
        <v>132</v>
      </c>
      <c r="BI519">
        <v>5.0</v>
      </c>
      <c r="BJ519" s="4" t="s">
        <v>130</v>
      </c>
      <c r="BK519">
        <v>6.0</v>
      </c>
      <c r="BL519">
        <v>5.0</v>
      </c>
      <c r="BM519" t="s">
        <v>10754</v>
      </c>
      <c r="BN519">
        <v>4.0</v>
      </c>
      <c r="BO519">
        <v>4.0</v>
      </c>
      <c r="BP519" t="s">
        <v>10755</v>
      </c>
      <c r="BQ519" t="s">
        <v>916</v>
      </c>
      <c r="BR519" t="s">
        <v>10756</v>
      </c>
      <c r="BS519" t="s">
        <v>10757</v>
      </c>
      <c r="BU519" t="s">
        <v>10758</v>
      </c>
      <c r="BV519" s="3" t="str">
        <f>HYPERLINK("https://api.typeform.com/responses/files/a3760e5b4809183079948e22271faedcb4d54514138996951faa140a02494391/989bb1c6_d71c_41e3_a199_271ffacd7e1e.jpeg")</f>
        <v>https://api.typeform.com/responses/files/a3760e5b4809183079948e22271faedcb4d54514138996951faa140a02494391/989bb1c6_d71c_41e3_a199_271ffacd7e1e.jpeg</v>
      </c>
      <c r="BW519" t="b">
        <v>1</v>
      </c>
      <c r="BX519" t="s">
        <v>1394</v>
      </c>
      <c r="BY519" t="s">
        <v>140</v>
      </c>
      <c r="CA519" t="s">
        <v>1395</v>
      </c>
      <c r="CD519">
        <v>0.0</v>
      </c>
      <c r="CF519" t="b">
        <v>1</v>
      </c>
      <c r="CG519" t="b">
        <v>1</v>
      </c>
      <c r="CH519" t="s">
        <v>4188</v>
      </c>
      <c r="CJ519" t="b">
        <v>1</v>
      </c>
      <c r="CK519" t="b">
        <v>1</v>
      </c>
      <c r="CL519" t="s">
        <v>198</v>
      </c>
      <c r="CM519" t="s">
        <v>198</v>
      </c>
      <c r="CO519" t="s">
        <v>2888</v>
      </c>
      <c r="CQ519" t="s">
        <v>198</v>
      </c>
      <c r="CR519" t="b">
        <v>1</v>
      </c>
      <c r="CT519">
        <v>0.0</v>
      </c>
      <c r="CU519">
        <v>0.0</v>
      </c>
      <c r="CX519" s="4" t="s">
        <v>3042</v>
      </c>
      <c r="CZ519" s="5">
        <v>44600.63976851852</v>
      </c>
      <c r="DA519" t="s">
        <v>10759</v>
      </c>
    </row>
    <row r="520">
      <c r="A520" t="s">
        <v>98</v>
      </c>
      <c r="D520" t="s">
        <v>10760</v>
      </c>
      <c r="E520" t="s">
        <v>10761</v>
      </c>
      <c r="F520" s="2">
        <v>36827.0</v>
      </c>
      <c r="G520" t="s">
        <v>1466</v>
      </c>
      <c r="I520" s="3" t="str">
        <f>HYPERLINK("https://api.typeform.com/responses/files/5c2f66247ba61e7baf4470e7a73685d9c663626e3030aba28d6efb6cd7b98235/639F648D_387A_459F_A2BB_73BE47A893D2.jpeg")</f>
        <v>https://api.typeform.com/responses/files/5c2f66247ba61e7baf4470e7a73685d9c663626e3030aba28d6efb6cd7b98235/639F648D_387A_459F_A2BB_73BE47A893D2.jpeg</v>
      </c>
      <c r="J520" t="s">
        <v>10762</v>
      </c>
      <c r="K520" t="b">
        <v>1</v>
      </c>
      <c r="L520" s="4" t="s">
        <v>10763</v>
      </c>
      <c r="M520" t="s">
        <v>10764</v>
      </c>
      <c r="N520" t="s">
        <v>105</v>
      </c>
      <c r="O520" t="s">
        <v>10765</v>
      </c>
      <c r="P520" t="s">
        <v>10766</v>
      </c>
      <c r="Q520" t="s">
        <v>152</v>
      </c>
      <c r="R520" t="s">
        <v>10767</v>
      </c>
      <c r="S520" t="s">
        <v>10764</v>
      </c>
      <c r="T520" s="4" t="s">
        <v>10763</v>
      </c>
      <c r="U520" t="s">
        <v>156</v>
      </c>
      <c r="V520" t="s">
        <v>10768</v>
      </c>
      <c r="W520" t="s">
        <v>113</v>
      </c>
      <c r="Y520" t="s">
        <v>158</v>
      </c>
      <c r="Z520" t="s">
        <v>262</v>
      </c>
      <c r="AC520" s="3" t="str">
        <f>HYPERLINK("https://api.typeform.com/responses/files/c6761333109b42fdbfaf8a5d4d3026435304791268ed4b85e29b1d81561a02cb/559B77CD_4B81_41EC_A9FA_41EE06EAC244.png")</f>
        <v>https://api.typeform.com/responses/files/c6761333109b42fdbfaf8a5d4d3026435304791268ed4b85e29b1d81561a02cb/559B77CD_4B81_41EC_A9FA_41EE06EAC244.png</v>
      </c>
      <c r="AD520" t="s">
        <v>118</v>
      </c>
      <c r="AE520" t="s">
        <v>729</v>
      </c>
      <c r="AF520" t="s">
        <v>10769</v>
      </c>
      <c r="AG520">
        <v>2019.0</v>
      </c>
      <c r="AH520" t="s">
        <v>10770</v>
      </c>
      <c r="AI520" t="s">
        <v>162</v>
      </c>
      <c r="AK520" t="s">
        <v>10771</v>
      </c>
      <c r="AL520" t="s">
        <v>10772</v>
      </c>
      <c r="AO520" t="s">
        <v>335</v>
      </c>
      <c r="AP520">
        <v>7.0</v>
      </c>
      <c r="AQ520" t="s">
        <v>303</v>
      </c>
      <c r="AR520" t="s">
        <v>303</v>
      </c>
      <c r="AS520" t="b">
        <v>1</v>
      </c>
      <c r="AT520" t="b">
        <v>1</v>
      </c>
      <c r="AV520">
        <v>7.0</v>
      </c>
      <c r="AW520" t="b">
        <v>1</v>
      </c>
      <c r="AX520" t="s">
        <v>1902</v>
      </c>
      <c r="AY520" s="4" t="s">
        <v>170</v>
      </c>
      <c r="AZ520" t="b">
        <v>1</v>
      </c>
      <c r="BA520" t="b">
        <v>1</v>
      </c>
      <c r="BB520" t="b">
        <v>0</v>
      </c>
      <c r="BC520" t="s">
        <v>10773</v>
      </c>
      <c r="BH520" t="s">
        <v>132</v>
      </c>
      <c r="BI520">
        <v>4.0</v>
      </c>
      <c r="BJ520" t="s">
        <v>10774</v>
      </c>
      <c r="BK520">
        <v>4.0</v>
      </c>
      <c r="BL520">
        <v>4.0</v>
      </c>
      <c r="BM520" t="s">
        <v>10775</v>
      </c>
      <c r="BN520">
        <v>1.0</v>
      </c>
      <c r="BO520">
        <v>7.0</v>
      </c>
      <c r="BP520" t="s">
        <v>10776</v>
      </c>
      <c r="BQ520" t="s">
        <v>1335</v>
      </c>
      <c r="BR520" t="s">
        <v>10777</v>
      </c>
      <c r="BS520" t="s">
        <v>10778</v>
      </c>
      <c r="BU520" t="s">
        <v>10779</v>
      </c>
      <c r="BV520" s="3" t="str">
        <f>HYPERLINK("https://api.typeform.com/responses/files/5ef6fceaffa07adf48897bd2b1022f2664b2ccbbbe7892d7251f4006a2f1b733/55BC2EB9_AC3F_45FD_A18B_0D5618FE75B6.png")</f>
        <v>https://api.typeform.com/responses/files/5ef6fceaffa07adf48897bd2b1022f2664b2ccbbbe7892d7251f4006a2f1b733/55BC2EB9_AC3F_45FD_A18B_0D5618FE75B6.png</v>
      </c>
      <c r="BW520" t="b">
        <v>1</v>
      </c>
      <c r="BX520" t="s">
        <v>1394</v>
      </c>
      <c r="BY520" t="s">
        <v>140</v>
      </c>
      <c r="CA520" t="s">
        <v>1395</v>
      </c>
      <c r="CD520">
        <v>0.0</v>
      </c>
      <c r="CF520" t="b">
        <v>1</v>
      </c>
      <c r="CG520" t="b">
        <v>1</v>
      </c>
      <c r="CH520" t="s">
        <v>1687</v>
      </c>
      <c r="CJ520" t="b">
        <v>1</v>
      </c>
      <c r="CK520" t="b">
        <v>1</v>
      </c>
      <c r="CL520" t="s">
        <v>300</v>
      </c>
      <c r="CM520" t="s">
        <v>300</v>
      </c>
      <c r="CO520" t="s">
        <v>124</v>
      </c>
      <c r="CQ520" t="s">
        <v>300</v>
      </c>
      <c r="CR520" t="b">
        <v>1</v>
      </c>
      <c r="CT520">
        <v>2.0</v>
      </c>
      <c r="CU520">
        <v>0.0</v>
      </c>
      <c r="CX520" s="4" t="s">
        <v>1610</v>
      </c>
      <c r="CZ520" s="5">
        <v>44600.732152777775</v>
      </c>
      <c r="DA520" t="s">
        <v>10780</v>
      </c>
    </row>
    <row r="521">
      <c r="A521" t="s">
        <v>98</v>
      </c>
      <c r="D521" t="s">
        <v>10781</v>
      </c>
      <c r="E521" t="s">
        <v>10782</v>
      </c>
      <c r="F521" s="2">
        <v>38301.0</v>
      </c>
      <c r="G521" t="s">
        <v>1466</v>
      </c>
      <c r="I521" s="3" t="str">
        <f>HYPERLINK("https://api.typeform.com/responses/files/c8e07ea9e46c9413f6367ced6ce8d4a1d215972a1282010f8390943b8e1c0d0e/IMG_2168__3_.jpg")</f>
        <v>https://api.typeform.com/responses/files/c8e07ea9e46c9413f6367ced6ce8d4a1d215972a1282010f8390943b8e1c0d0e/IMG_2168__3_.jpg</v>
      </c>
      <c r="J521" t="s">
        <v>10783</v>
      </c>
      <c r="K521" t="b">
        <v>1</v>
      </c>
      <c r="L521" s="4" t="s">
        <v>10784</v>
      </c>
      <c r="M521" t="s">
        <v>10785</v>
      </c>
      <c r="N521" t="s">
        <v>255</v>
      </c>
      <c r="O521" t="s">
        <v>10786</v>
      </c>
      <c r="P521" t="s">
        <v>10787</v>
      </c>
      <c r="Q521" t="s">
        <v>189</v>
      </c>
      <c r="R521" t="s">
        <v>10788</v>
      </c>
      <c r="S521" t="s">
        <v>10789</v>
      </c>
      <c r="T521" s="4" t="s">
        <v>10790</v>
      </c>
      <c r="U521" t="s">
        <v>10791</v>
      </c>
      <c r="V521" t="s">
        <v>8921</v>
      </c>
      <c r="W521" t="s">
        <v>2290</v>
      </c>
      <c r="Y521" t="s">
        <v>158</v>
      </c>
      <c r="Z521" t="s">
        <v>262</v>
      </c>
      <c r="AC521" s="3" t="str">
        <f>HYPERLINK("https://api.typeform.com/responses/files/d1fbb7abfedcc1b98c0e685a17fa73499998a8047f8ab01d64ef7701634d06fd/Screen_Shot_2022_02_09_at_12.38.03_PM.png")</f>
        <v>https://api.typeform.com/responses/files/d1fbb7abfedcc1b98c0e685a17fa73499998a8047f8ab01d64ef7701634d06fd/Screen_Shot_2022_02_09_at_12.38.03_PM.png</v>
      </c>
      <c r="AD521" t="s">
        <v>118</v>
      </c>
      <c r="AE521" t="s">
        <v>729</v>
      </c>
      <c r="AF521" t="s">
        <v>3201</v>
      </c>
      <c r="AG521">
        <v>14.0</v>
      </c>
      <c r="AH521" t="s">
        <v>546</v>
      </c>
      <c r="AI521" t="s">
        <v>205</v>
      </c>
      <c r="AK521" t="s">
        <v>10792</v>
      </c>
      <c r="AL521" t="s">
        <v>199</v>
      </c>
      <c r="AO521" t="s">
        <v>335</v>
      </c>
      <c r="AP521">
        <v>4.0</v>
      </c>
      <c r="AQ521" t="s">
        <v>1070</v>
      </c>
      <c r="AR521" t="s">
        <v>10793</v>
      </c>
      <c r="AS521" t="b">
        <v>0</v>
      </c>
      <c r="AV521">
        <v>4.0</v>
      </c>
      <c r="AW521" t="b">
        <v>0</v>
      </c>
      <c r="AZ521" t="b">
        <v>1</v>
      </c>
      <c r="BA521" t="b">
        <v>1</v>
      </c>
      <c r="BB521" t="b">
        <v>0</v>
      </c>
      <c r="BC521" t="s">
        <v>10794</v>
      </c>
      <c r="BH521" t="s">
        <v>132</v>
      </c>
      <c r="BI521">
        <v>1.0</v>
      </c>
      <c r="BJ521" t="s">
        <v>3585</v>
      </c>
      <c r="BK521">
        <v>2.0</v>
      </c>
      <c r="BL521">
        <v>3.0</v>
      </c>
      <c r="BM521" t="s">
        <v>10795</v>
      </c>
      <c r="BN521">
        <v>3.0</v>
      </c>
      <c r="BO521">
        <v>5.0</v>
      </c>
      <c r="BP521" t="s">
        <v>10796</v>
      </c>
      <c r="BQ521" t="s">
        <v>916</v>
      </c>
      <c r="BR521" t="s">
        <v>10797</v>
      </c>
      <c r="BS521" t="s">
        <v>10798</v>
      </c>
      <c r="BU521" t="s">
        <v>139</v>
      </c>
      <c r="BV521" s="3" t="str">
        <f>HYPERLINK("https://api.typeform.com/responses/files/399664c71c0a6c6bdfccd6631d579cff0ae55b966280c282294f91d937ef3a6c/NIXON_VERGARA___SPEAKHIRE_2021___Parent_Consent_Form.pdf")</f>
        <v>https://api.typeform.com/responses/files/399664c71c0a6c6bdfccd6631d579cff0ae55b966280c282294f91d937ef3a6c/NIXON_VERGARA___SPEAKHIRE_2021___Parent_Consent_Form.pdf</v>
      </c>
      <c r="BW521" t="b">
        <v>1</v>
      </c>
      <c r="BX521" t="s">
        <v>1394</v>
      </c>
      <c r="BY521" t="s">
        <v>140</v>
      </c>
      <c r="CA521" t="s">
        <v>1395</v>
      </c>
      <c r="CD521">
        <v>0.0</v>
      </c>
      <c r="CF521" t="b">
        <v>0</v>
      </c>
      <c r="CG521" t="b">
        <v>1</v>
      </c>
      <c r="CH521" t="s">
        <v>10799</v>
      </c>
      <c r="CJ521" t="b">
        <v>1</v>
      </c>
      <c r="CK521" t="b">
        <v>0</v>
      </c>
      <c r="CL521" t="s">
        <v>2301</v>
      </c>
      <c r="CM521" t="s">
        <v>2301</v>
      </c>
      <c r="CO521" t="s">
        <v>388</v>
      </c>
      <c r="CQ521" t="s">
        <v>2301</v>
      </c>
      <c r="CR521" t="b">
        <v>1</v>
      </c>
      <c r="CT521">
        <v>2.0</v>
      </c>
      <c r="CU521">
        <v>0.0</v>
      </c>
      <c r="CX521" s="4" t="s">
        <v>734</v>
      </c>
      <c r="CZ521" s="5">
        <v>44601.746932870374</v>
      </c>
      <c r="DA521" t="s">
        <v>10800</v>
      </c>
    </row>
    <row r="522">
      <c r="A522" t="s">
        <v>98</v>
      </c>
      <c r="D522" t="s">
        <v>10801</v>
      </c>
      <c r="E522" t="s">
        <v>10802</v>
      </c>
      <c r="F522" s="2">
        <v>38028.0</v>
      </c>
      <c r="G522" t="s">
        <v>1466</v>
      </c>
      <c r="I522" s="3" t="str">
        <f>HYPERLINK("https://api.typeform.com/responses/files/4ebf701a1ec3931f5d865d94de56b168fdd2288c2d867ea47459ded51d2a24c7/IMG_0832.jpg")</f>
        <v>https://api.typeform.com/responses/files/4ebf701a1ec3931f5d865d94de56b168fdd2288c2d867ea47459ded51d2a24c7/IMG_0832.jpg</v>
      </c>
      <c r="J522" t="s">
        <v>10803</v>
      </c>
      <c r="K522" t="b">
        <v>1</v>
      </c>
      <c r="L522" s="4" t="s">
        <v>10804</v>
      </c>
      <c r="M522" t="s">
        <v>10805</v>
      </c>
      <c r="N522" t="s">
        <v>255</v>
      </c>
      <c r="O522" t="s">
        <v>10806</v>
      </c>
      <c r="P522" t="s">
        <v>10807</v>
      </c>
      <c r="Q522" t="s">
        <v>108</v>
      </c>
      <c r="R522" t="s">
        <v>10808</v>
      </c>
      <c r="S522" t="s">
        <v>10809</v>
      </c>
      <c r="T522" s="4" t="s">
        <v>10810</v>
      </c>
      <c r="U522" t="s">
        <v>10811</v>
      </c>
      <c r="V522" t="s">
        <v>10812</v>
      </c>
      <c r="W522" t="s">
        <v>2290</v>
      </c>
      <c r="Y522" t="s">
        <v>158</v>
      </c>
      <c r="Z522" t="s">
        <v>262</v>
      </c>
      <c r="AC522" s="3" t="str">
        <f>HYPERLINK("https://api.typeform.com/responses/files/02ec05c4545ea37b0633c46b80216e2fbaeb80c8af0f4e5c5dbc11b3155b28df/Progress_Report_for_Sushil_Gharti_Magar_2022_02_09_18_21.pdf")</f>
        <v>https://api.typeform.com/responses/files/02ec05c4545ea37b0633c46b80216e2fbaeb80c8af0f4e5c5dbc11b3155b28df/Progress_Report_for_Sushil_Gharti_Magar_2022_02_09_18_21.pdf</v>
      </c>
      <c r="AD522" t="s">
        <v>1014</v>
      </c>
      <c r="AE522" t="s">
        <v>1220</v>
      </c>
      <c r="AF522" t="s">
        <v>8798</v>
      </c>
      <c r="AG522">
        <v>4.0</v>
      </c>
      <c r="AH522" s="4" t="s">
        <v>639</v>
      </c>
      <c r="AI522" t="s">
        <v>205</v>
      </c>
      <c r="AK522" t="s">
        <v>6512</v>
      </c>
      <c r="AL522" t="s">
        <v>8799</v>
      </c>
      <c r="AO522" t="s">
        <v>125</v>
      </c>
      <c r="AP522">
        <v>4.0</v>
      </c>
      <c r="AQ522" t="s">
        <v>268</v>
      </c>
      <c r="AR522" t="s">
        <v>10813</v>
      </c>
      <c r="AS522" t="b">
        <v>1</v>
      </c>
      <c r="AT522" t="b">
        <v>0</v>
      </c>
      <c r="AV522">
        <v>4.0</v>
      </c>
      <c r="AW522" t="b">
        <v>0</v>
      </c>
      <c r="AZ522" t="b">
        <v>1</v>
      </c>
      <c r="BA522" t="b">
        <v>0</v>
      </c>
      <c r="BD522" t="s">
        <v>10814</v>
      </c>
      <c r="BH522" t="s">
        <v>132</v>
      </c>
      <c r="BI522">
        <v>3.0</v>
      </c>
      <c r="BJ522" t="s">
        <v>10815</v>
      </c>
      <c r="BK522">
        <v>1.0</v>
      </c>
      <c r="BL522">
        <v>5.0</v>
      </c>
      <c r="BM522" t="s">
        <v>10816</v>
      </c>
      <c r="BN522">
        <v>4.0</v>
      </c>
      <c r="BO522">
        <v>4.0</v>
      </c>
      <c r="BP522" t="s">
        <v>10817</v>
      </c>
      <c r="BQ522" t="s">
        <v>1761</v>
      </c>
      <c r="BR522" t="s">
        <v>10818</v>
      </c>
      <c r="BS522" t="s">
        <v>10819</v>
      </c>
      <c r="BU522" t="s">
        <v>10820</v>
      </c>
      <c r="BV522" s="3" t="str">
        <f>HYPERLINK("https://api.typeform.com/responses/files/9a388352ba0a56f2ce74fb4fe3de34f59bf015ce745f875181c1ddbb2e22cb90/SUSHIL_GHARTI_MAGAR___SPEAKHIRE_2021___Parent_Consent_Form.pdf")</f>
        <v>https://api.typeform.com/responses/files/9a388352ba0a56f2ce74fb4fe3de34f59bf015ce745f875181c1ddbb2e22cb90/SUSHIL_GHARTI_MAGAR___SPEAKHIRE_2021___Parent_Consent_Form.pdf</v>
      </c>
      <c r="BW522" t="b">
        <v>1</v>
      </c>
      <c r="BX522" t="s">
        <v>1394</v>
      </c>
      <c r="BY522" t="s">
        <v>140</v>
      </c>
      <c r="CA522" t="s">
        <v>1395</v>
      </c>
      <c r="CD522">
        <v>0.0</v>
      </c>
      <c r="CF522" t="b">
        <v>1</v>
      </c>
      <c r="CG522" t="b">
        <v>1</v>
      </c>
      <c r="CH522" t="s">
        <v>1935</v>
      </c>
      <c r="CJ522" t="b">
        <v>1</v>
      </c>
      <c r="CK522" t="b">
        <v>1</v>
      </c>
      <c r="CL522" t="s">
        <v>362</v>
      </c>
      <c r="CM522" t="s">
        <v>362</v>
      </c>
      <c r="CO522" t="s">
        <v>2325</v>
      </c>
      <c r="CQ522" t="s">
        <v>362</v>
      </c>
      <c r="CR522" t="b">
        <v>1</v>
      </c>
      <c r="CT522">
        <v>1.0</v>
      </c>
      <c r="CU522">
        <v>1.0</v>
      </c>
      <c r="CX522" s="4" t="s">
        <v>10821</v>
      </c>
      <c r="CZ522" s="5">
        <v>44601.78753472222</v>
      </c>
      <c r="DA522" t="s">
        <v>10822</v>
      </c>
    </row>
    <row r="523">
      <c r="A523" t="s">
        <v>98</v>
      </c>
      <c r="D523" t="s">
        <v>10823</v>
      </c>
      <c r="E523" t="s">
        <v>9790</v>
      </c>
      <c r="F523" s="2">
        <v>38619.0</v>
      </c>
      <c r="G523" t="s">
        <v>1360</v>
      </c>
      <c r="I523" s="3" t="str">
        <f>HYPERLINK("https://api.typeform.com/responses/files/d05dfc22a028ab11b22d6c15ad14a330df6818598443c1e52f33448277a150b4/IMG_5312.jpg")</f>
        <v>https://api.typeform.com/responses/files/d05dfc22a028ab11b22d6c15ad14a330df6818598443c1e52f33448277a150b4/IMG_5312.jpg</v>
      </c>
      <c r="J523" t="s">
        <v>10824</v>
      </c>
      <c r="K523" t="b">
        <v>1</v>
      </c>
      <c r="L523" s="4" t="s">
        <v>10825</v>
      </c>
      <c r="M523" t="s">
        <v>10826</v>
      </c>
      <c r="N523" t="s">
        <v>149</v>
      </c>
      <c r="P523" t="s">
        <v>10827</v>
      </c>
      <c r="Q523" t="s">
        <v>189</v>
      </c>
      <c r="R523" t="s">
        <v>10828</v>
      </c>
      <c r="S523" t="s">
        <v>10829</v>
      </c>
      <c r="T523" s="4" t="s">
        <v>10830</v>
      </c>
      <c r="U523" t="s">
        <v>1728</v>
      </c>
      <c r="V523" t="s">
        <v>10831</v>
      </c>
      <c r="W523" t="s">
        <v>113</v>
      </c>
      <c r="Y523" t="s">
        <v>158</v>
      </c>
      <c r="Z523" t="s">
        <v>262</v>
      </c>
      <c r="AC523" s="3" t="str">
        <f>HYPERLINK("https://api.typeform.com/responses/files/bfa5b0243c855f8ced9e1d07f077a971ee3e4474eb66c2fdd7ccb9661b93e9fc/Francheska_C.__transcript.pdf")</f>
        <v>https://api.typeform.com/responses/files/bfa5b0243c855f8ced9e1d07f077a971ee3e4474eb66c2fdd7ccb9661b93e9fc/Francheska_C.__transcript.pdf</v>
      </c>
      <c r="AD523" t="s">
        <v>118</v>
      </c>
      <c r="AE523" t="s">
        <v>729</v>
      </c>
      <c r="AF523" t="s">
        <v>197</v>
      </c>
      <c r="AG523">
        <v>13.0</v>
      </c>
      <c r="AH523" t="s">
        <v>10832</v>
      </c>
      <c r="AI523" t="s">
        <v>162</v>
      </c>
      <c r="AL523" t="s">
        <v>199</v>
      </c>
      <c r="AO523" t="s">
        <v>335</v>
      </c>
      <c r="AP523">
        <v>3.0</v>
      </c>
      <c r="AQ523" t="s">
        <v>4222</v>
      </c>
      <c r="AR523" t="s">
        <v>7029</v>
      </c>
      <c r="AS523" t="b">
        <v>1</v>
      </c>
      <c r="AT523" t="b">
        <v>0</v>
      </c>
      <c r="AV523">
        <v>5.0</v>
      </c>
      <c r="AW523" t="b">
        <v>0</v>
      </c>
      <c r="AZ523" t="b">
        <v>0</v>
      </c>
      <c r="BA523" t="b">
        <v>0</v>
      </c>
      <c r="BD523" t="s">
        <v>7029</v>
      </c>
      <c r="BH523" t="s">
        <v>132</v>
      </c>
      <c r="BI523">
        <v>3.0</v>
      </c>
      <c r="BJ523" t="s">
        <v>10833</v>
      </c>
      <c r="BK523">
        <v>2.0</v>
      </c>
      <c r="BL523">
        <v>3.0</v>
      </c>
      <c r="BM523" t="s">
        <v>10834</v>
      </c>
      <c r="BN523">
        <v>2.0</v>
      </c>
      <c r="BO523">
        <v>3.0</v>
      </c>
      <c r="BP523" t="s">
        <v>10835</v>
      </c>
      <c r="BQ523" t="s">
        <v>4026</v>
      </c>
      <c r="BR523" t="s">
        <v>10836</v>
      </c>
      <c r="BS523" t="s">
        <v>10837</v>
      </c>
      <c r="BU523" t="s">
        <v>10832</v>
      </c>
      <c r="BV523" s="3" t="str">
        <f>HYPERLINK("https://api.typeform.com/responses/files/bab340836fbf59883e43cdb2d668df9a0becf9b0e2e5b733333199b3b424dd44/Francheska_C.__transcript.pdf")</f>
        <v>https://api.typeform.com/responses/files/bab340836fbf59883e43cdb2d668df9a0becf9b0e2e5b733333199b3b424dd44/Francheska_C.__transcript.pdf</v>
      </c>
      <c r="BW523" t="b">
        <v>1</v>
      </c>
      <c r="BX523" t="s">
        <v>1394</v>
      </c>
      <c r="BY523" t="s">
        <v>140</v>
      </c>
      <c r="CA523" t="s">
        <v>1395</v>
      </c>
      <c r="CD523">
        <v>0.0</v>
      </c>
      <c r="CF523" t="b">
        <v>0</v>
      </c>
      <c r="CG523" t="b">
        <v>0</v>
      </c>
      <c r="CH523" t="s">
        <v>1935</v>
      </c>
      <c r="CJ523" t="b">
        <v>1</v>
      </c>
      <c r="CK523" t="b">
        <v>0</v>
      </c>
      <c r="CL523" t="s">
        <v>198</v>
      </c>
      <c r="CO523" t="s">
        <v>1248</v>
      </c>
      <c r="CR523" t="b">
        <v>1</v>
      </c>
      <c r="CT523">
        <v>0.0</v>
      </c>
      <c r="CU523">
        <v>0.0</v>
      </c>
      <c r="CX523" s="4" t="s">
        <v>10838</v>
      </c>
      <c r="CZ523" s="5">
        <v>44608.617939814816</v>
      </c>
      <c r="DA523" t="s">
        <v>10839</v>
      </c>
    </row>
    <row r="524">
      <c r="A524" t="s">
        <v>98</v>
      </c>
      <c r="D524" t="s">
        <v>10840</v>
      </c>
      <c r="E524" t="s">
        <v>10841</v>
      </c>
      <c r="F524" s="2">
        <v>38514.0</v>
      </c>
      <c r="G524" t="s">
        <v>1466</v>
      </c>
      <c r="I524" s="3" t="str">
        <f>HYPERLINK("https://api.typeform.com/responses/files/04f89d9d53790332a2c7268de0e441763e62177a493a60d5c16878eff975af17/IMG_20220120_100434.jpg")</f>
        <v>https://api.typeform.com/responses/files/04f89d9d53790332a2c7268de0e441763e62177a493a60d5c16878eff975af17/IMG_20220120_100434.jpg</v>
      </c>
      <c r="J524" t="s">
        <v>10842</v>
      </c>
      <c r="K524" t="b">
        <v>1</v>
      </c>
      <c r="L524" s="4" t="s">
        <v>10843</v>
      </c>
      <c r="M524" t="s">
        <v>10844</v>
      </c>
      <c r="N524" t="s">
        <v>255</v>
      </c>
      <c r="P524" t="s">
        <v>10845</v>
      </c>
      <c r="Q524" t="s">
        <v>152</v>
      </c>
      <c r="R524" t="s">
        <v>10846</v>
      </c>
      <c r="S524" t="s">
        <v>10847</v>
      </c>
      <c r="T524" s="4" t="s">
        <v>10848</v>
      </c>
      <c r="U524" t="s">
        <v>1674</v>
      </c>
      <c r="V524" t="s">
        <v>10849</v>
      </c>
      <c r="W524" t="s">
        <v>113</v>
      </c>
      <c r="Y524" t="s">
        <v>158</v>
      </c>
      <c r="Z524" t="s">
        <v>262</v>
      </c>
      <c r="AC524" s="3" t="str">
        <f>HYPERLINK("https://api.typeform.com/responses/files/c40361d71a973a2674c6ba90d36ef96c88b5402cae2194fc747211e3fdbb1e5c/Enmanuel_G.__transcript.pdf")</f>
        <v>https://api.typeform.com/responses/files/c40361d71a973a2674c6ba90d36ef96c88b5402cae2194fc747211e3fdbb1e5c/Enmanuel_G.__transcript.pdf</v>
      </c>
      <c r="AD524" t="s">
        <v>118</v>
      </c>
      <c r="AE524" t="s">
        <v>729</v>
      </c>
      <c r="AF524" t="s">
        <v>2874</v>
      </c>
      <c r="AG524">
        <v>13.0</v>
      </c>
      <c r="AH524" s="4" t="s">
        <v>882</v>
      </c>
      <c r="AI524" t="s">
        <v>121</v>
      </c>
      <c r="AK524" t="s">
        <v>4206</v>
      </c>
      <c r="AL524" t="s">
        <v>10850</v>
      </c>
      <c r="AO524" t="s">
        <v>125</v>
      </c>
      <c r="AP524">
        <v>5.0</v>
      </c>
      <c r="AQ524" t="s">
        <v>6146</v>
      </c>
      <c r="AR524" t="s">
        <v>7575</v>
      </c>
      <c r="AS524" t="b">
        <v>1</v>
      </c>
      <c r="AT524" t="b">
        <v>0</v>
      </c>
      <c r="AV524">
        <v>4.0</v>
      </c>
      <c r="AW524" t="b">
        <v>0</v>
      </c>
      <c r="AZ524" t="b">
        <v>0</v>
      </c>
      <c r="BA524" t="b">
        <v>0</v>
      </c>
      <c r="BD524" t="s">
        <v>10851</v>
      </c>
      <c r="BH524" t="s">
        <v>132</v>
      </c>
      <c r="BI524">
        <v>1.0</v>
      </c>
      <c r="BJ524" t="s">
        <v>4637</v>
      </c>
      <c r="BK524">
        <v>4.0</v>
      </c>
      <c r="BL524">
        <v>6.0</v>
      </c>
      <c r="BM524" t="s">
        <v>10852</v>
      </c>
      <c r="BN524">
        <v>3.0</v>
      </c>
      <c r="BO524">
        <v>5.0</v>
      </c>
      <c r="BP524" t="s">
        <v>10853</v>
      </c>
      <c r="BQ524" t="s">
        <v>7087</v>
      </c>
      <c r="BR524" t="s">
        <v>10854</v>
      </c>
      <c r="BS524" t="s">
        <v>10855</v>
      </c>
      <c r="BU524" t="s">
        <v>10856</v>
      </c>
      <c r="BV524" s="3" t="str">
        <f>HYPERLINK("https://api.typeform.com/responses/files/8b98505149fcc9af8a3b591322264d4001177db48296bbed4f6b7862f2e41012/IMG_20220216_204501__1_.jpg")</f>
        <v>https://api.typeform.com/responses/files/8b98505149fcc9af8a3b591322264d4001177db48296bbed4f6b7862f2e41012/IMG_20220216_204501__1_.jpg</v>
      </c>
      <c r="BW524" t="b">
        <v>1</v>
      </c>
      <c r="BX524" t="s">
        <v>1394</v>
      </c>
      <c r="BY524" t="s">
        <v>140</v>
      </c>
      <c r="CA524" t="s">
        <v>1395</v>
      </c>
      <c r="CD524">
        <v>0.0</v>
      </c>
      <c r="CF524" t="b">
        <v>1</v>
      </c>
      <c r="CG524" t="b">
        <v>1</v>
      </c>
      <c r="CH524" t="s">
        <v>10857</v>
      </c>
      <c r="CJ524" t="b">
        <v>1</v>
      </c>
      <c r="CK524" t="b">
        <v>1</v>
      </c>
      <c r="CL524" t="s">
        <v>387</v>
      </c>
      <c r="CM524" t="s">
        <v>387</v>
      </c>
      <c r="CO524" t="s">
        <v>2888</v>
      </c>
      <c r="CQ524" t="s">
        <v>387</v>
      </c>
      <c r="CR524" t="b">
        <v>1</v>
      </c>
      <c r="CT524">
        <v>1.0</v>
      </c>
      <c r="CU524">
        <v>0.0</v>
      </c>
      <c r="CX524" s="4" t="s">
        <v>10858</v>
      </c>
      <c r="CZ524" s="5">
        <v>44609.68670138889</v>
      </c>
      <c r="DA524" t="s">
        <v>10859</v>
      </c>
    </row>
    <row r="525">
      <c r="A525" t="s">
        <v>98</v>
      </c>
      <c r="D525" t="s">
        <v>10860</v>
      </c>
      <c r="E525" t="s">
        <v>10861</v>
      </c>
      <c r="F525" s="2">
        <v>38383.0</v>
      </c>
      <c r="G525" t="s">
        <v>1466</v>
      </c>
      <c r="I525" s="3" t="str">
        <f>HYPERLINK("https://api.typeform.com/responses/files/01e9fd2a6dff52673ec808a8085f1e08fe64f0b6213dd6592b8c504fcba46147/IMG_9300.jpeg")</f>
        <v>https://api.typeform.com/responses/files/01e9fd2a6dff52673ec808a8085f1e08fe64f0b6213dd6592b8c504fcba46147/IMG_9300.jpeg</v>
      </c>
      <c r="J525" t="s">
        <v>10862</v>
      </c>
      <c r="K525" t="b">
        <v>1</v>
      </c>
      <c r="L525" s="4" t="s">
        <v>10863</v>
      </c>
      <c r="M525" t="s">
        <v>10864</v>
      </c>
      <c r="N525" t="s">
        <v>149</v>
      </c>
      <c r="O525" t="s">
        <v>10865</v>
      </c>
      <c r="P525" t="s">
        <v>6195</v>
      </c>
      <c r="Q525" t="s">
        <v>189</v>
      </c>
      <c r="R525" t="s">
        <v>10866</v>
      </c>
      <c r="S525" t="s">
        <v>10867</v>
      </c>
      <c r="T525" s="4" t="s">
        <v>10863</v>
      </c>
      <c r="U525" t="s">
        <v>2722</v>
      </c>
      <c r="V525" t="s">
        <v>4575</v>
      </c>
      <c r="W525" t="s">
        <v>2290</v>
      </c>
      <c r="Y525" t="s">
        <v>158</v>
      </c>
      <c r="Z525" t="s">
        <v>262</v>
      </c>
      <c r="AC525" s="3" t="str">
        <f>HYPERLINK("https://api.typeform.com/responses/files/e2cef95c12743e05d8d37e9417d4e77f4e6ad864964e818c1edada6aaebbc71e/Alex_Guaillas_Transcript_2021_12_09T19_47_58.960Z.pdf")</f>
        <v>https://api.typeform.com/responses/files/e2cef95c12743e05d8d37e9417d4e77f4e6ad864964e818c1edada6aaebbc71e/Alex_Guaillas_Transcript_2021_12_09T19_47_58.960Z.pdf</v>
      </c>
      <c r="AD525" t="s">
        <v>118</v>
      </c>
      <c r="AE525" t="s">
        <v>1780</v>
      </c>
      <c r="AI525" t="s">
        <v>162</v>
      </c>
      <c r="AK525" t="s">
        <v>139</v>
      </c>
      <c r="AL525" t="s">
        <v>1043</v>
      </c>
      <c r="AO525" t="s">
        <v>1479</v>
      </c>
      <c r="AP525">
        <v>3.0</v>
      </c>
      <c r="AQ525" t="s">
        <v>1520</v>
      </c>
      <c r="AR525" t="s">
        <v>10868</v>
      </c>
      <c r="AS525" t="b">
        <v>1</v>
      </c>
      <c r="AT525" t="b">
        <v>0</v>
      </c>
      <c r="AV525">
        <v>3.0</v>
      </c>
      <c r="AW525" t="b">
        <v>0</v>
      </c>
      <c r="AZ525" t="b">
        <v>0</v>
      </c>
      <c r="BA525" t="b">
        <v>0</v>
      </c>
      <c r="BD525" t="s">
        <v>10869</v>
      </c>
      <c r="BH525" t="s">
        <v>132</v>
      </c>
      <c r="BI525">
        <v>2.0</v>
      </c>
      <c r="BJ525" t="s">
        <v>10870</v>
      </c>
      <c r="BK525">
        <v>2.0</v>
      </c>
      <c r="BL525">
        <v>3.0</v>
      </c>
      <c r="BM525" t="s">
        <v>10146</v>
      </c>
      <c r="BN525">
        <v>2.0</v>
      </c>
      <c r="BO525">
        <v>2.0</v>
      </c>
      <c r="BP525" t="s">
        <v>10871</v>
      </c>
      <c r="BQ525" t="s">
        <v>7657</v>
      </c>
      <c r="BR525" t="s">
        <v>10872</v>
      </c>
      <c r="BS525" t="s">
        <v>10873</v>
      </c>
      <c r="BU525" t="s">
        <v>139</v>
      </c>
      <c r="BV525" s="3" t="str">
        <f>HYPERLINK("https://api.typeform.com/responses/files/3c115eef0c44b7c816d80eacb1c5db65a3aa6d5528ac3b72f9beda6c7660edad/Alex_Guaillas_Transcript_2021_12_09T19_47_58.960Z.pdf")</f>
        <v>https://api.typeform.com/responses/files/3c115eef0c44b7c816d80eacb1c5db65a3aa6d5528ac3b72f9beda6c7660edad/Alex_Guaillas_Transcript_2021_12_09T19_47_58.960Z.pdf</v>
      </c>
      <c r="BW525" t="b">
        <v>1</v>
      </c>
      <c r="BX525" t="s">
        <v>1394</v>
      </c>
      <c r="BY525" t="s">
        <v>140</v>
      </c>
      <c r="CA525" t="s">
        <v>1395</v>
      </c>
      <c r="CD525">
        <v>0.0</v>
      </c>
      <c r="CF525" t="b">
        <v>1</v>
      </c>
      <c r="CG525" t="b">
        <v>1</v>
      </c>
      <c r="CH525" t="s">
        <v>10186</v>
      </c>
      <c r="CJ525" t="b">
        <v>1</v>
      </c>
      <c r="CK525" t="b">
        <v>1</v>
      </c>
      <c r="CL525" t="s">
        <v>2301</v>
      </c>
      <c r="CO525" t="s">
        <v>2500</v>
      </c>
      <c r="CR525" t="b">
        <v>1</v>
      </c>
      <c r="CT525">
        <v>1.0</v>
      </c>
      <c r="CU525">
        <v>0.0</v>
      </c>
      <c r="CX525" s="4" t="s">
        <v>10874</v>
      </c>
      <c r="CZ525" s="5">
        <v>44609.69075231482</v>
      </c>
      <c r="DA525" t="s">
        <v>10875</v>
      </c>
    </row>
    <row r="526">
      <c r="A526" t="s">
        <v>98</v>
      </c>
      <c r="D526" t="s">
        <v>4076</v>
      </c>
      <c r="E526" t="s">
        <v>4077</v>
      </c>
      <c r="F526" s="2">
        <v>38136.0</v>
      </c>
      <c r="G526" t="s">
        <v>1360</v>
      </c>
      <c r="I526" s="3" t="str">
        <f>HYPERLINK("https://api.typeform.com/responses/files/e03a6b28b22ee11ba6d9a8c9094ef36bcc04a481d2046733410f2308a6464b83/751FBE97_47E3_4B00_8AF1_E64C014B2B4E.jpeg")</f>
        <v>https://api.typeform.com/responses/files/e03a6b28b22ee11ba6d9a8c9094ef36bcc04a481d2046733410f2308a6464b83/751FBE97_47E3_4B00_8AF1_E64C014B2B4E.jpeg</v>
      </c>
      <c r="J526" t="s">
        <v>4078</v>
      </c>
      <c r="K526" t="b">
        <v>1</v>
      </c>
      <c r="L526" s="4" t="s">
        <v>4079</v>
      </c>
      <c r="M526" t="s">
        <v>10876</v>
      </c>
      <c r="N526" t="s">
        <v>354</v>
      </c>
      <c r="O526" t="s">
        <v>10877</v>
      </c>
      <c r="P526" t="s">
        <v>4082</v>
      </c>
      <c r="Q526" t="s">
        <v>292</v>
      </c>
      <c r="R526" t="s">
        <v>4078</v>
      </c>
      <c r="S526" t="s">
        <v>10878</v>
      </c>
      <c r="T526" s="4" t="s">
        <v>4079</v>
      </c>
      <c r="U526" t="s">
        <v>10879</v>
      </c>
      <c r="V526" t="s">
        <v>10880</v>
      </c>
      <c r="W526" t="s">
        <v>113</v>
      </c>
      <c r="Y526" t="s">
        <v>158</v>
      </c>
      <c r="Z526" t="s">
        <v>262</v>
      </c>
      <c r="AC526" s="3" t="str">
        <f>HYPERLINK("https://api.typeform.com/responses/files/2399458a11d3b128d9f5ba81b8c4fc7df316b0ccebda01fd4466a2790aaca38f/ECD51073_211E_421C_BE45_6279477AA960.jpeg")</f>
        <v>https://api.typeform.com/responses/files/2399458a11d3b128d9f5ba81b8c4fc7df316b0ccebda01fd4466a2790aaca38f/ECD51073_211E_421C_BE45_6279477AA960.jpeg</v>
      </c>
      <c r="AD526" t="s">
        <v>118</v>
      </c>
      <c r="AE526" t="s">
        <v>4219</v>
      </c>
      <c r="AF526" t="s">
        <v>1196</v>
      </c>
      <c r="AG526">
        <v>16.0</v>
      </c>
      <c r="AH526" s="4" t="s">
        <v>339</v>
      </c>
      <c r="AI526" t="s">
        <v>386</v>
      </c>
      <c r="AK526" t="s">
        <v>10881</v>
      </c>
      <c r="AL526" t="s">
        <v>199</v>
      </c>
      <c r="AO526" t="s">
        <v>335</v>
      </c>
      <c r="AP526">
        <v>2.0</v>
      </c>
      <c r="AQ526" t="s">
        <v>1070</v>
      </c>
      <c r="AR526" t="s">
        <v>10882</v>
      </c>
      <c r="AS526" t="b">
        <v>1</v>
      </c>
      <c r="AT526" t="b">
        <v>1</v>
      </c>
      <c r="AV526">
        <v>5.0</v>
      </c>
      <c r="AW526" t="b">
        <v>1</v>
      </c>
      <c r="AX526" t="s">
        <v>1902</v>
      </c>
      <c r="AY526" s="4" t="s">
        <v>518</v>
      </c>
      <c r="AZ526" t="b">
        <v>1</v>
      </c>
      <c r="BA526" t="b">
        <v>0</v>
      </c>
      <c r="BD526" t="s">
        <v>1829</v>
      </c>
      <c r="BH526" t="s">
        <v>132</v>
      </c>
      <c r="BI526">
        <v>2.0</v>
      </c>
      <c r="BJ526" t="s">
        <v>10883</v>
      </c>
      <c r="BK526">
        <v>2.0</v>
      </c>
      <c r="BL526">
        <v>2.0</v>
      </c>
      <c r="BM526" t="s">
        <v>10884</v>
      </c>
      <c r="BN526">
        <v>2.0</v>
      </c>
      <c r="BO526">
        <v>4.0</v>
      </c>
      <c r="BP526" t="s">
        <v>10885</v>
      </c>
      <c r="BQ526" t="s">
        <v>1050</v>
      </c>
      <c r="BR526" t="s">
        <v>10886</v>
      </c>
      <c r="BS526" t="s">
        <v>10887</v>
      </c>
      <c r="BU526" t="s">
        <v>10888</v>
      </c>
      <c r="BV526" s="3" t="str">
        <f>HYPERLINK("https://api.typeform.com/responses/files/f1e9279ad841071635f4a79b317da2add66f2c228d5844911659f3737c7a3ebe/AC057EBF_D0D5_4662_9E48_8ACBDAC18004.jpeg")</f>
        <v>https://api.typeform.com/responses/files/f1e9279ad841071635f4a79b317da2add66f2c228d5844911659f3737c7a3ebe/AC057EBF_D0D5_4662_9E48_8ACBDAC18004.jpeg</v>
      </c>
      <c r="BW526" t="b">
        <v>1</v>
      </c>
      <c r="BX526" t="s">
        <v>1394</v>
      </c>
      <c r="BY526" t="s">
        <v>140</v>
      </c>
      <c r="CA526" t="s">
        <v>1395</v>
      </c>
      <c r="CD526">
        <v>0.0</v>
      </c>
      <c r="CF526" t="b">
        <v>0</v>
      </c>
      <c r="CG526" t="b">
        <v>1</v>
      </c>
      <c r="CH526" t="s">
        <v>1420</v>
      </c>
      <c r="CJ526" t="b">
        <v>0</v>
      </c>
      <c r="CK526" t="b">
        <v>1</v>
      </c>
      <c r="CL526" t="s">
        <v>387</v>
      </c>
      <c r="CM526" t="s">
        <v>387</v>
      </c>
      <c r="CO526" t="s">
        <v>1635</v>
      </c>
      <c r="CQ526" t="s">
        <v>387</v>
      </c>
      <c r="CR526" t="b">
        <v>1</v>
      </c>
      <c r="CT526">
        <v>1.0</v>
      </c>
      <c r="CU526">
        <v>6.0</v>
      </c>
      <c r="CX526" s="4" t="s">
        <v>2914</v>
      </c>
      <c r="CZ526" s="5">
        <v>44620.83828703704</v>
      </c>
      <c r="DA526" t="s">
        <v>10889</v>
      </c>
    </row>
    <row r="527">
      <c r="A527" t="s">
        <v>98</v>
      </c>
      <c r="D527" t="s">
        <v>10890</v>
      </c>
      <c r="E527" t="s">
        <v>4131</v>
      </c>
      <c r="F527" s="2">
        <v>39214.0</v>
      </c>
      <c r="G527" t="s">
        <v>1360</v>
      </c>
      <c r="I527" s="3" t="str">
        <f>HYPERLINK("https://api.typeform.com/responses/files/cbae3773e9d2ca54ff126807ec3d8afe0b1d81672f6b6b7b8b8df538b14c49e3/410871F4_0020_4077_8D7E_C5780BF5E81E.jpeg")</f>
        <v>https://api.typeform.com/responses/files/cbae3773e9d2ca54ff126807ec3d8afe0b1d81672f6b6b7b8b8df538b14c49e3/410871F4_0020_4077_8D7E_C5780BF5E81E.jpeg</v>
      </c>
      <c r="J527" t="s">
        <v>4132</v>
      </c>
      <c r="K527" t="b">
        <v>1</v>
      </c>
      <c r="L527" s="4" t="s">
        <v>4133</v>
      </c>
      <c r="M527" t="s">
        <v>10891</v>
      </c>
      <c r="N527" t="s">
        <v>354</v>
      </c>
      <c r="O527" t="s">
        <v>10892</v>
      </c>
      <c r="P527" t="s">
        <v>10893</v>
      </c>
      <c r="Q527" t="s">
        <v>189</v>
      </c>
      <c r="R527" t="s">
        <v>4132</v>
      </c>
      <c r="S527" t="s">
        <v>10891</v>
      </c>
      <c r="T527" s="4" t="s">
        <v>4138</v>
      </c>
      <c r="U527" t="s">
        <v>995</v>
      </c>
      <c r="V527" t="s">
        <v>4283</v>
      </c>
      <c r="W527" t="s">
        <v>113</v>
      </c>
      <c r="Y527" t="s">
        <v>158</v>
      </c>
      <c r="Z527" t="s">
        <v>262</v>
      </c>
      <c r="AC527" s="3" t="str">
        <f>HYPERLINK("https://api.typeform.com/responses/files/4dfc406e43d701245e04989ceebcf97cbf5540761a9a06dc6e28092ba0787405/3DFA8735_5610_484E_AF4E_E9540280E30F.jpeg")</f>
        <v>https://api.typeform.com/responses/files/4dfc406e43d701245e04989ceebcf97cbf5540761a9a06dc6e28092ba0787405/3DFA8735_5610_484E_AF4E_E9540280E30F.jpeg</v>
      </c>
      <c r="AD527" t="s">
        <v>118</v>
      </c>
      <c r="AE527" t="s">
        <v>729</v>
      </c>
      <c r="AF527" t="s">
        <v>197</v>
      </c>
      <c r="AG527">
        <v>1.0</v>
      </c>
      <c r="AH527" t="s">
        <v>5093</v>
      </c>
      <c r="AI527" t="s">
        <v>162</v>
      </c>
      <c r="AK527" t="s">
        <v>197</v>
      </c>
      <c r="AL527" t="s">
        <v>199</v>
      </c>
      <c r="AO527" t="s">
        <v>335</v>
      </c>
      <c r="AP527">
        <v>4.0</v>
      </c>
      <c r="AQ527" t="s">
        <v>126</v>
      </c>
      <c r="AR527" t="s">
        <v>10894</v>
      </c>
      <c r="AS527" t="b">
        <v>0</v>
      </c>
      <c r="AV527">
        <v>6.0</v>
      </c>
      <c r="AW527" t="b">
        <v>0</v>
      </c>
      <c r="AZ527" t="b">
        <v>0</v>
      </c>
      <c r="BA527" t="b">
        <v>0</v>
      </c>
      <c r="BD527" t="s">
        <v>10895</v>
      </c>
      <c r="BH527" t="s">
        <v>132</v>
      </c>
      <c r="BI527">
        <v>3.0</v>
      </c>
      <c r="BJ527" t="s">
        <v>10896</v>
      </c>
      <c r="BK527">
        <v>3.0</v>
      </c>
      <c r="BL527">
        <v>3.0</v>
      </c>
      <c r="BM527" t="s">
        <v>10897</v>
      </c>
      <c r="BN527">
        <v>3.0</v>
      </c>
      <c r="BO527">
        <v>3.0</v>
      </c>
      <c r="BP527" t="s">
        <v>10898</v>
      </c>
      <c r="BQ527" t="s">
        <v>916</v>
      </c>
      <c r="BR527" t="s">
        <v>10899</v>
      </c>
      <c r="BS527" t="s">
        <v>10900</v>
      </c>
      <c r="BU527" t="s">
        <v>10901</v>
      </c>
      <c r="BV527" s="3" t="str">
        <f>HYPERLINK("https://api.typeform.com/responses/files/54349ffe51eb347d7b08f7b5add2d4074c54659f64de7df6bdcc6fec9215c55c/FDA28FC8_3814_4167_94FA_A5DDAF5DB1B4.jpeg")</f>
        <v>https://api.typeform.com/responses/files/54349ffe51eb347d7b08f7b5add2d4074c54659f64de7df6bdcc6fec9215c55c/FDA28FC8_3814_4167_94FA_A5DDAF5DB1B4.jpeg</v>
      </c>
      <c r="BW527" t="b">
        <v>1</v>
      </c>
      <c r="BX527" t="s">
        <v>1394</v>
      </c>
      <c r="BY527" t="s">
        <v>140</v>
      </c>
      <c r="CA527" t="s">
        <v>1395</v>
      </c>
      <c r="CD527">
        <v>0.0</v>
      </c>
      <c r="CF527" t="b">
        <v>0</v>
      </c>
      <c r="CG527" t="b">
        <v>1</v>
      </c>
      <c r="CH527" t="s">
        <v>6978</v>
      </c>
      <c r="CJ527" t="b">
        <v>1</v>
      </c>
      <c r="CK527" t="b">
        <v>1</v>
      </c>
      <c r="CL527" t="s">
        <v>198</v>
      </c>
      <c r="CM527" t="s">
        <v>198</v>
      </c>
      <c r="CO527" t="s">
        <v>1688</v>
      </c>
      <c r="CQ527" t="s">
        <v>198</v>
      </c>
      <c r="CR527" t="b">
        <v>1</v>
      </c>
      <c r="CT527">
        <v>2.0</v>
      </c>
      <c r="CU527">
        <v>2.0</v>
      </c>
      <c r="CX527" s="4" t="s">
        <v>2914</v>
      </c>
      <c r="CZ527" s="5">
        <v>44620.83841435185</v>
      </c>
      <c r="DA527" t="s">
        <v>10902</v>
      </c>
    </row>
    <row r="528">
      <c r="A528" t="s">
        <v>98</v>
      </c>
      <c r="D528" t="s">
        <v>10903</v>
      </c>
      <c r="E528" t="s">
        <v>4274</v>
      </c>
      <c r="F528" s="2">
        <v>38959.0</v>
      </c>
      <c r="G528" t="s">
        <v>1466</v>
      </c>
      <c r="I528" s="3" t="str">
        <f>HYPERLINK("https://api.typeform.com/responses/files/b259929cd5cca931956e878ba9404b0b74c00e6541f1c9c537e276b266a3af9c/image.jpg")</f>
        <v>https://api.typeform.com/responses/files/b259929cd5cca931956e878ba9404b0b74c00e6541f1c9c537e276b266a3af9c/image.jpg</v>
      </c>
      <c r="J528" t="s">
        <v>4313</v>
      </c>
      <c r="K528" t="b">
        <v>1</v>
      </c>
      <c r="L528" s="4" t="s">
        <v>10904</v>
      </c>
      <c r="M528" t="s">
        <v>10905</v>
      </c>
      <c r="N528" t="s">
        <v>354</v>
      </c>
      <c r="O528" t="s">
        <v>479</v>
      </c>
      <c r="P528" t="s">
        <v>10906</v>
      </c>
      <c r="Q528" t="s">
        <v>189</v>
      </c>
      <c r="R528" t="s">
        <v>10907</v>
      </c>
      <c r="S528" t="s">
        <v>10908</v>
      </c>
      <c r="T528" s="4" t="s">
        <v>4282</v>
      </c>
      <c r="U528" t="s">
        <v>10909</v>
      </c>
      <c r="V528" t="s">
        <v>10910</v>
      </c>
      <c r="W528" t="s">
        <v>113</v>
      </c>
      <c r="Y528" t="s">
        <v>158</v>
      </c>
      <c r="Z528" t="s">
        <v>195</v>
      </c>
      <c r="AC528" s="3" t="str">
        <f>HYPERLINK("https://api.typeform.com/responses/files/7f10219ea8d1c2c79d84d4b5343211a6004c58f476e14889142d057c1cc296a5/D04D4DE0_42D0_44BD_B72E_81DDF73D607B.webp")</f>
        <v>https://api.typeform.com/responses/files/7f10219ea8d1c2c79d84d4b5343211a6004c58f476e14889142d057c1cc296a5/D04D4DE0_42D0_44BD_B72E_81DDF73D607B.webp</v>
      </c>
      <c r="AD528" t="s">
        <v>118</v>
      </c>
      <c r="AE528" t="s">
        <v>729</v>
      </c>
      <c r="AF528" t="s">
        <v>2029</v>
      </c>
      <c r="AG528">
        <v>12.0</v>
      </c>
      <c r="AH528" s="4" t="s">
        <v>1521</v>
      </c>
      <c r="AI528" t="s">
        <v>162</v>
      </c>
      <c r="AK528" t="s">
        <v>179</v>
      </c>
      <c r="AL528" t="s">
        <v>199</v>
      </c>
      <c r="AO528" t="s">
        <v>125</v>
      </c>
      <c r="AP528">
        <v>1.0</v>
      </c>
      <c r="AQ528" t="s">
        <v>2240</v>
      </c>
      <c r="AR528" t="s">
        <v>10911</v>
      </c>
      <c r="AS528" t="b">
        <v>1</v>
      </c>
      <c r="AT528" t="b">
        <v>0</v>
      </c>
      <c r="AV528">
        <v>3.0</v>
      </c>
      <c r="AW528" t="b">
        <v>0</v>
      </c>
      <c r="AZ528" t="b">
        <v>0</v>
      </c>
      <c r="BA528" t="b">
        <v>0</v>
      </c>
      <c r="BD528" t="s">
        <v>10911</v>
      </c>
      <c r="BH528" t="s">
        <v>132</v>
      </c>
      <c r="BI528">
        <v>4.0</v>
      </c>
      <c r="BJ528" t="s">
        <v>10912</v>
      </c>
      <c r="BK528">
        <v>3.0</v>
      </c>
      <c r="BL528">
        <v>2.0</v>
      </c>
      <c r="BM528" t="s">
        <v>10913</v>
      </c>
      <c r="BN528">
        <v>3.0</v>
      </c>
      <c r="BO528">
        <v>2.0</v>
      </c>
      <c r="BP528" t="s">
        <v>10914</v>
      </c>
      <c r="BQ528" t="s">
        <v>916</v>
      </c>
      <c r="BR528" t="s">
        <v>10915</v>
      </c>
      <c r="BS528" t="s">
        <v>10916</v>
      </c>
      <c r="BU528" t="s">
        <v>10914</v>
      </c>
      <c r="BV528" s="3" t="str">
        <f>HYPERLINK("https://api.typeform.com/responses/files/fa80b2c41aeedd93bd96e01cf28e315a5b70e2cee3fafc2366b3ed516d8a214b/BAA00FF1_E82B_4676_AAA3_F9D1507670AB.jpeg")</f>
        <v>https://api.typeform.com/responses/files/fa80b2c41aeedd93bd96e01cf28e315a5b70e2cee3fafc2366b3ed516d8a214b/BAA00FF1_E82B_4676_AAA3_F9D1507670AB.jpeg</v>
      </c>
      <c r="BW528" t="b">
        <v>1</v>
      </c>
      <c r="BX528" t="s">
        <v>1394</v>
      </c>
      <c r="BY528" t="s">
        <v>140</v>
      </c>
      <c r="CA528" t="s">
        <v>1395</v>
      </c>
      <c r="CD528">
        <v>0.0</v>
      </c>
      <c r="CF528" t="b">
        <v>1</v>
      </c>
      <c r="CG528" t="b">
        <v>1</v>
      </c>
      <c r="CH528" t="s">
        <v>1420</v>
      </c>
      <c r="CJ528" t="b">
        <v>1</v>
      </c>
      <c r="CK528" t="b">
        <v>1</v>
      </c>
      <c r="CL528" t="s">
        <v>198</v>
      </c>
      <c r="CM528" t="s">
        <v>198</v>
      </c>
      <c r="CO528" t="s">
        <v>200</v>
      </c>
      <c r="CQ528" t="s">
        <v>198</v>
      </c>
      <c r="CR528" t="b">
        <v>1</v>
      </c>
      <c r="CT528">
        <v>17.0</v>
      </c>
      <c r="CU528">
        <v>17.0</v>
      </c>
      <c r="CX528" s="4" t="s">
        <v>2914</v>
      </c>
      <c r="CZ528" s="5">
        <v>44620.85928240741</v>
      </c>
      <c r="DA528" t="s">
        <v>10917</v>
      </c>
    </row>
    <row r="529">
      <c r="A529" t="s">
        <v>98</v>
      </c>
      <c r="D529" t="s">
        <v>4273</v>
      </c>
      <c r="E529" t="s">
        <v>4274</v>
      </c>
      <c r="F529" s="2">
        <v>39497.0</v>
      </c>
      <c r="G529" t="s">
        <v>1360</v>
      </c>
      <c r="I529" s="3" t="str">
        <f>HYPERLINK("https://api.typeform.com/responses/files/c095b3e0eb7096727c9a00f5a88728af43c5561e2c35aea775952677569bb270/image.jpg")</f>
        <v>https://api.typeform.com/responses/files/c095b3e0eb7096727c9a00f5a88728af43c5561e2c35aea775952677569bb270/image.jpg</v>
      </c>
      <c r="J529" t="s">
        <v>10918</v>
      </c>
      <c r="K529" t="b">
        <v>1</v>
      </c>
      <c r="L529" s="4" t="s">
        <v>4276</v>
      </c>
      <c r="M529" t="s">
        <v>10919</v>
      </c>
      <c r="N529" t="s">
        <v>255</v>
      </c>
      <c r="O529" t="s">
        <v>10920</v>
      </c>
      <c r="P529" t="s">
        <v>10921</v>
      </c>
      <c r="Q529" t="s">
        <v>189</v>
      </c>
      <c r="R529" t="s">
        <v>4280</v>
      </c>
      <c r="S529" t="s">
        <v>10922</v>
      </c>
      <c r="T529" s="4" t="s">
        <v>4282</v>
      </c>
      <c r="U529" t="s">
        <v>933</v>
      </c>
      <c r="V529" t="s">
        <v>4283</v>
      </c>
      <c r="W529" t="s">
        <v>113</v>
      </c>
      <c r="Y529" t="s">
        <v>158</v>
      </c>
      <c r="Z529" t="s">
        <v>384</v>
      </c>
      <c r="AC529" s="3" t="str">
        <f>HYPERLINK("https://api.typeform.com/responses/files/166f482b1d3d6731500468af807268ad949b48422b1ace883277c1fbfcab1ada/image.jpg")</f>
        <v>https://api.typeform.com/responses/files/166f482b1d3d6731500468af807268ad949b48422b1ace883277c1fbfcab1ada/image.jpg</v>
      </c>
      <c r="AD529" t="s">
        <v>118</v>
      </c>
      <c r="AE529" t="s">
        <v>729</v>
      </c>
      <c r="AF529" t="s">
        <v>197</v>
      </c>
      <c r="AG529">
        <v>11.0</v>
      </c>
      <c r="AH529" t="s">
        <v>8775</v>
      </c>
      <c r="AI529" t="s">
        <v>162</v>
      </c>
      <c r="AK529" t="s">
        <v>179</v>
      </c>
      <c r="AL529" t="s">
        <v>199</v>
      </c>
      <c r="AO529" t="s">
        <v>125</v>
      </c>
      <c r="AP529">
        <v>1.0</v>
      </c>
      <c r="AQ529" t="s">
        <v>461</v>
      </c>
      <c r="AR529" t="s">
        <v>10923</v>
      </c>
      <c r="AS529" t="b">
        <v>1</v>
      </c>
      <c r="AT529" t="b">
        <v>1</v>
      </c>
      <c r="AV529">
        <v>6.0</v>
      </c>
      <c r="AW529" t="b">
        <v>0</v>
      </c>
      <c r="AZ529" t="b">
        <v>0</v>
      </c>
      <c r="BA529" t="b">
        <v>0</v>
      </c>
      <c r="BD529" t="s">
        <v>10923</v>
      </c>
      <c r="BH529" t="s">
        <v>132</v>
      </c>
      <c r="BI529">
        <v>4.0</v>
      </c>
      <c r="BJ529" t="s">
        <v>4287</v>
      </c>
      <c r="BK529">
        <v>3.0</v>
      </c>
      <c r="BL529">
        <v>5.0</v>
      </c>
      <c r="BM529" t="s">
        <v>10924</v>
      </c>
      <c r="BN529">
        <v>3.0</v>
      </c>
      <c r="BO529">
        <v>3.0</v>
      </c>
      <c r="BP529" t="s">
        <v>10925</v>
      </c>
      <c r="BQ529" t="s">
        <v>1881</v>
      </c>
      <c r="BR529" t="s">
        <v>10926</v>
      </c>
      <c r="BS529" t="s">
        <v>10927</v>
      </c>
      <c r="BU529" t="s">
        <v>179</v>
      </c>
      <c r="BV529" s="3" t="str">
        <f>HYPERLINK("https://api.typeform.com/responses/files/915d655dd056c58f4008abad7d333e97576ce01ef21547136ce726ff061a88a2/image.jpg")</f>
        <v>https://api.typeform.com/responses/files/915d655dd056c58f4008abad7d333e97576ce01ef21547136ce726ff061a88a2/image.jpg</v>
      </c>
      <c r="BW529" t="b">
        <v>1</v>
      </c>
      <c r="BX529" t="s">
        <v>1394</v>
      </c>
      <c r="BY529" t="s">
        <v>140</v>
      </c>
      <c r="CA529" t="s">
        <v>1395</v>
      </c>
      <c r="CD529">
        <v>0.0</v>
      </c>
      <c r="CF529" t="b">
        <v>1</v>
      </c>
      <c r="CG529" t="b">
        <v>1</v>
      </c>
      <c r="CH529" t="s">
        <v>10928</v>
      </c>
      <c r="CJ529" t="b">
        <v>1</v>
      </c>
      <c r="CK529" t="b">
        <v>1</v>
      </c>
      <c r="CL529" t="s">
        <v>198</v>
      </c>
      <c r="CM529" t="s">
        <v>198</v>
      </c>
      <c r="CO529" t="s">
        <v>200</v>
      </c>
      <c r="CQ529" t="s">
        <v>198</v>
      </c>
      <c r="CR529" t="b">
        <v>1</v>
      </c>
      <c r="CT529">
        <v>1.0</v>
      </c>
      <c r="CU529">
        <v>6.0</v>
      </c>
      <c r="CX529" s="4" t="s">
        <v>2995</v>
      </c>
      <c r="CZ529" s="5">
        <v>44620.87091435185</v>
      </c>
      <c r="DA529" t="s">
        <v>10929</v>
      </c>
    </row>
    <row r="530">
      <c r="A530" t="s">
        <v>98</v>
      </c>
      <c r="D530" t="s">
        <v>4441</v>
      </c>
      <c r="E530" t="s">
        <v>3287</v>
      </c>
      <c r="F530" s="2">
        <v>44620.0</v>
      </c>
      <c r="G530" t="s">
        <v>1360</v>
      </c>
      <c r="I530" s="3" t="str">
        <f>HYPERLINK("https://api.typeform.com/responses/files/f20f7b72041b97cc4f2599ad8f9600bc5a02abf1e1a62073a4371dbeae7f0a56/FBAE8347_5DA3_4A9B_98F2_14B3890B1872.png")</f>
        <v>https://api.typeform.com/responses/files/f20f7b72041b97cc4f2599ad8f9600bc5a02abf1e1a62073a4371dbeae7f0a56/FBAE8347_5DA3_4A9B_98F2_14B3890B1872.png</v>
      </c>
      <c r="J530" t="s">
        <v>4442</v>
      </c>
      <c r="K530" t="b">
        <v>1</v>
      </c>
      <c r="L530" s="4" t="s">
        <v>4443</v>
      </c>
      <c r="M530" t="s">
        <v>10930</v>
      </c>
      <c r="N530" t="s">
        <v>149</v>
      </c>
      <c r="O530" t="s">
        <v>10931</v>
      </c>
      <c r="P530" t="s">
        <v>4446</v>
      </c>
      <c r="Q530" t="s">
        <v>108</v>
      </c>
      <c r="R530" t="s">
        <v>10932</v>
      </c>
      <c r="S530" t="s">
        <v>10930</v>
      </c>
      <c r="T530" s="4" t="s">
        <v>4448</v>
      </c>
      <c r="U530" t="s">
        <v>10933</v>
      </c>
      <c r="V530" s="4" t="s">
        <v>10934</v>
      </c>
      <c r="W530" t="s">
        <v>113</v>
      </c>
      <c r="Y530" t="s">
        <v>158</v>
      </c>
      <c r="Z530" t="s">
        <v>262</v>
      </c>
      <c r="AC530" s="3" t="str">
        <f>HYPERLINK("https://api.typeform.com/responses/files/096a9ef4e6a2009321f2c94a55dfb6e4396fff7a5c5f2914de77cd1d61762d0e/A2DC2CF8_6409_4150_8095_E7D43FB2C65B.jpeg")</f>
        <v>https://api.typeform.com/responses/files/096a9ef4e6a2009321f2c94a55dfb6e4396fff7a5c5f2914de77cd1d61762d0e/A2DC2CF8_6409_4150_8095_E7D43FB2C65B.jpeg</v>
      </c>
      <c r="AD530" t="s">
        <v>118</v>
      </c>
      <c r="AE530" t="s">
        <v>3349</v>
      </c>
      <c r="AF530" t="s">
        <v>4450</v>
      </c>
      <c r="AG530">
        <v>15.0</v>
      </c>
      <c r="AH530" s="4" t="s">
        <v>2300</v>
      </c>
      <c r="AI530" t="s">
        <v>386</v>
      </c>
      <c r="AK530" t="s">
        <v>10935</v>
      </c>
      <c r="AL530" t="s">
        <v>199</v>
      </c>
      <c r="AO530" t="s">
        <v>1479</v>
      </c>
      <c r="AP530">
        <v>4.0</v>
      </c>
      <c r="AQ530" t="s">
        <v>1070</v>
      </c>
      <c r="AR530" t="s">
        <v>1829</v>
      </c>
      <c r="AS530" t="b">
        <v>1</v>
      </c>
      <c r="AT530" t="b">
        <v>1</v>
      </c>
      <c r="AV530">
        <v>5.0</v>
      </c>
      <c r="AW530" t="b">
        <v>1</v>
      </c>
      <c r="AX530" t="s">
        <v>1902</v>
      </c>
      <c r="AY530" s="4" t="s">
        <v>518</v>
      </c>
      <c r="AZ530" t="b">
        <v>1</v>
      </c>
      <c r="BA530" t="b">
        <v>0</v>
      </c>
      <c r="BD530" t="s">
        <v>10936</v>
      </c>
      <c r="BH530" t="s">
        <v>132</v>
      </c>
      <c r="BI530">
        <v>5.0</v>
      </c>
      <c r="BJ530" t="s">
        <v>10937</v>
      </c>
      <c r="BK530">
        <v>6.0</v>
      </c>
      <c r="BL530">
        <v>6.0</v>
      </c>
      <c r="BM530" t="s">
        <v>10938</v>
      </c>
      <c r="BN530">
        <v>6.0</v>
      </c>
      <c r="BO530">
        <v>6.0</v>
      </c>
      <c r="BP530" t="s">
        <v>10939</v>
      </c>
      <c r="BQ530" t="s">
        <v>5252</v>
      </c>
      <c r="BR530" t="s">
        <v>10940</v>
      </c>
      <c r="BS530" t="s">
        <v>10941</v>
      </c>
      <c r="BU530" t="s">
        <v>10942</v>
      </c>
      <c r="BV530" s="3" t="str">
        <f>HYPERLINK("https://api.typeform.com/responses/files/2fa0e513b149f29fbfaf3d58a805901d7800e13918e9c0f0af34cb87fd9edc45/84BF3AA8_7221_4660_B0FE_D262F587AEF4.jpeg")</f>
        <v>https://api.typeform.com/responses/files/2fa0e513b149f29fbfaf3d58a805901d7800e13918e9c0f0af34cb87fd9edc45/84BF3AA8_7221_4660_B0FE_D262F587AEF4.jpeg</v>
      </c>
      <c r="BW530" t="b">
        <v>1</v>
      </c>
      <c r="BX530" t="s">
        <v>1394</v>
      </c>
      <c r="BY530" t="s">
        <v>140</v>
      </c>
      <c r="CA530" t="s">
        <v>1395</v>
      </c>
      <c r="CD530">
        <v>0.0</v>
      </c>
      <c r="CF530" t="b">
        <v>1</v>
      </c>
      <c r="CG530" t="b">
        <v>1</v>
      </c>
      <c r="CH530" t="s">
        <v>168</v>
      </c>
      <c r="CJ530" t="b">
        <v>1</v>
      </c>
      <c r="CK530" t="b">
        <v>1</v>
      </c>
      <c r="CL530" t="s">
        <v>387</v>
      </c>
      <c r="CM530" t="s">
        <v>387</v>
      </c>
      <c r="CO530" t="s">
        <v>1635</v>
      </c>
      <c r="CR530" t="b">
        <v>1</v>
      </c>
      <c r="CT530">
        <v>2.0</v>
      </c>
      <c r="CU530">
        <v>2.0</v>
      </c>
      <c r="CX530" t="s">
        <v>10943</v>
      </c>
      <c r="CZ530" s="5">
        <v>44620.877071759256</v>
      </c>
      <c r="DA530" t="s">
        <v>10944</v>
      </c>
    </row>
    <row r="531">
      <c r="A531" t="s">
        <v>98</v>
      </c>
      <c r="D531" t="s">
        <v>4169</v>
      </c>
      <c r="E531" t="s">
        <v>10945</v>
      </c>
      <c r="F531" s="2">
        <v>38197.0</v>
      </c>
      <c r="G531" t="s">
        <v>1360</v>
      </c>
      <c r="I531" s="3" t="str">
        <f>HYPERLINK("https://api.typeform.com/responses/files/5b4b55ec866031bdbcc11c227fc1595e46c7d5f786b19dacce5704936a56d09b/75FBFAF9_2CA6_4DD2_A9EA_089D089294D6.jpeg")</f>
        <v>https://api.typeform.com/responses/files/5b4b55ec866031bdbcc11c227fc1595e46c7d5f786b19dacce5704936a56d09b/75FBFAF9_2CA6_4DD2_A9EA_089D089294D6.jpeg</v>
      </c>
      <c r="J531" t="s">
        <v>4171</v>
      </c>
      <c r="K531" t="b">
        <v>1</v>
      </c>
      <c r="L531" s="4" t="s">
        <v>10946</v>
      </c>
      <c r="M531" t="s">
        <v>10947</v>
      </c>
      <c r="N531" t="s">
        <v>149</v>
      </c>
      <c r="O531" t="s">
        <v>10948</v>
      </c>
      <c r="P531" t="s">
        <v>4175</v>
      </c>
      <c r="Q531" t="s">
        <v>189</v>
      </c>
      <c r="R531" t="s">
        <v>10949</v>
      </c>
      <c r="S531" t="s">
        <v>10947</v>
      </c>
      <c r="T531" s="4" t="s">
        <v>4172</v>
      </c>
      <c r="U531" t="s">
        <v>10950</v>
      </c>
      <c r="V531" t="s">
        <v>4106</v>
      </c>
      <c r="W531" t="s">
        <v>261</v>
      </c>
      <c r="Y531" t="s">
        <v>158</v>
      </c>
      <c r="Z531" t="s">
        <v>262</v>
      </c>
      <c r="AC531" s="3" t="str">
        <f>HYPERLINK("https://api.typeform.com/responses/files/b801c19edf0a1f93c3745c4d85f03c2717319d12990fbcb4e1b783508753f58b/632803D5_4749_4436_9DD8_67FCA8896D93.jpeg")</f>
        <v>https://api.typeform.com/responses/files/b801c19edf0a1f93c3745c4d85f03c2717319d12990fbcb4e1b783508753f58b/632803D5_4749_4436_9DD8_67FCA8896D93.jpeg</v>
      </c>
      <c r="AD531" t="s">
        <v>118</v>
      </c>
      <c r="AE531" t="s">
        <v>729</v>
      </c>
      <c r="AF531" t="s">
        <v>1019</v>
      </c>
      <c r="AG531">
        <v>14.0</v>
      </c>
      <c r="AH531" s="4" t="s">
        <v>734</v>
      </c>
      <c r="AI531" t="s">
        <v>205</v>
      </c>
      <c r="AK531" t="s">
        <v>179</v>
      </c>
      <c r="AL531" t="s">
        <v>199</v>
      </c>
      <c r="AO531" t="s">
        <v>335</v>
      </c>
      <c r="AP531">
        <v>4.0</v>
      </c>
      <c r="AQ531" t="s">
        <v>1070</v>
      </c>
      <c r="AR531" t="s">
        <v>10951</v>
      </c>
      <c r="AS531" t="b">
        <v>0</v>
      </c>
      <c r="AV531">
        <v>2.0</v>
      </c>
      <c r="AW531" t="b">
        <v>0</v>
      </c>
      <c r="AZ531" t="b">
        <v>1</v>
      </c>
      <c r="BA531" t="b">
        <v>0</v>
      </c>
      <c r="BD531" t="s">
        <v>10952</v>
      </c>
      <c r="BH531" t="s">
        <v>132</v>
      </c>
      <c r="BI531">
        <v>3.0</v>
      </c>
      <c r="BJ531" t="s">
        <v>10953</v>
      </c>
      <c r="BK531">
        <v>3.0</v>
      </c>
      <c r="BL531">
        <v>4.0</v>
      </c>
      <c r="BM531" t="s">
        <v>10954</v>
      </c>
      <c r="BN531">
        <v>3.0</v>
      </c>
      <c r="BO531">
        <v>4.0</v>
      </c>
      <c r="BP531" t="s">
        <v>10955</v>
      </c>
      <c r="BQ531" t="s">
        <v>2390</v>
      </c>
      <c r="BR531" t="s">
        <v>10956</v>
      </c>
      <c r="BS531" t="s">
        <v>10957</v>
      </c>
      <c r="BU531" t="s">
        <v>179</v>
      </c>
      <c r="BV531" s="3" t="str">
        <f>HYPERLINK("https://api.typeform.com/responses/files/610861ca31a0373e450dcd8714f1c916ca609f1a9bf3a2cd562c6aded570234c/423C5374_F6F5_4CFA_850F_BD9708DA17DF.jpeg")</f>
        <v>https://api.typeform.com/responses/files/610861ca31a0373e450dcd8714f1c916ca609f1a9bf3a2cd562c6aded570234c/423C5374_F6F5_4CFA_850F_BD9708DA17DF.jpeg</v>
      </c>
      <c r="BW531" t="b">
        <v>1</v>
      </c>
      <c r="BX531" t="s">
        <v>1394</v>
      </c>
      <c r="BY531" t="s">
        <v>140</v>
      </c>
      <c r="CA531" t="s">
        <v>1395</v>
      </c>
      <c r="CD531">
        <v>0.0</v>
      </c>
      <c r="CF531" t="b">
        <v>0</v>
      </c>
      <c r="CG531" t="b">
        <v>0</v>
      </c>
      <c r="CH531" t="s">
        <v>168</v>
      </c>
      <c r="CJ531" t="b">
        <v>1</v>
      </c>
      <c r="CK531" t="b">
        <v>0</v>
      </c>
      <c r="CL531" t="s">
        <v>387</v>
      </c>
      <c r="CM531" t="s">
        <v>387</v>
      </c>
      <c r="CO531" t="s">
        <v>1635</v>
      </c>
      <c r="CQ531" t="s">
        <v>387</v>
      </c>
      <c r="CR531" t="b">
        <v>1</v>
      </c>
      <c r="CT531">
        <v>1.0</v>
      </c>
      <c r="CU531">
        <v>2.0</v>
      </c>
      <c r="CX531" s="4" t="s">
        <v>2914</v>
      </c>
      <c r="CZ531" s="5">
        <v>44621.54555555555</v>
      </c>
      <c r="DA531" t="s">
        <v>10958</v>
      </c>
    </row>
    <row r="532">
      <c r="A532" t="s">
        <v>98</v>
      </c>
      <c r="D532" t="s">
        <v>10959</v>
      </c>
      <c r="E532" t="s">
        <v>10960</v>
      </c>
      <c r="F532" s="2">
        <v>37149.0</v>
      </c>
      <c r="G532" t="s">
        <v>1360</v>
      </c>
      <c r="I532" s="3" t="str">
        <f>HYPERLINK("https://api.typeform.com/responses/files/2335d8d332d25f9bd113bde821b690c1d02a9ae20fd08df8d5c582b71e5d7743/F0DADD5B_4E3B_4FC9_9B81_21207C160897.jpeg")</f>
        <v>https://api.typeform.com/responses/files/2335d8d332d25f9bd113bde821b690c1d02a9ae20fd08df8d5c582b71e5d7743/F0DADD5B_4E3B_4FC9_9B81_21207C160897.jpeg</v>
      </c>
      <c r="J532" t="s">
        <v>10961</v>
      </c>
      <c r="K532" t="b">
        <v>1</v>
      </c>
      <c r="L532" s="4" t="s">
        <v>10962</v>
      </c>
      <c r="M532" t="s">
        <v>10963</v>
      </c>
      <c r="N532" t="s">
        <v>105</v>
      </c>
      <c r="O532" t="s">
        <v>10964</v>
      </c>
      <c r="P532" t="s">
        <v>10965</v>
      </c>
      <c r="Q532" t="s">
        <v>108</v>
      </c>
      <c r="R532" t="s">
        <v>10966</v>
      </c>
      <c r="S532" t="s">
        <v>10963</v>
      </c>
      <c r="T532" s="4" t="s">
        <v>10967</v>
      </c>
      <c r="U532" t="s">
        <v>3547</v>
      </c>
      <c r="V532" t="s">
        <v>10968</v>
      </c>
      <c r="W532" t="s">
        <v>113</v>
      </c>
      <c r="Y532" t="s">
        <v>158</v>
      </c>
      <c r="Z532" t="s">
        <v>195</v>
      </c>
      <c r="AC532" s="3" t="str">
        <f>HYPERLINK("https://api.typeform.com/responses/files/024cf513a6e46ddfdd2f414c9eef4fbda0d402a7baa8070fc826189d68c9365d/image.jpg")</f>
        <v>https://api.typeform.com/responses/files/024cf513a6e46ddfdd2f414c9eef4fbda0d402a7baa8070fc826189d68c9365d/image.jpg</v>
      </c>
      <c r="AD532" t="s">
        <v>118</v>
      </c>
      <c r="AE532" t="s">
        <v>4219</v>
      </c>
      <c r="AF532" t="s">
        <v>10969</v>
      </c>
      <c r="AG532">
        <v>2021.0</v>
      </c>
      <c r="AH532" t="s">
        <v>10970</v>
      </c>
      <c r="AI532" t="s">
        <v>121</v>
      </c>
      <c r="AK532" t="s">
        <v>10971</v>
      </c>
      <c r="AL532" t="s">
        <v>10972</v>
      </c>
      <c r="AO532" t="s">
        <v>335</v>
      </c>
      <c r="AP532">
        <v>5.0</v>
      </c>
      <c r="AQ532" t="s">
        <v>461</v>
      </c>
      <c r="AR532" t="s">
        <v>638</v>
      </c>
      <c r="AS532" t="b">
        <v>1</v>
      </c>
      <c r="AT532" t="b">
        <v>1</v>
      </c>
      <c r="AV532">
        <v>6.0</v>
      </c>
      <c r="AW532" t="b">
        <v>0</v>
      </c>
      <c r="AZ532" t="b">
        <v>1</v>
      </c>
      <c r="BA532" t="b">
        <v>0</v>
      </c>
      <c r="BD532" t="s">
        <v>10973</v>
      </c>
      <c r="BH532" t="s">
        <v>132</v>
      </c>
      <c r="BI532">
        <v>5.0</v>
      </c>
      <c r="BJ532" t="s">
        <v>10974</v>
      </c>
      <c r="BK532">
        <v>7.0</v>
      </c>
      <c r="BL532">
        <v>5.0</v>
      </c>
      <c r="BM532" t="s">
        <v>10975</v>
      </c>
      <c r="BN532">
        <v>5.0</v>
      </c>
      <c r="BO532">
        <v>6.0</v>
      </c>
      <c r="BP532" t="s">
        <v>4092</v>
      </c>
      <c r="BQ532" t="s">
        <v>10976</v>
      </c>
      <c r="BR532" t="s">
        <v>10977</v>
      </c>
      <c r="BS532" t="s">
        <v>10978</v>
      </c>
      <c r="BU532" t="s">
        <v>10979</v>
      </c>
      <c r="BV532" s="3" t="str">
        <f>HYPERLINK("https://api.typeform.com/responses/files/d9d618990053b7b8aba14906232a29126849d418cfa0113dd08b49f6bd74c539/image.jpg")</f>
        <v>https://api.typeform.com/responses/files/d9d618990053b7b8aba14906232a29126849d418cfa0113dd08b49f6bd74c539/image.jpg</v>
      </c>
      <c r="BW532" t="b">
        <v>1</v>
      </c>
      <c r="BX532" t="s">
        <v>1394</v>
      </c>
      <c r="BY532" t="s">
        <v>140</v>
      </c>
      <c r="CA532" t="s">
        <v>1395</v>
      </c>
      <c r="CD532">
        <v>0.0</v>
      </c>
      <c r="CF532" t="b">
        <v>0</v>
      </c>
      <c r="CG532" t="b">
        <v>1</v>
      </c>
      <c r="CH532" t="s">
        <v>10980</v>
      </c>
      <c r="CJ532" t="b">
        <v>1</v>
      </c>
      <c r="CK532" t="b">
        <v>1</v>
      </c>
      <c r="CL532" t="s">
        <v>810</v>
      </c>
      <c r="CM532" t="s">
        <v>300</v>
      </c>
      <c r="CO532" t="s">
        <v>124</v>
      </c>
      <c r="CQ532" t="s">
        <v>300</v>
      </c>
      <c r="CR532" t="b">
        <v>1</v>
      </c>
      <c r="CT532">
        <v>0.0</v>
      </c>
      <c r="CU532">
        <v>1.0</v>
      </c>
      <c r="CX532" t="s">
        <v>528</v>
      </c>
      <c r="CZ532" s="5">
        <v>44715.20116898148</v>
      </c>
      <c r="DA532" t="s">
        <v>10981</v>
      </c>
    </row>
    <row r="533">
      <c r="A533" t="s">
        <v>98</v>
      </c>
      <c r="D533" t="s">
        <v>10982</v>
      </c>
      <c r="E533" t="s">
        <v>10761</v>
      </c>
      <c r="F533" s="2">
        <v>37547.0</v>
      </c>
      <c r="G533" t="s">
        <v>1360</v>
      </c>
      <c r="I533" s="3" t="str">
        <f>HYPERLINK("https://api.typeform.com/responses/files/018cccd1480fcf6f753a0c8ba807f28bddbb0185d6e66eb4a576561c5ef06c61/00B479DC_4CD7_4AC1_AFCE_ABD68F79D82C.jpeg")</f>
        <v>https://api.typeform.com/responses/files/018cccd1480fcf6f753a0c8ba807f28bddbb0185d6e66eb4a576561c5ef06c61/00B479DC_4CD7_4AC1_AFCE_ABD68F79D82C.jpeg</v>
      </c>
      <c r="J533" t="s">
        <v>10983</v>
      </c>
      <c r="K533" t="b">
        <v>1</v>
      </c>
      <c r="L533" s="4" t="s">
        <v>10984</v>
      </c>
      <c r="M533" t="s">
        <v>10985</v>
      </c>
      <c r="N533" t="s">
        <v>354</v>
      </c>
      <c r="O533" t="s">
        <v>10986</v>
      </c>
      <c r="P533" t="s">
        <v>10987</v>
      </c>
      <c r="Q533" t="s">
        <v>563</v>
      </c>
      <c r="R533" t="s">
        <v>10988</v>
      </c>
      <c r="S533" t="s">
        <v>10989</v>
      </c>
      <c r="T533" s="4" t="s">
        <v>10990</v>
      </c>
      <c r="U533" t="s">
        <v>10991</v>
      </c>
      <c r="V533" t="s">
        <v>10992</v>
      </c>
      <c r="W533" t="s">
        <v>113</v>
      </c>
      <c r="Y533" t="s">
        <v>158</v>
      </c>
      <c r="Z533" t="s">
        <v>384</v>
      </c>
      <c r="AC533" s="3" t="str">
        <f>HYPERLINK("https://api.typeform.com/responses/files/0b6911737400eb455fd4aa60120eb834762e90d17af1e21c8989e7d2f2cbd09a/553A0723_C542_4ED1_A6E0_BC680E5F9250.jpeg")</f>
        <v>https://api.typeform.com/responses/files/0b6911737400eb455fd4aa60120eb834762e90d17af1e21c8989e7d2f2cbd09a/553A0723_C542_4ED1_A6E0_BC680E5F9250.jpeg</v>
      </c>
      <c r="AD533" t="s">
        <v>118</v>
      </c>
      <c r="AE533" t="s">
        <v>729</v>
      </c>
      <c r="AF533" t="s">
        <v>3817</v>
      </c>
      <c r="AG533">
        <v>19.0</v>
      </c>
      <c r="AH533" s="4" t="s">
        <v>4230</v>
      </c>
      <c r="AI533" t="s">
        <v>543</v>
      </c>
      <c r="AK533" t="s">
        <v>10993</v>
      </c>
      <c r="AL533" t="s">
        <v>3818</v>
      </c>
      <c r="AO533" t="s">
        <v>125</v>
      </c>
      <c r="AP533">
        <v>4.0</v>
      </c>
      <c r="AQ533" t="s">
        <v>126</v>
      </c>
      <c r="AR533" t="s">
        <v>1832</v>
      </c>
      <c r="AS533" t="b">
        <v>1</v>
      </c>
      <c r="AT533" t="b">
        <v>0</v>
      </c>
      <c r="AV533">
        <v>4.0</v>
      </c>
      <c r="AW533" t="b">
        <v>1</v>
      </c>
      <c r="AX533" s="4" t="s">
        <v>130</v>
      </c>
      <c r="AY533" s="4" t="s">
        <v>518</v>
      </c>
      <c r="AZ533" t="b">
        <v>1</v>
      </c>
      <c r="BA533" t="b">
        <v>1</v>
      </c>
      <c r="BB533" t="b">
        <v>1</v>
      </c>
      <c r="BC533" t="s">
        <v>10994</v>
      </c>
      <c r="BH533" t="s">
        <v>132</v>
      </c>
      <c r="BI533">
        <v>4.0</v>
      </c>
      <c r="BJ533" t="s">
        <v>10995</v>
      </c>
      <c r="BK533">
        <v>4.0</v>
      </c>
      <c r="BL533">
        <v>4.0</v>
      </c>
      <c r="BM533" t="s">
        <v>10996</v>
      </c>
      <c r="BN533">
        <v>4.0</v>
      </c>
      <c r="BO533">
        <v>4.0</v>
      </c>
      <c r="BP533" t="s">
        <v>4092</v>
      </c>
      <c r="BQ533" t="s">
        <v>1761</v>
      </c>
      <c r="BR533" t="s">
        <v>10997</v>
      </c>
      <c r="BS533" t="s">
        <v>10998</v>
      </c>
      <c r="BU533" t="s">
        <v>10999</v>
      </c>
      <c r="BV533" s="3" t="str">
        <f>HYPERLINK("https://api.typeform.com/responses/files/74d07605cb19178087878ed51df9974c3b19cced2c1d696401e342c0bc1948a9/45DC151D_91FC_420B_A014_1E495F066571.jpeg")</f>
        <v>https://api.typeform.com/responses/files/74d07605cb19178087878ed51df9974c3b19cced2c1d696401e342c0bc1948a9/45DC151D_91FC_420B_A014_1E495F066571.jpeg</v>
      </c>
      <c r="BW533" t="b">
        <v>1</v>
      </c>
      <c r="BX533" t="s">
        <v>1394</v>
      </c>
      <c r="BY533" t="s">
        <v>822</v>
      </c>
      <c r="BZ533" t="s">
        <v>1419</v>
      </c>
      <c r="CD533">
        <v>0.0</v>
      </c>
      <c r="CF533" t="b">
        <v>1</v>
      </c>
      <c r="CG533" t="b">
        <v>1</v>
      </c>
      <c r="CH533" t="s">
        <v>11000</v>
      </c>
      <c r="CJ533" t="b">
        <v>1</v>
      </c>
      <c r="CK533" t="b">
        <v>1</v>
      </c>
      <c r="CL533" t="s">
        <v>300</v>
      </c>
      <c r="CM533" t="s">
        <v>300</v>
      </c>
      <c r="CN533" t="s">
        <v>3817</v>
      </c>
      <c r="CO533" t="s">
        <v>124</v>
      </c>
      <c r="CQ533" t="s">
        <v>300</v>
      </c>
      <c r="CR533" t="b">
        <v>1</v>
      </c>
      <c r="CT533">
        <v>9.0</v>
      </c>
      <c r="CU533">
        <v>9.0</v>
      </c>
      <c r="CX533" s="4" t="s">
        <v>11001</v>
      </c>
      <c r="CZ533" s="5">
        <v>44716.794027777774</v>
      </c>
      <c r="DA533" t="s">
        <v>11002</v>
      </c>
    </row>
    <row r="534">
      <c r="A534" t="s">
        <v>98</v>
      </c>
      <c r="D534" t="s">
        <v>11003</v>
      </c>
      <c r="E534" t="s">
        <v>11004</v>
      </c>
      <c r="F534" s="2">
        <v>38630.0</v>
      </c>
      <c r="G534" t="s">
        <v>1360</v>
      </c>
      <c r="I534" s="3" t="str">
        <f>HYPERLINK("https://api.typeform.com/responses/files/f76becd2573f94be43f940497e672de3b3102eb1b87167dce141f2ea280e5b0c/unnamed.jpg")</f>
        <v>https://api.typeform.com/responses/files/f76becd2573f94be43f940497e672de3b3102eb1b87167dce141f2ea280e5b0c/unnamed.jpg</v>
      </c>
      <c r="J534" t="s">
        <v>11005</v>
      </c>
      <c r="K534" t="b">
        <v>1</v>
      </c>
      <c r="L534" s="4" t="s">
        <v>11006</v>
      </c>
      <c r="M534" t="s">
        <v>11007</v>
      </c>
      <c r="N534" t="s">
        <v>255</v>
      </c>
      <c r="O534" t="s">
        <v>4315</v>
      </c>
      <c r="P534" t="s">
        <v>11008</v>
      </c>
      <c r="Q534" t="s">
        <v>189</v>
      </c>
      <c r="R534" t="s">
        <v>11009</v>
      </c>
      <c r="S534" t="s">
        <v>11010</v>
      </c>
      <c r="T534" s="4" t="s">
        <v>11011</v>
      </c>
      <c r="U534" t="s">
        <v>11012</v>
      </c>
      <c r="V534" t="s">
        <v>3852</v>
      </c>
      <c r="W534" t="s">
        <v>113</v>
      </c>
      <c r="Y534" t="s">
        <v>158</v>
      </c>
      <c r="Z534" t="s">
        <v>195</v>
      </c>
      <c r="AC534" s="3" t="str">
        <f>HYPERLINK("https://api.typeform.com/responses/files/7064043c8486adfcd51efa58029ac276e255e3a6209078777831bafe8772b6a8/unnamed__1_.jpg")</f>
        <v>https://api.typeform.com/responses/files/7064043c8486adfcd51efa58029ac276e255e3a6209078777831bafe8772b6a8/unnamed__1_.jpg</v>
      </c>
      <c r="AD534" t="s">
        <v>118</v>
      </c>
      <c r="AE534" t="s">
        <v>729</v>
      </c>
      <c r="AF534" t="s">
        <v>11013</v>
      </c>
      <c r="AG534">
        <v>15.0</v>
      </c>
      <c r="AH534" t="s">
        <v>11014</v>
      </c>
      <c r="AI534" t="s">
        <v>121</v>
      </c>
      <c r="AK534" t="s">
        <v>11015</v>
      </c>
      <c r="AL534" t="s">
        <v>11016</v>
      </c>
      <c r="AO534" t="s">
        <v>335</v>
      </c>
      <c r="AP534">
        <v>7.0</v>
      </c>
      <c r="AQ534" t="s">
        <v>201</v>
      </c>
      <c r="AR534" t="s">
        <v>11017</v>
      </c>
      <c r="AS534" t="b">
        <v>0</v>
      </c>
      <c r="AV534">
        <v>4.0</v>
      </c>
      <c r="AW534" t="b">
        <v>1</v>
      </c>
      <c r="AX534" t="s">
        <v>2797</v>
      </c>
      <c r="AY534" s="4" t="s">
        <v>518</v>
      </c>
      <c r="AZ534" t="b">
        <v>0</v>
      </c>
      <c r="BA534" t="b">
        <v>1</v>
      </c>
      <c r="BB534" t="b">
        <v>0</v>
      </c>
      <c r="BC534" t="s">
        <v>11018</v>
      </c>
      <c r="BH534" t="s">
        <v>132</v>
      </c>
      <c r="BI534">
        <v>4.0</v>
      </c>
      <c r="BJ534" t="s">
        <v>11019</v>
      </c>
      <c r="BK534">
        <v>7.0</v>
      </c>
      <c r="BL534">
        <v>7.0</v>
      </c>
      <c r="BM534" t="s">
        <v>11020</v>
      </c>
      <c r="BN534">
        <v>7.0</v>
      </c>
      <c r="BO534">
        <v>7.0</v>
      </c>
      <c r="BP534" t="s">
        <v>11021</v>
      </c>
      <c r="BQ534" t="s">
        <v>7184</v>
      </c>
      <c r="BR534" t="s">
        <v>11022</v>
      </c>
      <c r="BS534" t="s">
        <v>11023</v>
      </c>
      <c r="BU534" t="s">
        <v>11024</v>
      </c>
      <c r="BV534" s="3" t="str">
        <f>HYPERLINK("https://api.typeform.com/responses/files/1ed5931d35b499c39c06a536cb0be90698bdbe2ac7f6ed2e9049b84a110c7a62/unnamed__2_.jpg")</f>
        <v>https://api.typeform.com/responses/files/1ed5931d35b499c39c06a536cb0be90698bdbe2ac7f6ed2e9049b84a110c7a62/unnamed__2_.jpg</v>
      </c>
      <c r="BW534" t="b">
        <v>1</v>
      </c>
      <c r="BX534" t="s">
        <v>1394</v>
      </c>
      <c r="BY534" t="s">
        <v>140</v>
      </c>
      <c r="CA534" t="s">
        <v>1395</v>
      </c>
      <c r="CD534">
        <v>0.0</v>
      </c>
      <c r="CF534" t="b">
        <v>1</v>
      </c>
      <c r="CG534" t="b">
        <v>1</v>
      </c>
      <c r="CH534" t="s">
        <v>11025</v>
      </c>
      <c r="CJ534" t="b">
        <v>1</v>
      </c>
      <c r="CK534" t="b">
        <v>1</v>
      </c>
      <c r="CL534" t="s">
        <v>300</v>
      </c>
      <c r="CM534" t="s">
        <v>300</v>
      </c>
      <c r="CO534" t="s">
        <v>1635</v>
      </c>
      <c r="CQ534" t="s">
        <v>300</v>
      </c>
      <c r="CR534" t="b">
        <v>1</v>
      </c>
      <c r="CT534">
        <v>0.0</v>
      </c>
      <c r="CU534">
        <v>0.0</v>
      </c>
      <c r="CX534" t="s">
        <v>11026</v>
      </c>
      <c r="CZ534" s="5">
        <v>44726.80621527778</v>
      </c>
      <c r="DA534" t="s">
        <v>11027</v>
      </c>
    </row>
    <row r="535">
      <c r="A535" t="s">
        <v>98</v>
      </c>
      <c r="D535" t="s">
        <v>11028</v>
      </c>
      <c r="E535" t="s">
        <v>4131</v>
      </c>
      <c r="F535" s="2">
        <v>38275.0</v>
      </c>
      <c r="G535" t="s">
        <v>1360</v>
      </c>
      <c r="I535" s="3" t="str">
        <f>HYPERLINK("https://api.typeform.com/responses/files/bdd4b7507a0eae68f9a8fa65c565363cb016f03d8212395d044e353603f0be72/IMG_0108.jpg")</f>
        <v>https://api.typeform.com/responses/files/bdd4b7507a0eae68f9a8fa65c565363cb016f03d8212395d044e353603f0be72/IMG_0108.jpg</v>
      </c>
      <c r="J535" t="s">
        <v>11029</v>
      </c>
      <c r="K535" t="b">
        <v>1</v>
      </c>
      <c r="L535" s="4" t="s">
        <v>11030</v>
      </c>
      <c r="M535" t="s">
        <v>11031</v>
      </c>
      <c r="N535" t="s">
        <v>149</v>
      </c>
      <c r="P535" t="s">
        <v>11032</v>
      </c>
      <c r="Q535" t="s">
        <v>189</v>
      </c>
      <c r="R535" t="s">
        <v>11033</v>
      </c>
      <c r="S535" t="s">
        <v>11031</v>
      </c>
      <c r="T535" s="4" t="s">
        <v>11034</v>
      </c>
      <c r="U535" t="s">
        <v>1543</v>
      </c>
      <c r="V535" t="s">
        <v>3641</v>
      </c>
      <c r="W535" t="s">
        <v>113</v>
      </c>
      <c r="Y535" t="s">
        <v>158</v>
      </c>
      <c r="Z535" t="s">
        <v>195</v>
      </c>
      <c r="AC535" s="3" t="str">
        <f>HYPERLINK("https://api.typeform.com/responses/files/ba3bb830899b06083142a08203fd74d64c2d052d9adbb627a15fe4f21fbf14ff/Transcript.pdf")</f>
        <v>https://api.typeform.com/responses/files/ba3bb830899b06083142a08203fd74d64c2d052d9adbb627a15fe4f21fbf14ff/Transcript.pdf</v>
      </c>
      <c r="AD535" t="s">
        <v>118</v>
      </c>
      <c r="AE535" t="s">
        <v>729</v>
      </c>
      <c r="AF535" t="s">
        <v>1019</v>
      </c>
      <c r="AG535">
        <v>16.0</v>
      </c>
      <c r="AH535" t="s">
        <v>2905</v>
      </c>
      <c r="AI535" t="s">
        <v>386</v>
      </c>
      <c r="AK535" t="s">
        <v>139</v>
      </c>
      <c r="AL535" t="s">
        <v>199</v>
      </c>
      <c r="AO535" t="s">
        <v>335</v>
      </c>
      <c r="AP535">
        <v>3.0</v>
      </c>
      <c r="AQ535" t="s">
        <v>126</v>
      </c>
      <c r="AR535" t="s">
        <v>11035</v>
      </c>
      <c r="AS535" t="b">
        <v>0</v>
      </c>
      <c r="AV535">
        <v>6.0</v>
      </c>
      <c r="AW535" t="b">
        <v>1</v>
      </c>
      <c r="AX535" t="s">
        <v>1902</v>
      </c>
      <c r="AY535" s="4" t="s">
        <v>518</v>
      </c>
      <c r="AZ535" t="b">
        <v>1</v>
      </c>
      <c r="BA535" t="b">
        <v>0</v>
      </c>
      <c r="BD535" t="s">
        <v>11035</v>
      </c>
      <c r="BH535" t="s">
        <v>132</v>
      </c>
      <c r="BI535">
        <v>3.0</v>
      </c>
      <c r="BJ535" t="s">
        <v>11036</v>
      </c>
      <c r="BK535">
        <v>3.0</v>
      </c>
      <c r="BL535">
        <v>3.0</v>
      </c>
      <c r="BM535" t="s">
        <v>11037</v>
      </c>
      <c r="BN535">
        <v>3.0</v>
      </c>
      <c r="BO535">
        <v>4.0</v>
      </c>
      <c r="BP535" t="s">
        <v>11038</v>
      </c>
      <c r="BQ535" t="s">
        <v>4361</v>
      </c>
      <c r="BR535" t="s">
        <v>11039</v>
      </c>
      <c r="BS535" t="s">
        <v>11040</v>
      </c>
      <c r="BU535" t="s">
        <v>179</v>
      </c>
      <c r="BV535" s="3" t="str">
        <f>HYPERLINK("https://api.typeform.com/responses/files/b7efd021483e70251948b9d29609ffadb71994b54abb3677dd8d7529c04990fd/consent.pdf")</f>
        <v>https://api.typeform.com/responses/files/b7efd021483e70251948b9d29609ffadb71994b54abb3677dd8d7529c04990fd/consent.pdf</v>
      </c>
      <c r="BW535" t="b">
        <v>1</v>
      </c>
      <c r="BX535" t="s">
        <v>1394</v>
      </c>
      <c r="BY535" t="s">
        <v>140</v>
      </c>
      <c r="CA535" t="s">
        <v>1395</v>
      </c>
      <c r="CD535">
        <v>0.0</v>
      </c>
      <c r="CF535" t="b">
        <v>0</v>
      </c>
      <c r="CG535" t="b">
        <v>0</v>
      </c>
      <c r="CH535" t="s">
        <v>168</v>
      </c>
      <c r="CJ535" t="b">
        <v>0</v>
      </c>
      <c r="CK535" t="b">
        <v>0</v>
      </c>
      <c r="CL535" t="s">
        <v>387</v>
      </c>
      <c r="CO535" t="s">
        <v>1635</v>
      </c>
      <c r="CR535" t="b">
        <v>1</v>
      </c>
      <c r="CT535">
        <v>0.0</v>
      </c>
      <c r="CU535">
        <v>0.0</v>
      </c>
      <c r="CX535" t="s">
        <v>11041</v>
      </c>
      <c r="CZ535" s="5">
        <v>44726.81101851852</v>
      </c>
      <c r="DA535" t="s">
        <v>11042</v>
      </c>
    </row>
    <row r="536">
      <c r="A536" t="s">
        <v>98</v>
      </c>
      <c r="D536" t="s">
        <v>11043</v>
      </c>
      <c r="E536" t="s">
        <v>11044</v>
      </c>
      <c r="F536" s="2">
        <v>37973.0</v>
      </c>
      <c r="G536" t="s">
        <v>1360</v>
      </c>
      <c r="I536" s="3" t="str">
        <f>HYPERLINK("https://api.typeform.com/responses/files/1b8a9b33ab9233366222148e44d786c9cfc42b71b8f4fbd1fea24c311e611dfa/name.jpg")</f>
        <v>https://api.typeform.com/responses/files/1b8a9b33ab9233366222148e44d786c9cfc42b71b8f4fbd1fea24c311e611dfa/name.jpg</v>
      </c>
      <c r="J536" t="s">
        <v>11045</v>
      </c>
      <c r="K536" t="b">
        <v>1</v>
      </c>
      <c r="L536" s="4" t="s">
        <v>11046</v>
      </c>
      <c r="M536" t="s">
        <v>11047</v>
      </c>
      <c r="N536" t="s">
        <v>149</v>
      </c>
      <c r="P536" t="s">
        <v>11048</v>
      </c>
      <c r="Q536" t="s">
        <v>189</v>
      </c>
      <c r="R536" t="s">
        <v>11049</v>
      </c>
      <c r="S536" t="s">
        <v>11050</v>
      </c>
      <c r="T536" s="4" t="s">
        <v>11051</v>
      </c>
      <c r="U536" t="s">
        <v>3851</v>
      </c>
      <c r="V536" t="s">
        <v>1825</v>
      </c>
      <c r="W536" t="s">
        <v>113</v>
      </c>
      <c r="Y536" t="s">
        <v>158</v>
      </c>
      <c r="Z536" t="s">
        <v>195</v>
      </c>
      <c r="AC536" s="3" t="str">
        <f>HYPERLINK("https://api.typeform.com/responses/files/87c713aa3fe0720ea6e80bfb2fb8c5f8db8983180ea0f3afd01a0c0d5ba559b3/unnamed.jpg")</f>
        <v>https://api.typeform.com/responses/files/87c713aa3fe0720ea6e80bfb2fb8c5f8db8983180ea0f3afd01a0c0d5ba559b3/unnamed.jpg</v>
      </c>
      <c r="AD536" t="s">
        <v>118</v>
      </c>
      <c r="AE536" t="s">
        <v>729</v>
      </c>
      <c r="AF536" t="s">
        <v>1019</v>
      </c>
      <c r="AG536">
        <v>17.0</v>
      </c>
      <c r="AH536" t="s">
        <v>11052</v>
      </c>
      <c r="AI536" t="s">
        <v>386</v>
      </c>
      <c r="AK536" t="s">
        <v>139</v>
      </c>
      <c r="AL536" t="s">
        <v>1043</v>
      </c>
      <c r="AO536" t="s">
        <v>125</v>
      </c>
      <c r="AP536">
        <v>4.0</v>
      </c>
      <c r="AQ536" t="s">
        <v>1070</v>
      </c>
      <c r="AR536" t="s">
        <v>3723</v>
      </c>
      <c r="AS536" t="b">
        <v>1</v>
      </c>
      <c r="AT536" t="b">
        <v>0</v>
      </c>
      <c r="AV536">
        <v>5.0</v>
      </c>
      <c r="AW536" t="b">
        <v>0</v>
      </c>
      <c r="AZ536" t="b">
        <v>0</v>
      </c>
      <c r="BA536" t="b">
        <v>1</v>
      </c>
      <c r="BB536" t="b">
        <v>0</v>
      </c>
      <c r="BC536" t="s">
        <v>11053</v>
      </c>
      <c r="BH536" t="s">
        <v>132</v>
      </c>
      <c r="BI536">
        <v>4.0</v>
      </c>
      <c r="BJ536" t="s">
        <v>11054</v>
      </c>
      <c r="BK536">
        <v>2.0</v>
      </c>
      <c r="BL536">
        <v>4.0</v>
      </c>
      <c r="BM536" t="s">
        <v>11055</v>
      </c>
      <c r="BN536">
        <v>1.0</v>
      </c>
      <c r="BO536">
        <v>4.0</v>
      </c>
      <c r="BP536" t="s">
        <v>11056</v>
      </c>
      <c r="BQ536" t="s">
        <v>5603</v>
      </c>
      <c r="BR536" t="s">
        <v>11057</v>
      </c>
      <c r="BS536" t="s">
        <v>11058</v>
      </c>
      <c r="BU536" t="s">
        <v>11059</v>
      </c>
      <c r="BV536" s="3" t="str">
        <f>HYPERLINK("https://api.typeform.com/responses/files/9bd19dbd2782dc7ea787dced9317287db1a38cae7b80377e1a53bc6cd1673e71/SPEAKHIRE_2021.pdf")</f>
        <v>https://api.typeform.com/responses/files/9bd19dbd2782dc7ea787dced9317287db1a38cae7b80377e1a53bc6cd1673e71/SPEAKHIRE_2021.pdf</v>
      </c>
      <c r="BW536" t="b">
        <v>1</v>
      </c>
      <c r="BX536" t="s">
        <v>1394</v>
      </c>
      <c r="BY536" t="s">
        <v>140</v>
      </c>
      <c r="CA536" t="s">
        <v>1395</v>
      </c>
      <c r="CD536">
        <v>0.0</v>
      </c>
      <c r="CF536" t="b">
        <v>1</v>
      </c>
      <c r="CG536" t="b">
        <v>1</v>
      </c>
      <c r="CH536" t="s">
        <v>1935</v>
      </c>
      <c r="CJ536" t="b">
        <v>1</v>
      </c>
      <c r="CK536" t="b">
        <v>1</v>
      </c>
      <c r="CL536" t="s">
        <v>387</v>
      </c>
      <c r="CO536" t="s">
        <v>3491</v>
      </c>
      <c r="CR536" t="b">
        <v>1</v>
      </c>
      <c r="CT536">
        <v>0.0</v>
      </c>
      <c r="CU536">
        <v>0.0</v>
      </c>
      <c r="CX536" t="s">
        <v>11060</v>
      </c>
      <c r="CZ536" s="5">
        <v>44726.81392361111</v>
      </c>
      <c r="DA536" t="s">
        <v>11061</v>
      </c>
    </row>
    <row r="537">
      <c r="A537" t="s">
        <v>98</v>
      </c>
      <c r="D537" t="s">
        <v>182</v>
      </c>
      <c r="E537" t="s">
        <v>11062</v>
      </c>
      <c r="F537" s="2">
        <v>38663.0</v>
      </c>
      <c r="G537" t="s">
        <v>1360</v>
      </c>
      <c r="I537" s="3" t="str">
        <f>HYPERLINK("https://api.typeform.com/responses/files/93ac930a42567e07ef0caeb62f6dd6111ed3f414ba83a935fc20706361c79a14/IMG_0114.jpg")</f>
        <v>https://api.typeform.com/responses/files/93ac930a42567e07ef0caeb62f6dd6111ed3f414ba83a935fc20706361c79a14/IMG_0114.jpg</v>
      </c>
      <c r="J537" t="s">
        <v>11063</v>
      </c>
      <c r="K537" t="b">
        <v>1</v>
      </c>
      <c r="L537" s="4" t="s">
        <v>11064</v>
      </c>
      <c r="M537" t="s">
        <v>11065</v>
      </c>
      <c r="N537" t="s">
        <v>354</v>
      </c>
      <c r="P537" t="s">
        <v>11066</v>
      </c>
      <c r="Q537" t="s">
        <v>108</v>
      </c>
      <c r="R537" t="s">
        <v>11063</v>
      </c>
      <c r="S537" t="s">
        <v>11065</v>
      </c>
      <c r="T537" s="4" t="s">
        <v>11067</v>
      </c>
      <c r="U537" t="s">
        <v>11068</v>
      </c>
      <c r="V537" t="s">
        <v>11069</v>
      </c>
      <c r="W537" t="s">
        <v>113</v>
      </c>
      <c r="Y537" t="s">
        <v>158</v>
      </c>
      <c r="Z537" t="s">
        <v>195</v>
      </c>
      <c r="AC537" s="3" t="str">
        <f>HYPERLINK("https://api.typeform.com/responses/files/41c77ff0d4aeb5e11fd7b0b415a02185e2e9242a7a17f1b021c04552364a5096/NYC__3_.pdf")</f>
        <v>https://api.typeform.com/responses/files/41c77ff0d4aeb5e11fd7b0b415a02185e2e9242a7a17f1b021c04552364a5096/NYC__3_.pdf</v>
      </c>
      <c r="AD537" t="s">
        <v>118</v>
      </c>
      <c r="AE537" t="s">
        <v>729</v>
      </c>
      <c r="AF537" t="s">
        <v>197</v>
      </c>
      <c r="AG537">
        <v>13.0</v>
      </c>
      <c r="AH537" s="4" t="s">
        <v>734</v>
      </c>
      <c r="AI537" t="s">
        <v>162</v>
      </c>
      <c r="AK537" t="s">
        <v>139</v>
      </c>
      <c r="AL537" t="s">
        <v>199</v>
      </c>
      <c r="AO537" t="s">
        <v>1479</v>
      </c>
      <c r="AP537">
        <v>3.0</v>
      </c>
      <c r="AQ537" t="s">
        <v>4222</v>
      </c>
      <c r="AR537" t="s">
        <v>3300</v>
      </c>
      <c r="AS537" t="b">
        <v>0</v>
      </c>
      <c r="AV537">
        <v>5.0</v>
      </c>
      <c r="AW537" t="b">
        <v>0</v>
      </c>
      <c r="AZ537" t="b">
        <v>0</v>
      </c>
      <c r="BA537" t="b">
        <v>0</v>
      </c>
      <c r="BD537" t="s">
        <v>3300</v>
      </c>
      <c r="BH537" t="s">
        <v>132</v>
      </c>
      <c r="BI537">
        <v>1.0</v>
      </c>
      <c r="BJ537" t="s">
        <v>11070</v>
      </c>
      <c r="BK537">
        <v>3.0</v>
      </c>
      <c r="BL537">
        <v>7.0</v>
      </c>
      <c r="BM537" t="s">
        <v>11071</v>
      </c>
      <c r="BN537">
        <v>2.0</v>
      </c>
      <c r="BO537">
        <v>3.0</v>
      </c>
      <c r="BP537" t="s">
        <v>11072</v>
      </c>
      <c r="BQ537" t="s">
        <v>8258</v>
      </c>
      <c r="BR537" t="s">
        <v>11073</v>
      </c>
      <c r="BS537" t="s">
        <v>11074</v>
      </c>
      <c r="BU537" t="s">
        <v>139</v>
      </c>
      <c r="BV537" s="3" t="str">
        <f>HYPERLINK("https://api.typeform.com/responses/files/07b8c2c405d8737583e7fbf98be648f5843c2ff36ebb7c4cf5e1baeb75b9ce87/NYC__1_.pdf")</f>
        <v>https://api.typeform.com/responses/files/07b8c2c405d8737583e7fbf98be648f5843c2ff36ebb7c4cf5e1baeb75b9ce87/NYC__1_.pdf</v>
      </c>
      <c r="BW537" t="b">
        <v>1</v>
      </c>
      <c r="BX537" t="s">
        <v>1394</v>
      </c>
      <c r="BY537" t="s">
        <v>140</v>
      </c>
      <c r="CA537" t="s">
        <v>1395</v>
      </c>
      <c r="CD537">
        <v>0.0</v>
      </c>
      <c r="CF537" t="b">
        <v>0</v>
      </c>
      <c r="CG537" t="b">
        <v>0</v>
      </c>
      <c r="CH537" t="s">
        <v>128</v>
      </c>
      <c r="CJ537" t="b">
        <v>1</v>
      </c>
      <c r="CK537" t="b">
        <v>0</v>
      </c>
      <c r="CL537" t="s">
        <v>198</v>
      </c>
      <c r="CO537" t="s">
        <v>200</v>
      </c>
      <c r="CR537" t="b">
        <v>1</v>
      </c>
      <c r="CT537">
        <v>0.0</v>
      </c>
      <c r="CU537">
        <v>0.0</v>
      </c>
      <c r="CX537" s="4" t="s">
        <v>11075</v>
      </c>
      <c r="CZ537" s="5">
        <v>44726.819699074076</v>
      </c>
      <c r="DA537" t="s">
        <v>11076</v>
      </c>
    </row>
    <row r="538">
      <c r="A538" t="s">
        <v>98</v>
      </c>
      <c r="D538" t="s">
        <v>11077</v>
      </c>
      <c r="E538" t="s">
        <v>11078</v>
      </c>
      <c r="F538" s="2">
        <v>37045.0</v>
      </c>
      <c r="G538" t="s">
        <v>1360</v>
      </c>
      <c r="I538" s="3" t="str">
        <f>HYPERLINK("https://api.typeform.com/responses/files/3aa75412590d6d602ca245665d6179620595c68971ae0119cea145a6cfcb212e/razina.tif")</f>
        <v>https://api.typeform.com/responses/files/3aa75412590d6d602ca245665d6179620595c68971ae0119cea145a6cfcb212e/razina.tif</v>
      </c>
      <c r="J538" t="s">
        <v>11079</v>
      </c>
      <c r="K538" t="b">
        <v>1</v>
      </c>
      <c r="L538" s="4" t="s">
        <v>11080</v>
      </c>
      <c r="M538" t="s">
        <v>11081</v>
      </c>
      <c r="N538" t="s">
        <v>149</v>
      </c>
      <c r="P538" t="s">
        <v>11082</v>
      </c>
      <c r="Q538" t="s">
        <v>108</v>
      </c>
      <c r="R538" t="s">
        <v>11079</v>
      </c>
      <c r="S538" t="s">
        <v>11081</v>
      </c>
      <c r="T538" s="4" t="s">
        <v>11083</v>
      </c>
      <c r="U538" t="s">
        <v>3596</v>
      </c>
      <c r="V538" t="s">
        <v>11084</v>
      </c>
      <c r="W538" t="s">
        <v>113</v>
      </c>
      <c r="Y538" t="s">
        <v>158</v>
      </c>
      <c r="Z538" t="s">
        <v>195</v>
      </c>
      <c r="AC538" s="3" t="str">
        <f>HYPERLINK("https://api.typeform.com/responses/files/5ed261fba45b8e7b7a7b46453209b0332832a672ce036975daa05d3df8efacc5/razina.tif")</f>
        <v>https://api.typeform.com/responses/files/5ed261fba45b8e7b7a7b46453209b0332832a672ce036975daa05d3df8efacc5/razina.tif</v>
      </c>
      <c r="AD538" t="s">
        <v>118</v>
      </c>
      <c r="AE538" t="s">
        <v>729</v>
      </c>
      <c r="AF538" t="s">
        <v>11085</v>
      </c>
      <c r="AG538">
        <v>19.0</v>
      </c>
      <c r="AH538" t="s">
        <v>620</v>
      </c>
      <c r="AI538" t="s">
        <v>162</v>
      </c>
      <c r="AK538" t="s">
        <v>620</v>
      </c>
      <c r="AL538" t="s">
        <v>11086</v>
      </c>
      <c r="AO538" t="s">
        <v>125</v>
      </c>
      <c r="AP538">
        <v>5.0</v>
      </c>
      <c r="AQ538" t="s">
        <v>126</v>
      </c>
      <c r="AR538" t="s">
        <v>11087</v>
      </c>
      <c r="AS538" t="b">
        <v>1</v>
      </c>
      <c r="AT538" t="b">
        <v>0</v>
      </c>
      <c r="AV538">
        <v>5.0</v>
      </c>
      <c r="AW538" t="b">
        <v>0</v>
      </c>
      <c r="AZ538" t="b">
        <v>0</v>
      </c>
      <c r="BA538" t="b">
        <v>0</v>
      </c>
      <c r="BD538" t="s">
        <v>5484</v>
      </c>
      <c r="BH538" t="s">
        <v>132</v>
      </c>
      <c r="BI538">
        <v>2.0</v>
      </c>
      <c r="BJ538" t="s">
        <v>11088</v>
      </c>
      <c r="BK538">
        <v>1.0</v>
      </c>
      <c r="BL538">
        <v>4.0</v>
      </c>
      <c r="BM538" t="s">
        <v>11089</v>
      </c>
      <c r="BN538">
        <v>6.0</v>
      </c>
      <c r="BO538">
        <v>5.0</v>
      </c>
      <c r="BP538" t="s">
        <v>11090</v>
      </c>
      <c r="BQ538" t="s">
        <v>6586</v>
      </c>
      <c r="BR538" t="s">
        <v>11091</v>
      </c>
      <c r="BS538" t="s">
        <v>11092</v>
      </c>
      <c r="BU538" t="s">
        <v>620</v>
      </c>
      <c r="BV538" s="3" t="str">
        <f>HYPERLINK("https://api.typeform.com/responses/files/a30eb0d2c8e5525cb2d5eb433d353995d945b6317868a3b68c50b05b97f61682/razina.tif")</f>
        <v>https://api.typeform.com/responses/files/a30eb0d2c8e5525cb2d5eb433d353995d945b6317868a3b68c50b05b97f61682/razina.tif</v>
      </c>
      <c r="BW538" t="b">
        <v>1</v>
      </c>
      <c r="BX538" t="s">
        <v>1394</v>
      </c>
      <c r="BY538" t="s">
        <v>140</v>
      </c>
      <c r="CA538" t="s">
        <v>1395</v>
      </c>
      <c r="CD538">
        <v>0.0</v>
      </c>
      <c r="CF538" t="b">
        <v>1</v>
      </c>
      <c r="CG538" t="b">
        <v>1</v>
      </c>
      <c r="CH538" t="s">
        <v>4563</v>
      </c>
      <c r="CJ538" t="b">
        <v>1</v>
      </c>
      <c r="CK538" t="b">
        <v>1</v>
      </c>
      <c r="CL538" t="s">
        <v>300</v>
      </c>
      <c r="CO538" t="s">
        <v>124</v>
      </c>
      <c r="CR538" t="b">
        <v>1</v>
      </c>
      <c r="CT538">
        <v>2.0</v>
      </c>
      <c r="CU538">
        <v>0.0</v>
      </c>
      <c r="CX538" s="4" t="s">
        <v>5699</v>
      </c>
      <c r="CZ538" s="5">
        <v>44728.84195601852</v>
      </c>
      <c r="DA538" t="s">
        <v>11093</v>
      </c>
    </row>
    <row r="539">
      <c r="A539" t="s">
        <v>98</v>
      </c>
      <c r="D539" t="s">
        <v>11094</v>
      </c>
      <c r="E539" t="s">
        <v>5939</v>
      </c>
      <c r="F539" s="2">
        <v>38094.0</v>
      </c>
      <c r="G539" t="s">
        <v>1360</v>
      </c>
      <c r="I539" s="3" t="str">
        <f>HYPERLINK("https://api.typeform.com/responses/files/27f573ed30be800990d7a2f98ba51ce1d70306e7f97ee022badf55764a894247/PHOTO_2022_06_22_11_24_46.jpg")</f>
        <v>https://api.typeform.com/responses/files/27f573ed30be800990d7a2f98ba51ce1d70306e7f97ee022badf55764a894247/PHOTO_2022_06_22_11_24_46.jpg</v>
      </c>
      <c r="J539" t="s">
        <v>11095</v>
      </c>
      <c r="K539" t="b">
        <v>1</v>
      </c>
      <c r="L539" s="4" t="s">
        <v>11096</v>
      </c>
      <c r="M539" t="s">
        <v>11097</v>
      </c>
      <c r="N539" t="s">
        <v>255</v>
      </c>
      <c r="P539" t="s">
        <v>11098</v>
      </c>
      <c r="Q539" t="s">
        <v>292</v>
      </c>
      <c r="R539" t="s">
        <v>11099</v>
      </c>
      <c r="S539" t="s">
        <v>11097</v>
      </c>
      <c r="T539" s="4" t="s">
        <v>11100</v>
      </c>
      <c r="U539" t="s">
        <v>1543</v>
      </c>
      <c r="V539" t="s">
        <v>3641</v>
      </c>
      <c r="W539" t="s">
        <v>113</v>
      </c>
      <c r="Y539" t="s">
        <v>158</v>
      </c>
      <c r="Z539" t="s">
        <v>159</v>
      </c>
      <c r="AC539" s="3" t="str">
        <f>HYPERLINK("https://api.typeform.com/responses/files/df0b9f9a9a4ef73544abfe18a0989124d76c8c9b830743cf17de7366992fd6ab/Perez__Amy_Transcript.pdf")</f>
        <v>https://api.typeform.com/responses/files/df0b9f9a9a4ef73544abfe18a0989124d76c8c9b830743cf17de7366992fd6ab/Perez__Amy_Transcript.pdf</v>
      </c>
      <c r="AD539" t="s">
        <v>118</v>
      </c>
      <c r="AE539" t="s">
        <v>729</v>
      </c>
      <c r="AF539" t="s">
        <v>197</v>
      </c>
      <c r="AG539">
        <v>17.0</v>
      </c>
      <c r="AH539" t="s">
        <v>11101</v>
      </c>
      <c r="AI539" t="s">
        <v>162</v>
      </c>
      <c r="AK539" t="s">
        <v>179</v>
      </c>
      <c r="AL539" t="s">
        <v>199</v>
      </c>
      <c r="AO539" t="s">
        <v>335</v>
      </c>
      <c r="AP539">
        <v>6.0</v>
      </c>
      <c r="AQ539" t="s">
        <v>303</v>
      </c>
      <c r="AR539" t="s">
        <v>5765</v>
      </c>
      <c r="AS539" t="b">
        <v>1</v>
      </c>
      <c r="AT539" t="b">
        <v>1</v>
      </c>
      <c r="AV539">
        <v>7.0</v>
      </c>
      <c r="AW539" t="b">
        <v>0</v>
      </c>
      <c r="AZ539" t="b">
        <v>1</v>
      </c>
      <c r="BA539" t="b">
        <v>1</v>
      </c>
      <c r="BB539" t="b">
        <v>0</v>
      </c>
      <c r="BC539" t="s">
        <v>11102</v>
      </c>
      <c r="BH539" t="s">
        <v>132</v>
      </c>
      <c r="BI539">
        <v>4.0</v>
      </c>
      <c r="BJ539" t="s">
        <v>11103</v>
      </c>
      <c r="BK539">
        <v>6.0</v>
      </c>
      <c r="BL539">
        <v>2.0</v>
      </c>
      <c r="BM539" t="s">
        <v>11104</v>
      </c>
      <c r="BN539">
        <v>4.0</v>
      </c>
      <c r="BO539">
        <v>5.0</v>
      </c>
      <c r="BP539" t="s">
        <v>11105</v>
      </c>
      <c r="BQ539" t="s">
        <v>11106</v>
      </c>
      <c r="BR539" t="s">
        <v>11107</v>
      </c>
      <c r="BS539" t="s">
        <v>11108</v>
      </c>
      <c r="BU539" t="s">
        <v>179</v>
      </c>
      <c r="BV539" s="3" t="str">
        <f>HYPERLINK("https://api.typeform.com/responses/files/2e887e6553610270a2972e232c44a3441de379cb0e03894ea7841770746144d6/SPEAKHIRE_2021.pdf")</f>
        <v>https://api.typeform.com/responses/files/2e887e6553610270a2972e232c44a3441de379cb0e03894ea7841770746144d6/SPEAKHIRE_2021.pdf</v>
      </c>
      <c r="BW539" t="b">
        <v>1</v>
      </c>
      <c r="BX539" t="s">
        <v>1394</v>
      </c>
      <c r="BY539" t="s">
        <v>140</v>
      </c>
      <c r="CA539" t="s">
        <v>1395</v>
      </c>
      <c r="CD539">
        <v>0.0</v>
      </c>
      <c r="CF539" t="b">
        <v>0</v>
      </c>
      <c r="CG539" t="b">
        <v>0</v>
      </c>
      <c r="CH539" t="s">
        <v>11109</v>
      </c>
      <c r="CJ539" t="b">
        <v>1</v>
      </c>
      <c r="CK539" t="b">
        <v>1</v>
      </c>
      <c r="CL539" t="s">
        <v>198</v>
      </c>
      <c r="CO539" t="s">
        <v>1635</v>
      </c>
      <c r="CR539" t="b">
        <v>1</v>
      </c>
      <c r="CT539">
        <v>0.0</v>
      </c>
      <c r="CU539">
        <v>1.0</v>
      </c>
      <c r="CX539" t="s">
        <v>11110</v>
      </c>
      <c r="CZ539" s="5">
        <v>44734.66631944444</v>
      </c>
      <c r="DA539" t="s">
        <v>11111</v>
      </c>
    </row>
    <row r="540">
      <c r="A540" t="s">
        <v>98</v>
      </c>
      <c r="D540" t="s">
        <v>11112</v>
      </c>
      <c r="E540" t="s">
        <v>11113</v>
      </c>
      <c r="F540" s="2">
        <v>39024.0</v>
      </c>
      <c r="G540" t="s">
        <v>1360</v>
      </c>
      <c r="I540" s="3" t="str">
        <f>HYPERLINK("https://api.typeform.com/responses/files/36e754f17c6956873ee656ee5d66089db2b6c49acfcf982eedfbf22736bf35cd/PHOTO_2022_06_22_14_01_06.jpg")</f>
        <v>https://api.typeform.com/responses/files/36e754f17c6956873ee656ee5d66089db2b6c49acfcf982eedfbf22736bf35cd/PHOTO_2022_06_22_14_01_06.jpg</v>
      </c>
      <c r="J540" t="s">
        <v>11114</v>
      </c>
      <c r="K540" t="b">
        <v>1</v>
      </c>
      <c r="L540" s="4" t="s">
        <v>11115</v>
      </c>
      <c r="M540" t="s">
        <v>11116</v>
      </c>
      <c r="N540" t="s">
        <v>255</v>
      </c>
      <c r="P540" t="s">
        <v>11117</v>
      </c>
      <c r="Q540" t="s">
        <v>152</v>
      </c>
      <c r="R540" t="s">
        <v>11118</v>
      </c>
      <c r="S540" t="s">
        <v>11116</v>
      </c>
      <c r="T540" s="4" t="s">
        <v>11119</v>
      </c>
      <c r="U540" t="s">
        <v>1543</v>
      </c>
      <c r="V540" t="s">
        <v>3641</v>
      </c>
      <c r="W540" t="s">
        <v>113</v>
      </c>
      <c r="Y540" t="s">
        <v>158</v>
      </c>
      <c r="Z540" t="s">
        <v>262</v>
      </c>
      <c r="AC540" s="3" t="str">
        <f>HYPERLINK("https://api.typeform.com/responses/files/371fc5e40ba13f2f89b33caae4b8c01a56c80f8fcc0ba0454f2b229ad0f62e31/NYC.pdf")</f>
        <v>https://api.typeform.com/responses/files/371fc5e40ba13f2f89b33caae4b8c01a56c80f8fcc0ba0454f2b229ad0f62e31/NYC.pdf</v>
      </c>
      <c r="AD540" t="s">
        <v>118</v>
      </c>
      <c r="AE540" t="s">
        <v>729</v>
      </c>
      <c r="AF540" t="s">
        <v>197</v>
      </c>
      <c r="AG540">
        <v>10.0</v>
      </c>
      <c r="AH540" s="4" t="s">
        <v>4159</v>
      </c>
      <c r="AI540" t="s">
        <v>162</v>
      </c>
      <c r="AK540" t="s">
        <v>139</v>
      </c>
      <c r="AL540" t="s">
        <v>199</v>
      </c>
      <c r="AO540" t="s">
        <v>335</v>
      </c>
      <c r="AP540">
        <v>6.0</v>
      </c>
      <c r="AQ540" t="s">
        <v>303</v>
      </c>
      <c r="AR540" t="s">
        <v>11120</v>
      </c>
      <c r="AS540" t="b">
        <v>1</v>
      </c>
      <c r="AT540" t="b">
        <v>1</v>
      </c>
      <c r="AV540">
        <v>6.0</v>
      </c>
      <c r="AW540" t="b">
        <v>0</v>
      </c>
      <c r="AZ540" t="b">
        <v>0</v>
      </c>
      <c r="BA540" t="b">
        <v>0</v>
      </c>
      <c r="BD540" t="s">
        <v>11121</v>
      </c>
      <c r="BH540" t="s">
        <v>132</v>
      </c>
      <c r="BI540">
        <v>6.0</v>
      </c>
      <c r="BJ540" t="s">
        <v>11122</v>
      </c>
      <c r="BK540">
        <v>6.0</v>
      </c>
      <c r="BL540">
        <v>6.0</v>
      </c>
      <c r="BM540" t="s">
        <v>11123</v>
      </c>
      <c r="BN540">
        <v>6.0</v>
      </c>
      <c r="BO540">
        <v>7.0</v>
      </c>
      <c r="BP540" t="s">
        <v>11124</v>
      </c>
      <c r="BQ540" t="s">
        <v>11125</v>
      </c>
      <c r="BR540" t="s">
        <v>11126</v>
      </c>
      <c r="BS540" t="s">
        <v>11127</v>
      </c>
      <c r="BU540" t="s">
        <v>139</v>
      </c>
      <c r="BV540" s="3" t="str">
        <f>HYPERLINK("https://api.typeform.com/responses/files/79c9b71c27fbadb8166cc312501764e89e0f91d3137ca2e562ae273fb69953c7/2af3d83e_443f_446d_8334_ed7ebbd13427.jpg")</f>
        <v>https://api.typeform.com/responses/files/79c9b71c27fbadb8166cc312501764e89e0f91d3137ca2e562ae273fb69953c7/2af3d83e_443f_446d_8334_ed7ebbd13427.jpg</v>
      </c>
      <c r="BW540" t="b">
        <v>1</v>
      </c>
      <c r="BX540" t="s">
        <v>1394</v>
      </c>
      <c r="BY540" t="s">
        <v>140</v>
      </c>
      <c r="CA540" t="s">
        <v>1395</v>
      </c>
      <c r="CD540">
        <v>0.0</v>
      </c>
      <c r="CF540" t="b">
        <v>0</v>
      </c>
      <c r="CG540" t="b">
        <v>0</v>
      </c>
      <c r="CH540" t="s">
        <v>11128</v>
      </c>
      <c r="CJ540" t="b">
        <v>1</v>
      </c>
      <c r="CK540" t="b">
        <v>1</v>
      </c>
      <c r="CL540" t="s">
        <v>198</v>
      </c>
      <c r="CO540" t="s">
        <v>388</v>
      </c>
      <c r="CR540" t="b">
        <v>1</v>
      </c>
      <c r="CT540">
        <v>0.0</v>
      </c>
      <c r="CU540">
        <v>1.0</v>
      </c>
      <c r="CX540" s="4" t="s">
        <v>11129</v>
      </c>
      <c r="CZ540" s="5">
        <v>44734.782905092594</v>
      </c>
      <c r="DA540" t="s">
        <v>11130</v>
      </c>
    </row>
    <row r="541">
      <c r="A541" t="s">
        <v>98</v>
      </c>
      <c r="D541" t="s">
        <v>11131</v>
      </c>
      <c r="E541" t="s">
        <v>11132</v>
      </c>
      <c r="F541" s="2">
        <v>38017.0</v>
      </c>
      <c r="G541" t="s">
        <v>1360</v>
      </c>
      <c r="I541" s="3" t="str">
        <f>HYPERLINK("https://api.typeform.com/responses/files/decec82eddcf2acacc4eef5090fd0ebd2b09b1d590747df02776e4a72b8c3c2e/39cc78aa_bc70_4151_b443_438db14abe46.jpg")</f>
        <v>https://api.typeform.com/responses/files/decec82eddcf2acacc4eef5090fd0ebd2b09b1d590747df02776e4a72b8c3c2e/39cc78aa_bc70_4151_b443_438db14abe46.jpg</v>
      </c>
      <c r="J541" t="s">
        <v>11133</v>
      </c>
      <c r="K541" t="b">
        <v>1</v>
      </c>
      <c r="L541" s="4" t="s">
        <v>11134</v>
      </c>
      <c r="M541" t="s">
        <v>11135</v>
      </c>
      <c r="N541" t="s">
        <v>255</v>
      </c>
      <c r="P541" t="s">
        <v>11136</v>
      </c>
      <c r="Q541" t="s">
        <v>189</v>
      </c>
      <c r="R541" t="s">
        <v>11137</v>
      </c>
      <c r="S541" t="s">
        <v>11135</v>
      </c>
      <c r="T541" s="4" t="s">
        <v>11138</v>
      </c>
      <c r="U541" t="s">
        <v>1543</v>
      </c>
      <c r="V541" t="s">
        <v>3641</v>
      </c>
      <c r="W541" t="s">
        <v>113</v>
      </c>
      <c r="Y541" t="s">
        <v>158</v>
      </c>
      <c r="Z541" t="s">
        <v>159</v>
      </c>
      <c r="AC541" s="3" t="str">
        <f>HYPERLINK("https://api.typeform.com/responses/files/f6a38f74595aff3c0139e3150e0b1ad665ab0d8475369fcf0a20074f779ad838/NYC.pdf")</f>
        <v>https://api.typeform.com/responses/files/f6a38f74595aff3c0139e3150e0b1ad665ab0d8475369fcf0a20074f779ad838/NYC.pdf</v>
      </c>
      <c r="AD541" t="s">
        <v>118</v>
      </c>
      <c r="AE541" t="s">
        <v>729</v>
      </c>
      <c r="AF541" t="s">
        <v>1019</v>
      </c>
      <c r="AG541">
        <v>14.0</v>
      </c>
      <c r="AH541" s="4" t="s">
        <v>734</v>
      </c>
      <c r="AI541" t="s">
        <v>386</v>
      </c>
      <c r="AK541" t="s">
        <v>139</v>
      </c>
      <c r="AL541" t="s">
        <v>199</v>
      </c>
      <c r="AO541" t="s">
        <v>125</v>
      </c>
      <c r="AP541">
        <v>4.0</v>
      </c>
      <c r="AQ541" t="s">
        <v>126</v>
      </c>
      <c r="AR541" t="s">
        <v>2596</v>
      </c>
      <c r="AS541" t="b">
        <v>1</v>
      </c>
      <c r="AT541" t="b">
        <v>1</v>
      </c>
      <c r="AV541">
        <v>7.0</v>
      </c>
      <c r="AW541" t="b">
        <v>1</v>
      </c>
      <c r="AX541" t="s">
        <v>1902</v>
      </c>
      <c r="AY541" t="s">
        <v>706</v>
      </c>
      <c r="AZ541" t="b">
        <v>1</v>
      </c>
      <c r="BA541" t="b">
        <v>1</v>
      </c>
      <c r="BB541" t="b">
        <v>0</v>
      </c>
      <c r="BC541" t="s">
        <v>11139</v>
      </c>
      <c r="BH541" t="s">
        <v>132</v>
      </c>
      <c r="BI541">
        <v>4.0</v>
      </c>
      <c r="BJ541" t="s">
        <v>11140</v>
      </c>
      <c r="BK541">
        <v>5.0</v>
      </c>
      <c r="BL541">
        <v>7.0</v>
      </c>
      <c r="BM541" t="s">
        <v>11141</v>
      </c>
      <c r="BN541">
        <v>7.0</v>
      </c>
      <c r="BO541">
        <v>7.0</v>
      </c>
      <c r="BP541" t="s">
        <v>11142</v>
      </c>
      <c r="BQ541" t="s">
        <v>3581</v>
      </c>
      <c r="BR541" t="s">
        <v>11143</v>
      </c>
      <c r="BS541" t="s">
        <v>11144</v>
      </c>
      <c r="BU541" t="s">
        <v>139</v>
      </c>
      <c r="BV541" s="3" t="str">
        <f>HYPERLINK("https://api.typeform.com/responses/files/d3e578f484df9b475adb04f867e2a7127db30b66a454fe8d9ba9e632f72fd37e/ASPEAKHIRE.pdf")</f>
        <v>https://api.typeform.com/responses/files/d3e578f484df9b475adb04f867e2a7127db30b66a454fe8d9ba9e632f72fd37e/ASPEAKHIRE.pdf</v>
      </c>
      <c r="BW541" t="b">
        <v>1</v>
      </c>
      <c r="BX541" t="s">
        <v>1394</v>
      </c>
      <c r="BY541" t="s">
        <v>140</v>
      </c>
      <c r="CA541" t="s">
        <v>1395</v>
      </c>
      <c r="CD541">
        <v>0.0</v>
      </c>
      <c r="CF541" t="b">
        <v>1</v>
      </c>
      <c r="CG541" t="b">
        <v>1</v>
      </c>
      <c r="CH541" t="s">
        <v>168</v>
      </c>
      <c r="CJ541" t="b">
        <v>1</v>
      </c>
      <c r="CK541" t="b">
        <v>1</v>
      </c>
      <c r="CL541" t="s">
        <v>387</v>
      </c>
      <c r="CO541" t="s">
        <v>11145</v>
      </c>
      <c r="CR541" t="b">
        <v>1</v>
      </c>
      <c r="CT541">
        <v>0.0</v>
      </c>
      <c r="CU541">
        <v>4.0</v>
      </c>
      <c r="CX541" s="4" t="s">
        <v>11146</v>
      </c>
      <c r="CZ541" s="5">
        <v>44739.70421296296</v>
      </c>
      <c r="DA541" t="s">
        <v>11147</v>
      </c>
    </row>
    <row r="542">
      <c r="A542" t="s">
        <v>98</v>
      </c>
      <c r="D542" t="s">
        <v>11148</v>
      </c>
      <c r="E542" t="s">
        <v>6983</v>
      </c>
      <c r="F542" s="2">
        <v>38528.0</v>
      </c>
      <c r="G542" t="s">
        <v>1360</v>
      </c>
      <c r="I542" s="3" t="str">
        <f>HYPERLINK("https://api.typeform.com/responses/files/55e73ccbf647626ec0b32c7d43093d4d2468f2ded00c0f6a3931fbcfb51da46b/image_6483441.JPG")</f>
        <v>https://api.typeform.com/responses/files/55e73ccbf647626ec0b32c7d43093d4d2468f2ded00c0f6a3931fbcfb51da46b/image_6483441.JPG</v>
      </c>
      <c r="J542" t="s">
        <v>11149</v>
      </c>
      <c r="K542" t="b">
        <v>1</v>
      </c>
      <c r="L542" s="4" t="s">
        <v>11150</v>
      </c>
      <c r="M542" t="s">
        <v>11151</v>
      </c>
      <c r="N542" t="s">
        <v>149</v>
      </c>
      <c r="P542" t="s">
        <v>11152</v>
      </c>
      <c r="Q542" t="s">
        <v>189</v>
      </c>
      <c r="R542" t="s">
        <v>11153</v>
      </c>
      <c r="S542" t="s">
        <v>11151</v>
      </c>
      <c r="T542" s="4" t="s">
        <v>11154</v>
      </c>
      <c r="U542" t="s">
        <v>1543</v>
      </c>
      <c r="V542" t="s">
        <v>3641</v>
      </c>
      <c r="W542" t="s">
        <v>113</v>
      </c>
      <c r="Y542" t="s">
        <v>158</v>
      </c>
      <c r="Z542" t="s">
        <v>159</v>
      </c>
      <c r="AC542" s="3" t="str">
        <f>HYPERLINK("https://api.typeform.com/responses/files/591b40709006585c22260f5e4b7413d996e20d0d1fc4e058829ab247ce05f70d/Vasquez__Katerin_Transcript.pdf")</f>
        <v>https://api.typeform.com/responses/files/591b40709006585c22260f5e4b7413d996e20d0d1fc4e058829ab247ce05f70d/Vasquez__Katerin_Transcript.pdf</v>
      </c>
      <c r="AD542" t="s">
        <v>118</v>
      </c>
      <c r="AE542" t="s">
        <v>729</v>
      </c>
      <c r="AF542" t="s">
        <v>1196</v>
      </c>
      <c r="AG542">
        <v>14.0</v>
      </c>
      <c r="AH542" s="4" t="s">
        <v>734</v>
      </c>
      <c r="AI542" t="s">
        <v>386</v>
      </c>
      <c r="AK542" t="s">
        <v>139</v>
      </c>
      <c r="AL542" t="s">
        <v>199</v>
      </c>
      <c r="AO542" t="s">
        <v>125</v>
      </c>
      <c r="AP542">
        <v>6.0</v>
      </c>
      <c r="AQ542" t="s">
        <v>1520</v>
      </c>
      <c r="AR542" t="s">
        <v>11155</v>
      </c>
      <c r="AS542" t="b">
        <v>1</v>
      </c>
      <c r="AT542" t="b">
        <v>1</v>
      </c>
      <c r="AV542">
        <v>6.0</v>
      </c>
      <c r="AW542" t="b">
        <v>0</v>
      </c>
      <c r="AZ542" t="b">
        <v>1</v>
      </c>
      <c r="BA542" t="b">
        <v>1</v>
      </c>
      <c r="BB542" t="b">
        <v>0</v>
      </c>
      <c r="BC542" t="s">
        <v>11156</v>
      </c>
      <c r="BH542" t="s">
        <v>132</v>
      </c>
      <c r="BI542">
        <v>5.0</v>
      </c>
      <c r="BJ542" t="s">
        <v>11157</v>
      </c>
      <c r="BK542">
        <v>5.0</v>
      </c>
      <c r="BL542">
        <v>5.0</v>
      </c>
      <c r="BM542" t="s">
        <v>11158</v>
      </c>
      <c r="BN542">
        <v>4.0</v>
      </c>
      <c r="BO542">
        <v>6.0</v>
      </c>
      <c r="BP542" t="s">
        <v>11159</v>
      </c>
      <c r="BQ542" t="s">
        <v>5252</v>
      </c>
      <c r="BR542" t="s">
        <v>11160</v>
      </c>
      <c r="BS542" t="s">
        <v>11161</v>
      </c>
      <c r="BU542" t="s">
        <v>139</v>
      </c>
      <c r="BV542" s="3" t="str">
        <f>HYPERLINK("https://api.typeform.com/responses/files/d02d5dc0c93c30d5274b52f65191de2d9dd8397474b0175607718da8887bafb0/ASPEAKHIRE.pdf")</f>
        <v>https://api.typeform.com/responses/files/d02d5dc0c93c30d5274b52f65191de2d9dd8397474b0175607718da8887bafb0/ASPEAKHIRE.pdf</v>
      </c>
      <c r="BW542" t="b">
        <v>1</v>
      </c>
      <c r="BX542" t="s">
        <v>1394</v>
      </c>
      <c r="BY542" t="s">
        <v>140</v>
      </c>
      <c r="CA542" t="s">
        <v>1395</v>
      </c>
      <c r="CD542">
        <v>0.0</v>
      </c>
      <c r="CF542" t="b">
        <v>1</v>
      </c>
      <c r="CG542" t="b">
        <v>0</v>
      </c>
      <c r="CH542" t="s">
        <v>168</v>
      </c>
      <c r="CJ542" t="b">
        <v>0</v>
      </c>
      <c r="CK542" t="b">
        <v>0</v>
      </c>
      <c r="CL542" t="s">
        <v>387</v>
      </c>
      <c r="CO542" t="s">
        <v>164</v>
      </c>
      <c r="CR542" t="b">
        <v>1</v>
      </c>
      <c r="CT542">
        <v>1.0</v>
      </c>
      <c r="CU542">
        <v>0.0</v>
      </c>
      <c r="CX542" s="4" t="s">
        <v>11162</v>
      </c>
      <c r="CZ542" s="5">
        <v>44739.78880787037</v>
      </c>
      <c r="DA542" t="s">
        <v>11163</v>
      </c>
    </row>
    <row r="543">
      <c r="A543" t="s">
        <v>98</v>
      </c>
      <c r="D543" t="s">
        <v>11164</v>
      </c>
      <c r="E543" t="s">
        <v>1613</v>
      </c>
      <c r="F543" s="2">
        <v>38688.0</v>
      </c>
      <c r="G543" t="s">
        <v>1360</v>
      </c>
      <c r="I543" s="3" t="str">
        <f>HYPERLINK("https://api.typeform.com/responses/files/3f55ebdf103c36bf1d69f572dba1fd81d480929e208da8e836243b953f870255/4B2A98F9_7826_4077_B2E7_305907BA84E7.jpeg")</f>
        <v>https://api.typeform.com/responses/files/3f55ebdf103c36bf1d69f572dba1fd81d480929e208da8e836243b953f870255/4B2A98F9_7826_4077_B2E7_305907BA84E7.jpeg</v>
      </c>
      <c r="J543" t="s">
        <v>11165</v>
      </c>
      <c r="K543" t="b">
        <v>1</v>
      </c>
      <c r="L543" s="4" t="s">
        <v>11166</v>
      </c>
      <c r="M543" t="s">
        <v>11167</v>
      </c>
      <c r="N543" t="s">
        <v>255</v>
      </c>
      <c r="P543" t="s">
        <v>11168</v>
      </c>
      <c r="Q543" t="s">
        <v>152</v>
      </c>
      <c r="R543" t="s">
        <v>11169</v>
      </c>
      <c r="S543" t="s">
        <v>11170</v>
      </c>
      <c r="T543" s="4" t="s">
        <v>11171</v>
      </c>
      <c r="U543" t="s">
        <v>11172</v>
      </c>
      <c r="V543" t="s">
        <v>3852</v>
      </c>
      <c r="W543" t="s">
        <v>261</v>
      </c>
      <c r="Y543" t="s">
        <v>158</v>
      </c>
      <c r="Z543" t="s">
        <v>262</v>
      </c>
      <c r="AC543" s="3" t="str">
        <f>HYPERLINK("https://api.typeform.com/responses/files/72c357e9148eec75757361485d04f7f95c544acba3bb573e92f188ee13b745ec/De_La_Cruz__Skirlie_Transcript.pdf")</f>
        <v>https://api.typeform.com/responses/files/72c357e9148eec75757361485d04f7f95c544acba3bb573e92f188ee13b745ec/De_La_Cruz__Skirlie_Transcript.pdf</v>
      </c>
      <c r="AD543" t="s">
        <v>118</v>
      </c>
      <c r="AE543" t="s">
        <v>729</v>
      </c>
      <c r="AF543" t="s">
        <v>197</v>
      </c>
      <c r="AG543">
        <v>15.0</v>
      </c>
      <c r="AH543" s="4" t="s">
        <v>6848</v>
      </c>
      <c r="AI543" t="s">
        <v>162</v>
      </c>
      <c r="AK543" t="s">
        <v>179</v>
      </c>
      <c r="AL543" t="s">
        <v>199</v>
      </c>
      <c r="AO543" t="s">
        <v>335</v>
      </c>
      <c r="AP543">
        <v>4.0</v>
      </c>
      <c r="AQ543" t="s">
        <v>201</v>
      </c>
      <c r="AR543" t="s">
        <v>3350</v>
      </c>
      <c r="AS543" t="b">
        <v>1</v>
      </c>
      <c r="AT543" t="b">
        <v>1</v>
      </c>
      <c r="AV543">
        <v>7.0</v>
      </c>
      <c r="AW543" t="b">
        <v>1</v>
      </c>
      <c r="AX543" t="s">
        <v>1902</v>
      </c>
      <c r="AY543" s="4" t="s">
        <v>518</v>
      </c>
      <c r="AZ543" t="b">
        <v>1</v>
      </c>
      <c r="BA543" t="b">
        <v>1</v>
      </c>
      <c r="BB543" t="b">
        <v>0</v>
      </c>
      <c r="BC543" t="s">
        <v>11173</v>
      </c>
      <c r="BH543" t="s">
        <v>132</v>
      </c>
      <c r="BI543">
        <v>4.0</v>
      </c>
      <c r="BJ543" t="s">
        <v>11174</v>
      </c>
      <c r="BK543">
        <v>5.0</v>
      </c>
      <c r="BL543">
        <v>5.0</v>
      </c>
      <c r="BM543" t="s">
        <v>11175</v>
      </c>
      <c r="BN543">
        <v>4.0</v>
      </c>
      <c r="BO543">
        <v>5.0</v>
      </c>
      <c r="BP543" t="s">
        <v>11176</v>
      </c>
      <c r="BQ543" t="s">
        <v>11177</v>
      </c>
      <c r="BR543" t="s">
        <v>11178</v>
      </c>
      <c r="BS543" t="s">
        <v>11179</v>
      </c>
      <c r="BU543" t="s">
        <v>179</v>
      </c>
      <c r="BV543" s="3" t="str">
        <f>HYPERLINK("https://api.typeform.com/responses/files/084c993ab538ef2e51063b0a451d5114c3bda047a14c7a671d0202804fa88551/SPEAKHIRE.pdf")</f>
        <v>https://api.typeform.com/responses/files/084c993ab538ef2e51063b0a451d5114c3bda047a14c7a671d0202804fa88551/SPEAKHIRE.pdf</v>
      </c>
      <c r="BW543" t="b">
        <v>1</v>
      </c>
      <c r="BX543" t="s">
        <v>1394</v>
      </c>
      <c r="BY543" t="s">
        <v>140</v>
      </c>
      <c r="CA543" t="s">
        <v>1395</v>
      </c>
      <c r="CD543">
        <v>0.0</v>
      </c>
      <c r="CF543" t="b">
        <v>0</v>
      </c>
      <c r="CG543" t="b">
        <v>0</v>
      </c>
      <c r="CH543" t="s">
        <v>5040</v>
      </c>
      <c r="CJ543" t="b">
        <v>1</v>
      </c>
      <c r="CK543" t="b">
        <v>0</v>
      </c>
      <c r="CL543" t="s">
        <v>541</v>
      </c>
      <c r="CO543" t="s">
        <v>1635</v>
      </c>
      <c r="CR543" t="b">
        <v>1</v>
      </c>
      <c r="CT543">
        <v>0.0</v>
      </c>
      <c r="CU543">
        <v>0.0</v>
      </c>
      <c r="CX543" s="4" t="s">
        <v>3727</v>
      </c>
      <c r="CZ543" s="5">
        <v>44740.68324074074</v>
      </c>
      <c r="DA543" t="s">
        <v>11180</v>
      </c>
    </row>
    <row r="544">
      <c r="A544" t="s">
        <v>98</v>
      </c>
      <c r="D544" t="s">
        <v>11181</v>
      </c>
      <c r="E544" t="s">
        <v>11182</v>
      </c>
      <c r="F544" s="2">
        <v>38247.0</v>
      </c>
      <c r="G544" t="s">
        <v>1360</v>
      </c>
      <c r="I544" s="3" t="str">
        <f>HYPERLINK("https://api.typeform.com/responses/files/97cf1279ef0dfb1abd1126a9654c7afd67cd8e3861178fd2e791d559d127cf64/InShot_20210528_105120518.jpg")</f>
        <v>https://api.typeform.com/responses/files/97cf1279ef0dfb1abd1126a9654c7afd67cd8e3861178fd2e791d559d127cf64/InShot_20210528_105120518.jpg</v>
      </c>
      <c r="J544" t="s">
        <v>11183</v>
      </c>
      <c r="K544" t="b">
        <v>1</v>
      </c>
      <c r="L544" s="4" t="s">
        <v>11184</v>
      </c>
      <c r="M544" t="s">
        <v>11185</v>
      </c>
      <c r="N544" t="s">
        <v>149</v>
      </c>
      <c r="O544" t="s">
        <v>11186</v>
      </c>
      <c r="P544" t="s">
        <v>11187</v>
      </c>
      <c r="Q544" t="s">
        <v>189</v>
      </c>
      <c r="R544" t="s">
        <v>11188</v>
      </c>
      <c r="S544" t="s">
        <v>11185</v>
      </c>
      <c r="T544" s="4" t="s">
        <v>11189</v>
      </c>
      <c r="U544" t="s">
        <v>3596</v>
      </c>
      <c r="V544" t="s">
        <v>11190</v>
      </c>
      <c r="W544" t="s">
        <v>113</v>
      </c>
      <c r="Y544" t="s">
        <v>158</v>
      </c>
      <c r="Z544" t="s">
        <v>195</v>
      </c>
      <c r="AC544" s="3" t="str">
        <f>HYPERLINK("https://api.typeform.com/responses/files/ee5030b971fbe8ce45f353f3ffe6c30a613903336a60f1331b0ae12901210a34/20220708_085827.jpg")</f>
        <v>https://api.typeform.com/responses/files/ee5030b971fbe8ce45f353f3ffe6c30a613903336a60f1331b0ae12901210a34/20220708_085827.jpg</v>
      </c>
      <c r="AD544" t="s">
        <v>118</v>
      </c>
      <c r="AE544" t="s">
        <v>3349</v>
      </c>
      <c r="AF544" t="s">
        <v>11191</v>
      </c>
      <c r="AG544">
        <v>16.0</v>
      </c>
      <c r="AH544" t="s">
        <v>11014</v>
      </c>
      <c r="AI544" t="s">
        <v>121</v>
      </c>
      <c r="AK544" t="s">
        <v>620</v>
      </c>
      <c r="AL544" t="s">
        <v>11192</v>
      </c>
      <c r="AO544" t="s">
        <v>335</v>
      </c>
      <c r="AP544">
        <v>3.0</v>
      </c>
      <c r="AQ544" t="s">
        <v>201</v>
      </c>
      <c r="AR544" t="s">
        <v>11193</v>
      </c>
      <c r="AS544" t="b">
        <v>1</v>
      </c>
      <c r="AT544" t="b">
        <v>0</v>
      </c>
      <c r="AV544">
        <v>7.0</v>
      </c>
      <c r="AW544" t="b">
        <v>0</v>
      </c>
      <c r="AZ544" t="b">
        <v>1</v>
      </c>
      <c r="BA544" t="b">
        <v>0</v>
      </c>
      <c r="BD544" t="s">
        <v>11194</v>
      </c>
      <c r="BH544" t="s">
        <v>132</v>
      </c>
      <c r="BI544">
        <v>3.0</v>
      </c>
      <c r="BJ544" t="s">
        <v>11195</v>
      </c>
      <c r="BK544">
        <v>3.0</v>
      </c>
      <c r="BL544">
        <v>5.0</v>
      </c>
      <c r="BM544" t="s">
        <v>11196</v>
      </c>
      <c r="BN544">
        <v>3.0</v>
      </c>
      <c r="BO544">
        <v>5.0</v>
      </c>
      <c r="BP544" t="s">
        <v>11197</v>
      </c>
      <c r="BQ544" t="s">
        <v>916</v>
      </c>
      <c r="BR544" t="s">
        <v>11198</v>
      </c>
      <c r="BS544" t="s">
        <v>11199</v>
      </c>
      <c r="BU544" t="s">
        <v>11200</v>
      </c>
      <c r="BV544" s="3" t="str">
        <f>HYPERLINK("https://api.typeform.com/responses/files/fe2f67623c7c8b1b1fe3ab996384145360ec4848213481b20a3903ae05811cfe/20220708_085827.jpg")</f>
        <v>https://api.typeform.com/responses/files/fe2f67623c7c8b1b1fe3ab996384145360ec4848213481b20a3903ae05811cfe/20220708_085827.jpg</v>
      </c>
      <c r="BW544" t="b">
        <v>1</v>
      </c>
      <c r="BX544" t="s">
        <v>1394</v>
      </c>
      <c r="BY544" t="s">
        <v>140</v>
      </c>
      <c r="CA544" t="s">
        <v>1395</v>
      </c>
      <c r="CD544">
        <v>0.0</v>
      </c>
      <c r="CF544" t="b">
        <v>1</v>
      </c>
      <c r="CG544" t="b">
        <v>1</v>
      </c>
      <c r="CH544" t="s">
        <v>11201</v>
      </c>
      <c r="CJ544" t="b">
        <v>1</v>
      </c>
      <c r="CK544" t="b">
        <v>1</v>
      </c>
      <c r="CL544" t="s">
        <v>300</v>
      </c>
      <c r="CM544" t="s">
        <v>300</v>
      </c>
      <c r="CO544" t="s">
        <v>200</v>
      </c>
      <c r="CQ544" t="s">
        <v>387</v>
      </c>
      <c r="CR544" t="b">
        <v>1</v>
      </c>
      <c r="CT544">
        <v>3.0</v>
      </c>
      <c r="CU544">
        <v>2.0</v>
      </c>
      <c r="CX544" t="s">
        <v>11202</v>
      </c>
      <c r="CZ544" s="5">
        <v>44751.050104166665</v>
      </c>
      <c r="DA544" t="s">
        <v>11203</v>
      </c>
    </row>
    <row r="545">
      <c r="A545" t="s">
        <v>98</v>
      </c>
      <c r="D545" t="s">
        <v>11204</v>
      </c>
      <c r="E545" t="s">
        <v>11205</v>
      </c>
      <c r="F545" s="2">
        <v>37736.0</v>
      </c>
      <c r="G545" t="s">
        <v>1466</v>
      </c>
      <c r="I545" s="3" t="str">
        <f>HYPERLINK("https://api.typeform.com/responses/files/db4678d7915c66824fc81f936c6bf94a2f58388fa5a1ef5c870936742012877a/IMG_20220711_175826.jpg")</f>
        <v>https://api.typeform.com/responses/files/db4678d7915c66824fc81f936c6bf94a2f58388fa5a1ef5c870936742012877a/IMG_20220711_175826.jpg</v>
      </c>
      <c r="J545" t="s">
        <v>11206</v>
      </c>
      <c r="K545" t="b">
        <v>1</v>
      </c>
      <c r="L545" s="4" t="s">
        <v>11207</v>
      </c>
      <c r="M545" t="s">
        <v>11208</v>
      </c>
      <c r="N545" t="s">
        <v>149</v>
      </c>
      <c r="O545" t="s">
        <v>11209</v>
      </c>
      <c r="P545" t="s">
        <v>11210</v>
      </c>
      <c r="Q545" t="s">
        <v>189</v>
      </c>
      <c r="R545" t="s">
        <v>11211</v>
      </c>
      <c r="S545" s="4" t="s">
        <v>4277</v>
      </c>
      <c r="T545" s="4" t="s">
        <v>11212</v>
      </c>
      <c r="U545" t="s">
        <v>11213</v>
      </c>
      <c r="V545" t="s">
        <v>6479</v>
      </c>
      <c r="W545" t="s">
        <v>261</v>
      </c>
      <c r="Y545" t="s">
        <v>158</v>
      </c>
      <c r="Z545" t="s">
        <v>262</v>
      </c>
      <c r="AC545" s="3" t="str">
        <f>HYPERLINK("https://api.typeform.com/responses/files/6851ff44688ee7e13db49f1773554a5476b71a84ffe391c366c63c41ee9d1824/Mario_Brito_s_HS_transcript.pdf")</f>
        <v>https://api.typeform.com/responses/files/6851ff44688ee7e13db49f1773554a5476b71a84ffe391c366c63c41ee9d1824/Mario_Brito_s_HS_transcript.pdf</v>
      </c>
      <c r="AD545" t="s">
        <v>118</v>
      </c>
      <c r="AE545" t="s">
        <v>729</v>
      </c>
      <c r="AF545" t="s">
        <v>197</v>
      </c>
      <c r="AG545">
        <v>18.0</v>
      </c>
      <c r="AH545" t="s">
        <v>2905</v>
      </c>
      <c r="AI545" t="s">
        <v>162</v>
      </c>
      <c r="AK545" t="s">
        <v>11214</v>
      </c>
      <c r="AL545" t="s">
        <v>1043</v>
      </c>
      <c r="AO545" t="s">
        <v>335</v>
      </c>
      <c r="AP545">
        <v>7.0</v>
      </c>
      <c r="AQ545" t="s">
        <v>1520</v>
      </c>
      <c r="AR545" t="s">
        <v>11155</v>
      </c>
      <c r="AS545" t="b">
        <v>0</v>
      </c>
      <c r="AV545">
        <v>4.0</v>
      </c>
      <c r="AW545" t="b">
        <v>0</v>
      </c>
      <c r="AZ545" t="b">
        <v>1</v>
      </c>
      <c r="BA545" t="b">
        <v>0</v>
      </c>
      <c r="BD545" t="s">
        <v>11215</v>
      </c>
      <c r="BH545" t="s">
        <v>132</v>
      </c>
      <c r="BI545">
        <v>1.0</v>
      </c>
      <c r="BJ545" t="s">
        <v>11216</v>
      </c>
      <c r="BK545">
        <v>5.0</v>
      </c>
      <c r="BL545">
        <v>5.0</v>
      </c>
      <c r="BM545" t="s">
        <v>11217</v>
      </c>
      <c r="BN545">
        <v>1.0</v>
      </c>
      <c r="BO545">
        <v>7.0</v>
      </c>
      <c r="BP545" t="s">
        <v>11218</v>
      </c>
      <c r="BQ545" t="s">
        <v>1050</v>
      </c>
      <c r="BR545" t="s">
        <v>11219</v>
      </c>
      <c r="BS545" t="s">
        <v>11220</v>
      </c>
      <c r="BU545" t="s">
        <v>11221</v>
      </c>
      <c r="BV545" s="3" t="str">
        <f>HYPERLINK("https://api.typeform.com/responses/files/b59c5a38a12f05c1a41cb1c6081abd39b62d73579321fdcff4c99da6eb800ae2/SPEAKHIRE_Parent.Guardian_Consent_Form__1_.pdf")</f>
        <v>https://api.typeform.com/responses/files/b59c5a38a12f05c1a41cb1c6081abd39b62d73579321fdcff4c99da6eb800ae2/SPEAKHIRE_Parent.Guardian_Consent_Form__1_.pdf</v>
      </c>
      <c r="BW545" t="b">
        <v>1</v>
      </c>
      <c r="BX545" t="s">
        <v>1394</v>
      </c>
      <c r="BY545" t="s">
        <v>822</v>
      </c>
      <c r="BZ545" t="s">
        <v>1419</v>
      </c>
      <c r="CD545">
        <v>0.0</v>
      </c>
      <c r="CF545" t="b">
        <v>0</v>
      </c>
      <c r="CG545" t="b">
        <v>0</v>
      </c>
      <c r="CH545" t="s">
        <v>11222</v>
      </c>
      <c r="CJ545" t="b">
        <v>0</v>
      </c>
      <c r="CK545" t="b">
        <v>0</v>
      </c>
      <c r="CL545" t="s">
        <v>2301</v>
      </c>
      <c r="CO545" t="s">
        <v>1635</v>
      </c>
      <c r="CR545" t="b">
        <v>1</v>
      </c>
      <c r="CT545">
        <v>0.0</v>
      </c>
      <c r="CU545">
        <v>2.0</v>
      </c>
      <c r="CX545" t="s">
        <v>11223</v>
      </c>
      <c r="CZ545" s="5">
        <v>44753.998761574076</v>
      </c>
      <c r="DA545" t="s">
        <v>11224</v>
      </c>
    </row>
    <row r="546">
      <c r="A546" t="s">
        <v>98</v>
      </c>
      <c r="D546" t="s">
        <v>11077</v>
      </c>
      <c r="E546" t="s">
        <v>11078</v>
      </c>
      <c r="F546" s="2">
        <v>37045.0</v>
      </c>
      <c r="G546" t="s">
        <v>1360</v>
      </c>
      <c r="I546" s="3" t="str">
        <f>HYPERLINK("https://api.typeform.com/responses/files/3eb68af0b99d9fe3eb14ed4e214c97868f961a432e2e86f524a6decac396a74c/9e5477f2_ed1c_4e0a_abb6_1e479fa9799c.jpg")</f>
        <v>https://api.typeform.com/responses/files/3eb68af0b99d9fe3eb14ed4e214c97868f961a432e2e86f524a6decac396a74c/9e5477f2_ed1c_4e0a_abb6_1e479fa9799c.jpg</v>
      </c>
      <c r="J546" t="s">
        <v>11079</v>
      </c>
      <c r="K546" t="b">
        <v>1</v>
      </c>
      <c r="L546" s="4" t="s">
        <v>11080</v>
      </c>
      <c r="M546" t="s">
        <v>11225</v>
      </c>
      <c r="N546" t="s">
        <v>149</v>
      </c>
      <c r="O546" t="s">
        <v>4315</v>
      </c>
      <c r="P546" t="s">
        <v>11082</v>
      </c>
      <c r="Q546" t="s">
        <v>108</v>
      </c>
      <c r="R546" t="s">
        <v>11079</v>
      </c>
      <c r="S546" t="s">
        <v>11225</v>
      </c>
      <c r="T546" s="4" t="s">
        <v>11083</v>
      </c>
      <c r="U546" t="s">
        <v>11226</v>
      </c>
      <c r="V546" t="s">
        <v>11227</v>
      </c>
      <c r="W546" t="s">
        <v>113</v>
      </c>
      <c r="Y546" t="s">
        <v>158</v>
      </c>
      <c r="Z546" t="s">
        <v>195</v>
      </c>
      <c r="AC546" s="3" t="str">
        <f>HYPERLINK("https://api.typeform.com/responses/files/7f091134b516b5510b2793f96811f629556f5e457a08a7785629d712ec44fb96/dc0f55a4_21de_4f00_ad10_5ecd27f5e0bd.jpg")</f>
        <v>https://api.typeform.com/responses/files/7f091134b516b5510b2793f96811f629556f5e457a08a7785629d712ec44fb96/dc0f55a4_21de_4f00_ad10_5ecd27f5e0bd.jpg</v>
      </c>
      <c r="AD546" t="s">
        <v>118</v>
      </c>
      <c r="AE546" t="s">
        <v>729</v>
      </c>
      <c r="AF546" t="s">
        <v>11085</v>
      </c>
      <c r="AG546">
        <v>19.0</v>
      </c>
      <c r="AH546" s="4" t="s">
        <v>3686</v>
      </c>
      <c r="AI546" t="s">
        <v>162</v>
      </c>
      <c r="AL546" t="s">
        <v>11228</v>
      </c>
      <c r="AO546" t="s">
        <v>1479</v>
      </c>
      <c r="AP546">
        <v>5.0</v>
      </c>
      <c r="AQ546" t="s">
        <v>126</v>
      </c>
      <c r="AR546" t="s">
        <v>4801</v>
      </c>
      <c r="AS546" t="b">
        <v>1</v>
      </c>
      <c r="AT546" t="b">
        <v>0</v>
      </c>
      <c r="AV546">
        <v>7.0</v>
      </c>
      <c r="AW546" t="b">
        <v>0</v>
      </c>
      <c r="AZ546" t="b">
        <v>0</v>
      </c>
      <c r="BA546" t="b">
        <v>0</v>
      </c>
      <c r="BD546" t="s">
        <v>11229</v>
      </c>
      <c r="BH546" t="s">
        <v>132</v>
      </c>
      <c r="BI546">
        <v>5.0</v>
      </c>
      <c r="BJ546" t="s">
        <v>11230</v>
      </c>
      <c r="BK546">
        <v>6.0</v>
      </c>
      <c r="BL546">
        <v>6.0</v>
      </c>
      <c r="BM546" t="s">
        <v>11231</v>
      </c>
      <c r="BN546">
        <v>4.0</v>
      </c>
      <c r="BO546">
        <v>5.0</v>
      </c>
      <c r="BP546" t="s">
        <v>11232</v>
      </c>
      <c r="BQ546" t="s">
        <v>1050</v>
      </c>
      <c r="BR546" t="s">
        <v>11233</v>
      </c>
      <c r="BS546" t="s">
        <v>11234</v>
      </c>
      <c r="BU546" t="s">
        <v>528</v>
      </c>
      <c r="BV546" s="3" t="str">
        <f>HYPERLINK("https://api.typeform.com/responses/files/117581c9f4c24e926414b194998c190a0339a5b407d84814a3766e18a6fba0ec/image.png")</f>
        <v>https://api.typeform.com/responses/files/117581c9f4c24e926414b194998c190a0339a5b407d84814a3766e18a6fba0ec/image.png</v>
      </c>
      <c r="BW546" t="b">
        <v>1</v>
      </c>
      <c r="BX546" t="s">
        <v>1394</v>
      </c>
      <c r="BY546" t="s">
        <v>822</v>
      </c>
      <c r="BZ546" t="s">
        <v>1419</v>
      </c>
      <c r="CD546">
        <v>0.0</v>
      </c>
      <c r="CF546" t="b">
        <v>0</v>
      </c>
      <c r="CG546" t="b">
        <v>0</v>
      </c>
      <c r="CH546" t="s">
        <v>11235</v>
      </c>
      <c r="CJ546" t="b">
        <v>0</v>
      </c>
      <c r="CK546" t="b">
        <v>0</v>
      </c>
      <c r="CL546" t="s">
        <v>300</v>
      </c>
      <c r="CO546" t="s">
        <v>124</v>
      </c>
      <c r="CR546" t="b">
        <v>1</v>
      </c>
      <c r="CT546">
        <v>0.0</v>
      </c>
      <c r="CU546">
        <v>0.0</v>
      </c>
      <c r="CX546" t="s">
        <v>3630</v>
      </c>
      <c r="CZ546" s="5">
        <v>44755.228541666664</v>
      </c>
      <c r="DA546" t="s">
        <v>11236</v>
      </c>
    </row>
    <row r="547">
      <c r="A547" t="s">
        <v>98</v>
      </c>
      <c r="D547" t="s">
        <v>3190</v>
      </c>
      <c r="E547" t="s">
        <v>9863</v>
      </c>
      <c r="F547" s="2">
        <v>38652.0</v>
      </c>
      <c r="G547" t="s">
        <v>1466</v>
      </c>
      <c r="I547" s="3" t="str">
        <f>HYPERLINK("https://api.typeform.com/responses/files/ca2fd3df83ae30041381a784d8af6c089329a2bd6e13de90140ad17b050f1022/B60666E7_C5B4_4DF4_8A26_EECB6A49FF4B.jpeg")</f>
        <v>https://api.typeform.com/responses/files/ca2fd3df83ae30041381a784d8af6c089329a2bd6e13de90140ad17b050f1022/B60666E7_C5B4_4DF4_8A26_EECB6A49FF4B.jpeg</v>
      </c>
      <c r="J547" t="s">
        <v>11237</v>
      </c>
      <c r="K547" t="b">
        <v>1</v>
      </c>
      <c r="L547" s="4" t="s">
        <v>11238</v>
      </c>
      <c r="M547" t="s">
        <v>11239</v>
      </c>
      <c r="N547" t="s">
        <v>255</v>
      </c>
      <c r="O547" t="s">
        <v>11240</v>
      </c>
      <c r="P547" t="s">
        <v>11241</v>
      </c>
      <c r="Q547" t="s">
        <v>189</v>
      </c>
      <c r="R547" t="s">
        <v>11242</v>
      </c>
      <c r="S547" t="s">
        <v>11243</v>
      </c>
      <c r="T547" s="4" t="s">
        <v>11244</v>
      </c>
      <c r="U547" t="s">
        <v>9618</v>
      </c>
      <c r="V547" t="s">
        <v>9955</v>
      </c>
      <c r="W547" t="s">
        <v>261</v>
      </c>
      <c r="Y547" t="s">
        <v>158</v>
      </c>
      <c r="Z547" t="s">
        <v>262</v>
      </c>
      <c r="AC547" s="3" t="str">
        <f>HYPERLINK("https://api.typeform.com/responses/files/b0bd89e0dd37844ea297e6a2ef797c1a4a277ba769b841a4d6035b2310f8ea62/D1CBF998_7EF7_4CFA_9AC2_0078DCF57421.jpeg")</f>
        <v>https://api.typeform.com/responses/files/b0bd89e0dd37844ea297e6a2ef797c1a4a277ba769b841a4d6035b2310f8ea62/D1CBF998_7EF7_4CFA_9AC2_0078DCF57421.jpeg</v>
      </c>
      <c r="AD547" t="s">
        <v>118</v>
      </c>
      <c r="AE547" t="s">
        <v>3349</v>
      </c>
      <c r="AF547" t="s">
        <v>197</v>
      </c>
      <c r="AG547">
        <v>4.0</v>
      </c>
      <c r="AH547" t="s">
        <v>11245</v>
      </c>
      <c r="AI547" t="s">
        <v>205</v>
      </c>
      <c r="AK547" t="s">
        <v>179</v>
      </c>
      <c r="AL547" t="s">
        <v>11246</v>
      </c>
      <c r="AO547" t="s">
        <v>125</v>
      </c>
      <c r="AP547">
        <v>4.0</v>
      </c>
      <c r="AQ547" t="s">
        <v>2240</v>
      </c>
      <c r="AR547" t="s">
        <v>11247</v>
      </c>
      <c r="AS547" t="b">
        <v>1</v>
      </c>
      <c r="AT547" t="b">
        <v>0</v>
      </c>
      <c r="AV547">
        <v>2.0</v>
      </c>
      <c r="AW547" t="b">
        <v>0</v>
      </c>
      <c r="AZ547" t="b">
        <v>0</v>
      </c>
      <c r="BA547" t="b">
        <v>0</v>
      </c>
      <c r="BD547" t="s">
        <v>1734</v>
      </c>
      <c r="BH547" t="s">
        <v>132</v>
      </c>
      <c r="BI547">
        <v>4.0</v>
      </c>
      <c r="BJ547" t="s">
        <v>11248</v>
      </c>
      <c r="BK547">
        <v>4.0</v>
      </c>
      <c r="BL547">
        <v>4.0</v>
      </c>
      <c r="BM547" t="s">
        <v>6319</v>
      </c>
      <c r="BN547">
        <v>4.0</v>
      </c>
      <c r="BO547">
        <v>4.0</v>
      </c>
      <c r="BP547" t="s">
        <v>11249</v>
      </c>
      <c r="BQ547" t="s">
        <v>7711</v>
      </c>
      <c r="BR547" t="s">
        <v>11250</v>
      </c>
      <c r="BS547" t="s">
        <v>11251</v>
      </c>
      <c r="BU547" t="s">
        <v>2912</v>
      </c>
      <c r="BV547" s="3" t="str">
        <f>HYPERLINK("https://api.typeform.com/responses/files/af652c08ea5cec4e2bc33da59345d7c065fd190fefa8f8121be6d4f4f07cfa7d/31B27CAF_5C3D_43AA_AB6B_AE5B1449C748.jpeg")</f>
        <v>https://api.typeform.com/responses/files/af652c08ea5cec4e2bc33da59345d7c065fd190fefa8f8121be6d4f4f07cfa7d/31B27CAF_5C3D_43AA_AB6B_AE5B1449C748.jpeg</v>
      </c>
      <c r="BW547" t="b">
        <v>1</v>
      </c>
      <c r="BX547" t="s">
        <v>1394</v>
      </c>
      <c r="BY547" t="s">
        <v>140</v>
      </c>
      <c r="CA547" t="s">
        <v>1395</v>
      </c>
      <c r="CD547">
        <v>0.0</v>
      </c>
      <c r="CF547" t="b">
        <v>1</v>
      </c>
      <c r="CG547" t="b">
        <v>0</v>
      </c>
      <c r="CH547" t="s">
        <v>1420</v>
      </c>
      <c r="CJ547" t="b">
        <v>0</v>
      </c>
      <c r="CK547" t="b">
        <v>0</v>
      </c>
      <c r="CL547" t="s">
        <v>541</v>
      </c>
      <c r="CO547" t="s">
        <v>200</v>
      </c>
      <c r="CR547" t="b">
        <v>1</v>
      </c>
      <c r="CT547">
        <v>0.0</v>
      </c>
      <c r="CU547">
        <v>0.0</v>
      </c>
      <c r="CX547" t="s">
        <v>575</v>
      </c>
      <c r="CZ547" s="5">
        <v>44817.61001157408</v>
      </c>
      <c r="DA547" t="s">
        <v>11252</v>
      </c>
    </row>
    <row r="548">
      <c r="A548" t="s">
        <v>98</v>
      </c>
      <c r="D548" t="s">
        <v>11253</v>
      </c>
      <c r="E548" t="s">
        <v>11254</v>
      </c>
      <c r="F548" s="2">
        <v>38671.0</v>
      </c>
      <c r="G548" t="s">
        <v>1360</v>
      </c>
      <c r="I548" s="3" t="str">
        <f>HYPERLINK("https://api.typeform.com/responses/files/c6b161d4c08290f33180acafbae2eb51b443e2feac0581e4c267f97c82523468/IMG_2651.GIF")</f>
        <v>https://api.typeform.com/responses/files/c6b161d4c08290f33180acafbae2eb51b443e2feac0581e4c267f97c82523468/IMG_2651.GIF</v>
      </c>
      <c r="J548" t="s">
        <v>11255</v>
      </c>
      <c r="K548" t="b">
        <v>1</v>
      </c>
      <c r="L548" s="4" t="s">
        <v>11256</v>
      </c>
      <c r="M548" t="s">
        <v>11257</v>
      </c>
      <c r="N548" t="s">
        <v>105</v>
      </c>
      <c r="P548" t="s">
        <v>11258</v>
      </c>
      <c r="Q548" t="s">
        <v>189</v>
      </c>
      <c r="R548" t="s">
        <v>11259</v>
      </c>
      <c r="S548" t="s">
        <v>11260</v>
      </c>
      <c r="T548" s="4" t="s">
        <v>11261</v>
      </c>
      <c r="U548" t="s">
        <v>2981</v>
      </c>
      <c r="V548" t="s">
        <v>2458</v>
      </c>
      <c r="W548" t="s">
        <v>261</v>
      </c>
      <c r="Y548" t="s">
        <v>158</v>
      </c>
      <c r="Z548" t="s">
        <v>159</v>
      </c>
      <c r="AC548" s="3" t="str">
        <f>HYPERLINK("https://api.typeform.com/responses/files/e469e1de93659013fa64b7cd1129a7553cfc286546b5dfa56a062be71e09e206/NYC_Department_Of_Education.pdf")</f>
        <v>https://api.typeform.com/responses/files/e469e1de93659013fa64b7cd1129a7553cfc286546b5dfa56a062be71e09e206/NYC_Department_Of_Education.pdf</v>
      </c>
      <c r="AD548" t="s">
        <v>118</v>
      </c>
      <c r="AE548" t="s">
        <v>1220</v>
      </c>
      <c r="AF548" t="s">
        <v>11262</v>
      </c>
      <c r="AG548">
        <v>0.0</v>
      </c>
      <c r="AH548" t="s">
        <v>11263</v>
      </c>
      <c r="AI548" t="s">
        <v>121</v>
      </c>
      <c r="AK548" t="s">
        <v>11264</v>
      </c>
      <c r="AL548" t="s">
        <v>621</v>
      </c>
      <c r="AO548" t="s">
        <v>125</v>
      </c>
      <c r="AP548">
        <v>3.0</v>
      </c>
      <c r="AQ548" t="s">
        <v>2240</v>
      </c>
      <c r="AR548" t="s">
        <v>11265</v>
      </c>
      <c r="AS548" t="b">
        <v>1</v>
      </c>
      <c r="AT548" t="b">
        <v>1</v>
      </c>
      <c r="AV548">
        <v>2.0</v>
      </c>
      <c r="AW548" t="b">
        <v>1</v>
      </c>
      <c r="AX548" t="s">
        <v>1902</v>
      </c>
      <c r="AY548" t="s">
        <v>706</v>
      </c>
      <c r="AZ548" t="b">
        <v>0</v>
      </c>
      <c r="BA548" t="b">
        <v>1</v>
      </c>
      <c r="BB548" t="b">
        <v>0</v>
      </c>
      <c r="BC548" t="s">
        <v>11266</v>
      </c>
      <c r="BH548" t="s">
        <v>132</v>
      </c>
      <c r="BI548">
        <v>4.0</v>
      </c>
      <c r="BJ548" t="s">
        <v>11267</v>
      </c>
      <c r="BK548">
        <v>5.0</v>
      </c>
      <c r="BL548">
        <v>7.0</v>
      </c>
      <c r="BM548" t="s">
        <v>11268</v>
      </c>
      <c r="BN548">
        <v>3.0</v>
      </c>
      <c r="BO548">
        <v>3.0</v>
      </c>
      <c r="BP548" t="s">
        <v>11269</v>
      </c>
      <c r="BQ548" t="s">
        <v>1258</v>
      </c>
      <c r="BR548" t="s">
        <v>11270</v>
      </c>
      <c r="BS548" t="s">
        <v>11271</v>
      </c>
      <c r="BU548" t="s">
        <v>11272</v>
      </c>
      <c r="BV548" s="3" t="str">
        <f>HYPERLINK("https://api.typeform.com/responses/files/ad1d2f228ca45d4672a296e666482a2469c00d59aee76e6e3c6fe52dd9d41ade/IMG_2650.PNG")</f>
        <v>https://api.typeform.com/responses/files/ad1d2f228ca45d4672a296e666482a2469c00d59aee76e6e3c6fe52dd9d41ade/IMG_2650.PNG</v>
      </c>
      <c r="BW548" t="b">
        <v>1</v>
      </c>
      <c r="BX548" t="s">
        <v>1394</v>
      </c>
      <c r="BY548" t="s">
        <v>140</v>
      </c>
      <c r="CA548" t="s">
        <v>1395</v>
      </c>
      <c r="CD548">
        <v>0.0</v>
      </c>
      <c r="CF548" t="b">
        <v>1</v>
      </c>
      <c r="CG548" t="b">
        <v>0</v>
      </c>
      <c r="CH548" t="s">
        <v>5976</v>
      </c>
      <c r="CJ548" t="b">
        <v>1</v>
      </c>
      <c r="CK548" t="b">
        <v>1</v>
      </c>
      <c r="CL548" t="s">
        <v>541</v>
      </c>
      <c r="CM548" t="s">
        <v>198</v>
      </c>
      <c r="CO548" t="s">
        <v>3491</v>
      </c>
      <c r="CQ548" t="s">
        <v>198</v>
      </c>
      <c r="CR548" t="b">
        <v>1</v>
      </c>
      <c r="CT548">
        <v>0.0</v>
      </c>
      <c r="CU548">
        <v>0.0</v>
      </c>
      <c r="CX548" s="4" t="s">
        <v>11273</v>
      </c>
      <c r="CZ548" s="5">
        <v>44833.04201388889</v>
      </c>
      <c r="DA548" t="s">
        <v>11274</v>
      </c>
    </row>
    <row r="549">
      <c r="A549" t="s">
        <v>98</v>
      </c>
      <c r="D549" t="s">
        <v>11275</v>
      </c>
      <c r="E549" t="s">
        <v>11275</v>
      </c>
      <c r="F549" s="2">
        <v>36161.0</v>
      </c>
      <c r="G549" t="s">
        <v>1466</v>
      </c>
      <c r="I549" s="3" t="str">
        <f>HYPERLINK("https://api.typeform.com/responses/files/23f71c781743027d4af7e3475c014a272d4b13cab26ed6b88e449c9d0ae77a19/594ba46f_6e32_4d5c_a0f6_edbc0c01a462.png")</f>
        <v>https://api.typeform.com/responses/files/23f71c781743027d4af7e3475c014a272d4b13cab26ed6b88e449c9d0ae77a19/594ba46f_6e32_4d5c_a0f6_edbc0c01a462.png</v>
      </c>
      <c r="J549" t="s">
        <v>11276</v>
      </c>
      <c r="K549" t="b">
        <v>0</v>
      </c>
      <c r="M549" t="s">
        <v>11277</v>
      </c>
      <c r="N549" t="s">
        <v>105</v>
      </c>
      <c r="P549" t="s">
        <v>11278</v>
      </c>
      <c r="Q549" t="s">
        <v>152</v>
      </c>
      <c r="R549" t="s">
        <v>11279</v>
      </c>
      <c r="S549" t="s">
        <v>11280</v>
      </c>
      <c r="T549" s="4" t="s">
        <v>11281</v>
      </c>
      <c r="U549" t="s">
        <v>11282</v>
      </c>
      <c r="V549" t="s">
        <v>11283</v>
      </c>
      <c r="W549" t="s">
        <v>261</v>
      </c>
      <c r="Y549" t="s">
        <v>158</v>
      </c>
      <c r="Z549" t="s">
        <v>159</v>
      </c>
      <c r="AC549" s="3" t="str">
        <f>HYPERLINK("https://api.typeform.com/responses/files/025900b14e7644388ce5639b81fd90991742df3b2c394eb8dd0d939babbb8909/594ba46f_6e32_4d5c_a0f6_edbc0c01a462.png")</f>
        <v>https://api.typeform.com/responses/files/025900b14e7644388ce5639b81fd90991742df3b2c394eb8dd0d939babbb8909/594ba46f_6e32_4d5c_a0f6_edbc0c01a462.png</v>
      </c>
      <c r="AD549" t="s">
        <v>118</v>
      </c>
      <c r="AE549" t="s">
        <v>781</v>
      </c>
      <c r="AF549" t="s">
        <v>11284</v>
      </c>
      <c r="AG549">
        <v>1.0</v>
      </c>
      <c r="AH549" s="4" t="s">
        <v>11285</v>
      </c>
      <c r="AI549" t="s">
        <v>386</v>
      </c>
      <c r="AK549" t="s">
        <v>11286</v>
      </c>
      <c r="AL549" t="s">
        <v>11286</v>
      </c>
      <c r="AO549" t="s">
        <v>1479</v>
      </c>
      <c r="AP549">
        <v>1.0</v>
      </c>
      <c r="AQ549" t="s">
        <v>303</v>
      </c>
      <c r="AR549" t="s">
        <v>11287</v>
      </c>
      <c r="AS549" t="b">
        <v>1</v>
      </c>
      <c r="AT549" t="b">
        <v>1</v>
      </c>
      <c r="AV549">
        <v>2.0</v>
      </c>
      <c r="AW549" t="b">
        <v>1</v>
      </c>
      <c r="AX549" s="4" t="s">
        <v>1521</v>
      </c>
      <c r="AY549" t="s">
        <v>8422</v>
      </c>
      <c r="AZ549" t="b">
        <v>0</v>
      </c>
      <c r="BA549" t="b">
        <v>1</v>
      </c>
      <c r="BB549" t="b">
        <v>1</v>
      </c>
      <c r="BC549" t="s">
        <v>11288</v>
      </c>
      <c r="BH549" t="s">
        <v>974</v>
      </c>
      <c r="BL549">
        <v>1.0</v>
      </c>
      <c r="BM549" t="s">
        <v>11289</v>
      </c>
      <c r="BN549">
        <v>1.0</v>
      </c>
      <c r="BO549">
        <v>1.0</v>
      </c>
      <c r="BP549" t="s">
        <v>11286</v>
      </c>
      <c r="BQ549" t="s">
        <v>1931</v>
      </c>
      <c r="BR549" t="s">
        <v>11286</v>
      </c>
      <c r="BS549" t="s">
        <v>11286</v>
      </c>
      <c r="BU549" t="s">
        <v>11286</v>
      </c>
      <c r="BV549" s="3" t="str">
        <f>HYPERLINK("https://api.typeform.com/responses/files/84d7ea0799ca232f4fdc88a303fa4e2d684cba7bf629e1eb6f0163414731b54b/594ba46f_6e32_4d5c_a0f6_edbc0c01a462.png")</f>
        <v>https://api.typeform.com/responses/files/84d7ea0799ca232f4fdc88a303fa4e2d684cba7bf629e1eb6f0163414731b54b/594ba46f_6e32_4d5c_a0f6_edbc0c01a462.png</v>
      </c>
      <c r="BW549" t="b">
        <v>1</v>
      </c>
      <c r="BX549" t="s">
        <v>1394</v>
      </c>
      <c r="BY549" t="s">
        <v>140</v>
      </c>
      <c r="CA549" t="s">
        <v>1395</v>
      </c>
      <c r="CD549">
        <v>0.0</v>
      </c>
      <c r="CF549" t="b">
        <v>1</v>
      </c>
      <c r="CG549" t="b">
        <v>0</v>
      </c>
      <c r="CH549" t="s">
        <v>11286</v>
      </c>
      <c r="CJ549" t="b">
        <v>1</v>
      </c>
      <c r="CK549" t="b">
        <v>1</v>
      </c>
      <c r="CL549" t="s">
        <v>413</v>
      </c>
      <c r="CM549" t="s">
        <v>1489</v>
      </c>
      <c r="CO549" t="s">
        <v>11286</v>
      </c>
      <c r="CQ549" t="s">
        <v>1489</v>
      </c>
      <c r="CR549" t="b">
        <v>1</v>
      </c>
      <c r="CT549">
        <v>1232.0</v>
      </c>
      <c r="CU549">
        <v>123.0</v>
      </c>
      <c r="CX549" s="4" t="s">
        <v>11290</v>
      </c>
      <c r="CZ549" s="5">
        <v>44833.59662037037</v>
      </c>
      <c r="DA549" t="s">
        <v>11291</v>
      </c>
    </row>
    <row r="550">
      <c r="A550" t="s">
        <v>98</v>
      </c>
      <c r="D550" t="s">
        <v>11292</v>
      </c>
      <c r="E550" t="s">
        <v>5240</v>
      </c>
      <c r="F550" s="2">
        <v>38878.0</v>
      </c>
      <c r="G550" t="s">
        <v>1360</v>
      </c>
      <c r="I550" s="3" t="str">
        <f>HYPERLINK("https://api.typeform.com/responses/files/884752e238aa7f36e0bf563d46ca959a83ed75115e35560af24748cbbd2eb8fd/IMG_20220929_103847.jpg")</f>
        <v>https://api.typeform.com/responses/files/884752e238aa7f36e0bf563d46ca959a83ed75115e35560af24748cbbd2eb8fd/IMG_20220929_103847.jpg</v>
      </c>
      <c r="J550" t="s">
        <v>11293</v>
      </c>
      <c r="K550" t="b">
        <v>1</v>
      </c>
      <c r="L550" s="4" t="s">
        <v>11294</v>
      </c>
      <c r="M550" t="s">
        <v>11295</v>
      </c>
      <c r="N550" t="s">
        <v>255</v>
      </c>
      <c r="O550" t="s">
        <v>11296</v>
      </c>
      <c r="P550" t="s">
        <v>11297</v>
      </c>
      <c r="Q550" t="s">
        <v>189</v>
      </c>
      <c r="R550" t="s">
        <v>11298</v>
      </c>
      <c r="S550" t="s">
        <v>11295</v>
      </c>
      <c r="T550" s="4" t="s">
        <v>11299</v>
      </c>
      <c r="U550" t="s">
        <v>8476</v>
      </c>
      <c r="V550" t="s">
        <v>11300</v>
      </c>
      <c r="W550" t="s">
        <v>261</v>
      </c>
      <c r="Y550" t="s">
        <v>158</v>
      </c>
      <c r="Z550" t="s">
        <v>262</v>
      </c>
      <c r="AC550" s="3" t="str">
        <f>HYPERLINK("https://api.typeform.com/responses/files/7233c11a228a785869269f1d9f2f1974818c9c29a32d1dfbb7dc237bae9898b3/CommoncoreReportCard__1_.pdf")</f>
        <v>https://api.typeform.com/responses/files/7233c11a228a785869269f1d9f2f1974818c9c29a32d1dfbb7dc237bae9898b3/CommoncoreReportCard__1_.pdf</v>
      </c>
      <c r="AD550" t="s">
        <v>118</v>
      </c>
      <c r="AE550" t="s">
        <v>729</v>
      </c>
      <c r="AF550" t="s">
        <v>2874</v>
      </c>
      <c r="AG550">
        <v>7.0</v>
      </c>
      <c r="AH550" t="s">
        <v>11301</v>
      </c>
      <c r="AI550" t="s">
        <v>162</v>
      </c>
      <c r="AK550" t="s">
        <v>11302</v>
      </c>
      <c r="AL550" t="s">
        <v>1043</v>
      </c>
      <c r="AO550" t="s">
        <v>335</v>
      </c>
      <c r="AP550">
        <v>6.0</v>
      </c>
      <c r="AQ550" t="s">
        <v>201</v>
      </c>
      <c r="AR550" t="s">
        <v>11303</v>
      </c>
      <c r="AS550" t="b">
        <v>1</v>
      </c>
      <c r="AT550" t="b">
        <v>0</v>
      </c>
      <c r="AV550">
        <v>5.0</v>
      </c>
      <c r="AW550" t="b">
        <v>0</v>
      </c>
      <c r="AZ550" t="b">
        <v>0</v>
      </c>
      <c r="BA550" t="b">
        <v>0</v>
      </c>
      <c r="BD550" t="s">
        <v>7922</v>
      </c>
      <c r="BH550" t="s">
        <v>132</v>
      </c>
      <c r="BI550">
        <v>1.0</v>
      </c>
      <c r="BJ550" t="s">
        <v>11304</v>
      </c>
      <c r="BK550">
        <v>1.0</v>
      </c>
      <c r="BL550">
        <v>1.0</v>
      </c>
      <c r="BM550" t="s">
        <v>11305</v>
      </c>
      <c r="BN550">
        <v>1.0</v>
      </c>
      <c r="BO550">
        <v>1.0</v>
      </c>
      <c r="BP550" t="s">
        <v>11306</v>
      </c>
      <c r="BQ550" t="s">
        <v>11307</v>
      </c>
      <c r="BR550" t="s">
        <v>11308</v>
      </c>
      <c r="BS550" t="s">
        <v>11309</v>
      </c>
      <c r="BU550" t="s">
        <v>11310</v>
      </c>
      <c r="BV550" s="3" t="str">
        <f>HYPERLINK("https://api.typeform.com/responses/files/57636a62cd65969e8fa277d8d2b2e4dbbb5bfe7f49a1f7849654693816879d3a/CommoncoreReportCard__1_.pdf")</f>
        <v>https://api.typeform.com/responses/files/57636a62cd65969e8fa277d8d2b2e4dbbb5bfe7f49a1f7849654693816879d3a/CommoncoreReportCard__1_.pdf</v>
      </c>
      <c r="BW550" t="b">
        <v>1</v>
      </c>
      <c r="BX550" t="s">
        <v>1394</v>
      </c>
      <c r="BY550" t="s">
        <v>140</v>
      </c>
      <c r="CA550" t="s">
        <v>1395</v>
      </c>
      <c r="CD550">
        <v>0.0</v>
      </c>
      <c r="CF550" t="b">
        <v>0</v>
      </c>
      <c r="CG550" t="b">
        <v>1</v>
      </c>
      <c r="CH550" t="s">
        <v>1557</v>
      </c>
      <c r="CJ550" t="b">
        <v>0</v>
      </c>
      <c r="CK550" t="b">
        <v>1</v>
      </c>
      <c r="CL550" t="s">
        <v>198</v>
      </c>
      <c r="CO550" t="s">
        <v>2888</v>
      </c>
      <c r="CR550" t="b">
        <v>1</v>
      </c>
      <c r="CT550">
        <v>0.0</v>
      </c>
      <c r="CU550">
        <v>3.0</v>
      </c>
      <c r="CX550" s="4" t="s">
        <v>11311</v>
      </c>
      <c r="CZ550" s="5">
        <v>44833.62831018519</v>
      </c>
      <c r="DA550" t="s">
        <v>11312</v>
      </c>
    </row>
    <row r="551">
      <c r="A551" t="s">
        <v>98</v>
      </c>
      <c r="D551" t="s">
        <v>3190</v>
      </c>
      <c r="E551" t="s">
        <v>9863</v>
      </c>
      <c r="F551" s="2">
        <v>38652.0</v>
      </c>
      <c r="G551" t="s">
        <v>1466</v>
      </c>
      <c r="I551" s="3" t="str">
        <f>HYPERLINK("https://api.typeform.com/responses/files/55a8046ea32d65fc435ea66208911c2902bae0b89562b5996a1811f09908c876/headshot.jpg")</f>
        <v>https://api.typeform.com/responses/files/55a8046ea32d65fc435ea66208911c2902bae0b89562b5996a1811f09908c876/headshot.jpg</v>
      </c>
      <c r="J551" t="s">
        <v>11237</v>
      </c>
      <c r="K551" t="b">
        <v>1</v>
      </c>
      <c r="L551" s="4" t="s">
        <v>11238</v>
      </c>
      <c r="M551" t="s">
        <v>11313</v>
      </c>
      <c r="N551" t="s">
        <v>255</v>
      </c>
      <c r="P551" t="s">
        <v>11314</v>
      </c>
      <c r="Q551" t="s">
        <v>189</v>
      </c>
      <c r="R551" t="s">
        <v>11242</v>
      </c>
      <c r="S551" t="s">
        <v>11313</v>
      </c>
      <c r="T551" s="4" t="s">
        <v>11244</v>
      </c>
      <c r="U551" t="s">
        <v>9978</v>
      </c>
      <c r="V551" t="s">
        <v>11315</v>
      </c>
      <c r="W551" t="s">
        <v>261</v>
      </c>
      <c r="Y551" t="s">
        <v>158</v>
      </c>
      <c r="Z551" t="s">
        <v>262</v>
      </c>
      <c r="AC551" s="3" t="str">
        <f>HYPERLINK("https://api.typeform.com/responses/files/a53c46b218ef45652dbb81703d8e839a65df8ea5cf13bf2d0ab5b0da9f9c4e51/Grullon_L.pdf")</f>
        <v>https://api.typeform.com/responses/files/a53c46b218ef45652dbb81703d8e839a65df8ea5cf13bf2d0ab5b0da9f9c4e51/Grullon_L.pdf</v>
      </c>
      <c r="AD551" t="s">
        <v>118</v>
      </c>
      <c r="AE551" t="s">
        <v>3349</v>
      </c>
      <c r="AF551" t="s">
        <v>197</v>
      </c>
      <c r="AG551">
        <v>4.0</v>
      </c>
      <c r="AH551" t="s">
        <v>11316</v>
      </c>
      <c r="AI551" t="s">
        <v>205</v>
      </c>
      <c r="AL551" t="s">
        <v>11317</v>
      </c>
      <c r="AO551" t="s">
        <v>125</v>
      </c>
      <c r="AP551">
        <v>4.0</v>
      </c>
      <c r="AQ551" t="s">
        <v>2240</v>
      </c>
      <c r="AR551" t="s">
        <v>11318</v>
      </c>
      <c r="AS551" t="b">
        <v>1</v>
      </c>
      <c r="AT551" t="b">
        <v>0</v>
      </c>
      <c r="AV551">
        <v>5.0</v>
      </c>
      <c r="AW551" t="b">
        <v>0</v>
      </c>
      <c r="AZ551" t="b">
        <v>0</v>
      </c>
      <c r="BA551" t="b">
        <v>0</v>
      </c>
      <c r="BD551" t="s">
        <v>258</v>
      </c>
      <c r="BH551" t="s">
        <v>132</v>
      </c>
      <c r="BI551">
        <v>5.0</v>
      </c>
      <c r="BJ551" t="s">
        <v>11319</v>
      </c>
      <c r="BK551">
        <v>3.0</v>
      </c>
      <c r="BL551">
        <v>2.0</v>
      </c>
      <c r="BM551" t="s">
        <v>11320</v>
      </c>
      <c r="BN551">
        <v>4.0</v>
      </c>
      <c r="BO551">
        <v>4.0</v>
      </c>
      <c r="BP551" t="s">
        <v>11321</v>
      </c>
      <c r="BQ551" t="s">
        <v>9880</v>
      </c>
      <c r="BR551" t="s">
        <v>11322</v>
      </c>
      <c r="BS551" t="s">
        <v>11323</v>
      </c>
      <c r="BU551" t="s">
        <v>258</v>
      </c>
      <c r="BV551" s="3" t="str">
        <f>HYPERLINK("https://api.typeform.com/responses/files/aa0b850df72440e1cbf9314e869c286ba5c5bdd583c176099f2de4da138a51cf/download.jpeg")</f>
        <v>https://api.typeform.com/responses/files/aa0b850df72440e1cbf9314e869c286ba5c5bdd583c176099f2de4da138a51cf/download.jpeg</v>
      </c>
      <c r="BW551" t="b">
        <v>1</v>
      </c>
      <c r="BX551" t="s">
        <v>1394</v>
      </c>
      <c r="BY551" t="s">
        <v>140</v>
      </c>
      <c r="CA551" t="s">
        <v>1395</v>
      </c>
      <c r="CD551">
        <v>0.0</v>
      </c>
      <c r="CF551" t="b">
        <v>1</v>
      </c>
      <c r="CG551" t="b">
        <v>0</v>
      </c>
      <c r="CH551" t="s">
        <v>5976</v>
      </c>
      <c r="CJ551" t="b">
        <v>0</v>
      </c>
      <c r="CK551" t="b">
        <v>0</v>
      </c>
      <c r="CL551" t="s">
        <v>541</v>
      </c>
      <c r="CO551" t="s">
        <v>3491</v>
      </c>
      <c r="CR551" t="b">
        <v>1</v>
      </c>
      <c r="CT551">
        <v>0.0</v>
      </c>
      <c r="CU551">
        <v>0.0</v>
      </c>
      <c r="CX551" t="s">
        <v>11324</v>
      </c>
      <c r="CZ551" s="5">
        <v>44833.62893518519</v>
      </c>
      <c r="DA551" t="s">
        <v>11325</v>
      </c>
    </row>
    <row r="552">
      <c r="A552" t="s">
        <v>98</v>
      </c>
      <c r="D552" t="s">
        <v>11326</v>
      </c>
      <c r="E552" t="s">
        <v>4077</v>
      </c>
      <c r="F552" s="2">
        <v>39010.0</v>
      </c>
      <c r="G552" t="s">
        <v>1466</v>
      </c>
      <c r="I552" s="3" t="str">
        <f>HYPERLINK("https://api.typeform.com/responses/files/55748335990c8c484ed94689b71aa0e17366baeb13939b36f84eeed3013b45ef/IMG_20220929_103338.jpg")</f>
        <v>https://api.typeform.com/responses/files/55748335990c8c484ed94689b71aa0e17366baeb13939b36f84eeed3013b45ef/IMG_20220929_103338.jpg</v>
      </c>
      <c r="J552" t="s">
        <v>11327</v>
      </c>
      <c r="K552" t="b">
        <v>1</v>
      </c>
      <c r="L552" s="4" t="s">
        <v>11328</v>
      </c>
      <c r="M552" t="s">
        <v>11329</v>
      </c>
      <c r="N552" t="s">
        <v>105</v>
      </c>
      <c r="P552" t="s">
        <v>11330</v>
      </c>
      <c r="Q552" t="s">
        <v>189</v>
      </c>
      <c r="R552" t="s">
        <v>11331</v>
      </c>
      <c r="S552" t="s">
        <v>11332</v>
      </c>
      <c r="T552" s="4" t="s">
        <v>11333</v>
      </c>
      <c r="U552" t="s">
        <v>8154</v>
      </c>
      <c r="V552" t="s">
        <v>11334</v>
      </c>
      <c r="W552" t="s">
        <v>261</v>
      </c>
      <c r="Y552" t="s">
        <v>158</v>
      </c>
      <c r="Z552" t="s">
        <v>262</v>
      </c>
      <c r="AC552" s="3" t="str">
        <f>HYPERLINK("https://api.typeform.com/responses/files/03a874dedafbe8651bb3eb6181362a99e0f01c90a8ceff52851e7d402d98443a/download__1_.png")</f>
        <v>https://api.typeform.com/responses/files/03a874dedafbe8651bb3eb6181362a99e0f01c90a8ceff52851e7d402d98443a/download__1_.png</v>
      </c>
      <c r="AD552" t="s">
        <v>118</v>
      </c>
      <c r="AE552" t="s">
        <v>1220</v>
      </c>
      <c r="AF552" t="s">
        <v>1978</v>
      </c>
      <c r="AG552">
        <v>0.0</v>
      </c>
      <c r="AH552" t="s">
        <v>11335</v>
      </c>
      <c r="AI552" t="s">
        <v>121</v>
      </c>
      <c r="AK552" t="s">
        <v>179</v>
      </c>
      <c r="AL552" t="s">
        <v>11336</v>
      </c>
      <c r="AO552" t="s">
        <v>125</v>
      </c>
      <c r="AP552">
        <v>5.0</v>
      </c>
      <c r="AQ552" t="s">
        <v>4222</v>
      </c>
      <c r="AR552" t="s">
        <v>11337</v>
      </c>
      <c r="AS552" t="b">
        <v>1</v>
      </c>
      <c r="AT552" t="b">
        <v>0</v>
      </c>
      <c r="AV552">
        <v>5.0</v>
      </c>
      <c r="AW552" t="b">
        <v>1</v>
      </c>
      <c r="AX552" t="s">
        <v>1902</v>
      </c>
      <c r="AY552" s="4" t="s">
        <v>518</v>
      </c>
      <c r="AZ552" t="b">
        <v>0</v>
      </c>
      <c r="BA552" t="b">
        <v>0</v>
      </c>
      <c r="BD552" t="s">
        <v>11338</v>
      </c>
      <c r="BH552" t="s">
        <v>132</v>
      </c>
      <c r="BI552">
        <v>1.0</v>
      </c>
      <c r="BJ552" t="s">
        <v>11339</v>
      </c>
      <c r="BK552">
        <v>2.0</v>
      </c>
      <c r="BL552">
        <v>4.0</v>
      </c>
      <c r="BM552" t="s">
        <v>11340</v>
      </c>
      <c r="BN552">
        <v>2.0</v>
      </c>
      <c r="BO552">
        <v>3.0</v>
      </c>
      <c r="BP552" t="s">
        <v>11341</v>
      </c>
      <c r="BQ552" t="s">
        <v>1003</v>
      </c>
      <c r="BR552" t="s">
        <v>11342</v>
      </c>
      <c r="BS552" t="s">
        <v>11343</v>
      </c>
      <c r="BU552" t="s">
        <v>555</v>
      </c>
      <c r="BV552" s="3" t="str">
        <f>HYPERLINK("https://api.typeform.com/responses/files/db893861a8d31bd4f9204b0c62ba44760e097476d3fa2dc0f2cc5e20e8a54f1e/load.jpg")</f>
        <v>https://api.typeform.com/responses/files/db893861a8d31bd4f9204b0c62ba44760e097476d3fa2dc0f2cc5e20e8a54f1e/load.jpg</v>
      </c>
      <c r="BW552" t="b">
        <v>1</v>
      </c>
      <c r="BX552" t="s">
        <v>1394</v>
      </c>
      <c r="BY552" t="s">
        <v>140</v>
      </c>
      <c r="CA552" t="s">
        <v>1395</v>
      </c>
      <c r="CD552">
        <v>0.0</v>
      </c>
      <c r="CF552" t="b">
        <v>1</v>
      </c>
      <c r="CG552" t="b">
        <v>0</v>
      </c>
      <c r="CH552" t="s">
        <v>11344</v>
      </c>
      <c r="CJ552" t="b">
        <v>1</v>
      </c>
      <c r="CK552" t="b">
        <v>0</v>
      </c>
      <c r="CL552" t="s">
        <v>541</v>
      </c>
      <c r="CM552" t="s">
        <v>2301</v>
      </c>
      <c r="CO552" t="s">
        <v>388</v>
      </c>
      <c r="CR552" t="b">
        <v>1</v>
      </c>
      <c r="CT552">
        <v>0.0</v>
      </c>
      <c r="CU552">
        <v>0.0</v>
      </c>
      <c r="CX552" t="s">
        <v>11345</v>
      </c>
      <c r="CZ552" s="5">
        <v>44833.63037037037</v>
      </c>
      <c r="DA552" t="s">
        <v>11346</v>
      </c>
    </row>
    <row r="553">
      <c r="A553" t="s">
        <v>98</v>
      </c>
      <c r="D553" t="s">
        <v>11347</v>
      </c>
      <c r="E553" t="s">
        <v>11348</v>
      </c>
      <c r="F553" s="2">
        <v>38871.0</v>
      </c>
      <c r="G553" t="s">
        <v>1360</v>
      </c>
      <c r="I553" s="3" t="str">
        <f>HYPERLINK("https://api.typeform.com/responses/files/e28205f4a4cb5762f6ff717a3f57e40abc44d13c5867e0488fcee1fa3f3eac04/HeadshotLhiannaCapell.jpg")</f>
        <v>https://api.typeform.com/responses/files/e28205f4a4cb5762f6ff717a3f57e40abc44d13c5867e0488fcee1fa3f3eac04/HeadshotLhiannaCapell.jpg</v>
      </c>
      <c r="J553" t="s">
        <v>11349</v>
      </c>
      <c r="K553" t="b">
        <v>1</v>
      </c>
      <c r="L553" s="4" t="s">
        <v>11350</v>
      </c>
      <c r="M553" t="s">
        <v>11351</v>
      </c>
      <c r="N553" t="s">
        <v>105</v>
      </c>
      <c r="P553" t="s">
        <v>11352</v>
      </c>
      <c r="Q553" t="s">
        <v>189</v>
      </c>
      <c r="R553" t="s">
        <v>11353</v>
      </c>
      <c r="S553" t="s">
        <v>11351</v>
      </c>
      <c r="T553" s="4" t="s">
        <v>11354</v>
      </c>
      <c r="U553" t="s">
        <v>11355</v>
      </c>
      <c r="V553" t="s">
        <v>9229</v>
      </c>
      <c r="W553" t="s">
        <v>261</v>
      </c>
      <c r="Y553" t="s">
        <v>158</v>
      </c>
      <c r="Z553" t="s">
        <v>262</v>
      </c>
      <c r="AC553" s="3" t="str">
        <f>HYPERLINK("https://api.typeform.com/responses/files/2f9793ad2657f9b32f38c3feeb49f4dd44a768d68f548e812957cdfe4a289b99/Blank_Doc__will_be_submitted_soon.pdf")</f>
        <v>https://api.typeform.com/responses/files/2f9793ad2657f9b32f38c3feeb49f4dd44a768d68f548e812957cdfe4a289b99/Blank_Doc__will_be_submitted_soon.pdf</v>
      </c>
      <c r="AD553" t="s">
        <v>118</v>
      </c>
      <c r="AE553" t="s">
        <v>1220</v>
      </c>
      <c r="AF553" t="s">
        <v>197</v>
      </c>
      <c r="AG553">
        <v>0.0</v>
      </c>
      <c r="AH553" t="s">
        <v>11356</v>
      </c>
      <c r="AI553" t="s">
        <v>121</v>
      </c>
      <c r="AK553" t="s">
        <v>11357</v>
      </c>
      <c r="AL553" t="s">
        <v>199</v>
      </c>
      <c r="AO553" t="s">
        <v>125</v>
      </c>
      <c r="AP553">
        <v>5.0</v>
      </c>
      <c r="AQ553" t="s">
        <v>1070</v>
      </c>
      <c r="AR553" t="s">
        <v>1829</v>
      </c>
      <c r="AS553" t="b">
        <v>1</v>
      </c>
      <c r="AT553" t="b">
        <v>1</v>
      </c>
      <c r="AV553">
        <v>6.0</v>
      </c>
      <c r="AW553" t="b">
        <v>1</v>
      </c>
      <c r="AX553" t="s">
        <v>1902</v>
      </c>
      <c r="AY553" s="4" t="s">
        <v>518</v>
      </c>
      <c r="AZ553" t="b">
        <v>1</v>
      </c>
      <c r="BA553" t="b">
        <v>1</v>
      </c>
      <c r="BB553" t="b">
        <v>1</v>
      </c>
      <c r="BC553" t="s">
        <v>11358</v>
      </c>
      <c r="BH553" t="s">
        <v>132</v>
      </c>
      <c r="BI553">
        <v>4.0</v>
      </c>
      <c r="BJ553" t="s">
        <v>11359</v>
      </c>
      <c r="BK553">
        <v>3.0</v>
      </c>
      <c r="BL553">
        <v>4.0</v>
      </c>
      <c r="BM553" t="s">
        <v>11360</v>
      </c>
      <c r="BN553">
        <v>3.0</v>
      </c>
      <c r="BO553">
        <v>3.0</v>
      </c>
      <c r="BP553" t="s">
        <v>11361</v>
      </c>
      <c r="BQ553" t="s">
        <v>1606</v>
      </c>
      <c r="BR553" t="s">
        <v>11362</v>
      </c>
      <c r="BS553" t="s">
        <v>11363</v>
      </c>
      <c r="BU553" t="s">
        <v>11364</v>
      </c>
      <c r="BV553" s="3" t="str">
        <f>HYPERLINK("https://api.typeform.com/responses/files/09ab543cb70f94a77e32ad5da47562be1e2648d56c82a9659faf86030b504844/Blank_Doc__will_be_submitted_soon.pdf")</f>
        <v>https://api.typeform.com/responses/files/09ab543cb70f94a77e32ad5da47562be1e2648d56c82a9659faf86030b504844/Blank_Doc__will_be_submitted_soon.pdf</v>
      </c>
      <c r="BW553" t="b">
        <v>1</v>
      </c>
      <c r="BX553" t="s">
        <v>1394</v>
      </c>
      <c r="BY553" t="s">
        <v>140</v>
      </c>
      <c r="CA553" t="s">
        <v>1395</v>
      </c>
      <c r="CD553">
        <v>0.0</v>
      </c>
      <c r="CF553" t="b">
        <v>0</v>
      </c>
      <c r="CG553" t="b">
        <v>0</v>
      </c>
      <c r="CH553" t="s">
        <v>705</v>
      </c>
      <c r="CJ553" t="b">
        <v>0</v>
      </c>
      <c r="CK553" t="b">
        <v>0</v>
      </c>
      <c r="CL553" t="s">
        <v>198</v>
      </c>
      <c r="CO553" t="s">
        <v>620</v>
      </c>
      <c r="CR553" t="b">
        <v>1</v>
      </c>
      <c r="CT553">
        <v>1.0</v>
      </c>
      <c r="CU553">
        <v>0.0</v>
      </c>
      <c r="CX553" t="s">
        <v>11365</v>
      </c>
      <c r="CZ553" s="5">
        <v>44833.642858796295</v>
      </c>
      <c r="DA553" t="s">
        <v>11366</v>
      </c>
    </row>
    <row r="554">
      <c r="A554" t="s">
        <v>98</v>
      </c>
      <c r="D554" t="s">
        <v>11367</v>
      </c>
      <c r="E554" t="s">
        <v>11368</v>
      </c>
      <c r="F554" s="2">
        <v>38749.0</v>
      </c>
      <c r="G554" t="s">
        <v>1466</v>
      </c>
      <c r="I554" s="3" t="str">
        <f>HYPERLINK("https://api.typeform.com/responses/files/0748deb9e990ffb220695475b1752e5c2f9e7188eacb0836115115bee9cc4f4f/Photo_on_9_29_22_at_10.56_AM.jpg")</f>
        <v>https://api.typeform.com/responses/files/0748deb9e990ffb220695475b1752e5c2f9e7188eacb0836115115bee9cc4f4f/Photo_on_9_29_22_at_10.56_AM.jpg</v>
      </c>
      <c r="J554" t="s">
        <v>11369</v>
      </c>
      <c r="K554" t="b">
        <v>1</v>
      </c>
      <c r="L554" s="4" t="s">
        <v>11370</v>
      </c>
      <c r="M554" t="s">
        <v>11371</v>
      </c>
      <c r="N554" t="s">
        <v>255</v>
      </c>
      <c r="P554" t="s">
        <v>11372</v>
      </c>
      <c r="Q554" t="s">
        <v>189</v>
      </c>
      <c r="R554" t="s">
        <v>11373</v>
      </c>
      <c r="S554" t="s">
        <v>11371</v>
      </c>
      <c r="T554" s="4" t="s">
        <v>11374</v>
      </c>
      <c r="U554" t="s">
        <v>8154</v>
      </c>
      <c r="V554" t="s">
        <v>11375</v>
      </c>
      <c r="W554" t="s">
        <v>261</v>
      </c>
      <c r="Y554" t="s">
        <v>158</v>
      </c>
      <c r="Z554" t="s">
        <v>262</v>
      </c>
      <c r="AC554" s="3" t="str">
        <f>HYPERLINK("https://api.typeform.com/responses/files/0cb9ecc55b588dd0c7a079b6cf345679e2e5caf5d7cd2738911f4882fb7dcf1a/Espinal_Yorlan_transcript.pdf")</f>
        <v>https://api.typeform.com/responses/files/0cb9ecc55b588dd0c7a079b6cf345679e2e5caf5d7cd2738911f4882fb7dcf1a/Espinal_Yorlan_transcript.pdf</v>
      </c>
      <c r="AD554" t="s">
        <v>118</v>
      </c>
      <c r="AE554" t="s">
        <v>729</v>
      </c>
      <c r="AF554" t="s">
        <v>197</v>
      </c>
      <c r="AG554">
        <v>6.0</v>
      </c>
      <c r="AH554" t="s">
        <v>620</v>
      </c>
      <c r="AI554" t="s">
        <v>121</v>
      </c>
      <c r="AL554" t="s">
        <v>199</v>
      </c>
      <c r="AO554" t="s">
        <v>1479</v>
      </c>
      <c r="AP554">
        <v>5.0</v>
      </c>
      <c r="AQ554" t="s">
        <v>2240</v>
      </c>
      <c r="AR554" t="s">
        <v>638</v>
      </c>
      <c r="AS554" t="b">
        <v>1</v>
      </c>
      <c r="AT554" t="b">
        <v>0</v>
      </c>
      <c r="AV554">
        <v>5.0</v>
      </c>
      <c r="AW554" t="b">
        <v>1</v>
      </c>
      <c r="AX554" t="s">
        <v>1902</v>
      </c>
      <c r="AY554" s="4" t="s">
        <v>518</v>
      </c>
      <c r="AZ554" t="b">
        <v>1</v>
      </c>
      <c r="BA554" t="b">
        <v>0</v>
      </c>
      <c r="BD554" t="s">
        <v>11376</v>
      </c>
      <c r="BH554" t="s">
        <v>132</v>
      </c>
      <c r="BI554">
        <v>5.0</v>
      </c>
      <c r="BJ554" t="s">
        <v>11377</v>
      </c>
      <c r="BK554">
        <v>6.0</v>
      </c>
      <c r="BL554">
        <v>6.0</v>
      </c>
      <c r="BM554" t="s">
        <v>11378</v>
      </c>
      <c r="BN554">
        <v>5.0</v>
      </c>
      <c r="BO554">
        <v>4.0</v>
      </c>
      <c r="BP554" t="s">
        <v>11379</v>
      </c>
      <c r="BQ554" t="s">
        <v>1931</v>
      </c>
      <c r="BR554" t="s">
        <v>11380</v>
      </c>
      <c r="BS554" t="s">
        <v>11381</v>
      </c>
      <c r="BU554" t="s">
        <v>620</v>
      </c>
      <c r="BV554" s="3" t="str">
        <f>HYPERLINK("https://api.typeform.com/responses/files/b7408b43b1d2876ddffb262b7b7f389c120d2cb7037a647614c68fc3f31255b9/SPEAKHIRE_Parent.Guardian_Consent_Form.pdf")</f>
        <v>https://api.typeform.com/responses/files/b7408b43b1d2876ddffb262b7b7f389c120d2cb7037a647614c68fc3f31255b9/SPEAKHIRE_Parent.Guardian_Consent_Form.pdf</v>
      </c>
      <c r="BW554" t="b">
        <v>1</v>
      </c>
      <c r="BX554" t="s">
        <v>1394</v>
      </c>
      <c r="BY554" t="s">
        <v>140</v>
      </c>
      <c r="CA554" t="s">
        <v>1395</v>
      </c>
      <c r="CD554">
        <v>0.0</v>
      </c>
      <c r="CF554" t="b">
        <v>0</v>
      </c>
      <c r="CG554" t="b">
        <v>0</v>
      </c>
      <c r="CH554" t="s">
        <v>705</v>
      </c>
      <c r="CJ554" t="b">
        <v>1</v>
      </c>
      <c r="CK554" t="b">
        <v>0</v>
      </c>
      <c r="CL554" t="s">
        <v>198</v>
      </c>
      <c r="CM554" t="s">
        <v>541</v>
      </c>
      <c r="CO554" t="s">
        <v>200</v>
      </c>
      <c r="CR554" t="b">
        <v>1</v>
      </c>
      <c r="CT554">
        <v>2.0</v>
      </c>
      <c r="CU554">
        <v>0.0</v>
      </c>
      <c r="CX554" s="4" t="s">
        <v>11382</v>
      </c>
      <c r="CZ554" s="5">
        <v>44833.64444444444</v>
      </c>
      <c r="DA554" t="s">
        <v>11383</v>
      </c>
    </row>
    <row r="555">
      <c r="A555" t="s">
        <v>98</v>
      </c>
      <c r="D555" t="s">
        <v>11384</v>
      </c>
      <c r="E555" t="s">
        <v>11385</v>
      </c>
      <c r="F555" s="2">
        <v>38836.0</v>
      </c>
      <c r="G555" t="s">
        <v>1360</v>
      </c>
      <c r="I555" s="3" t="str">
        <f>HYPERLINK("https://api.typeform.com/responses/files/a3265a489ef2359540747cecd2b45f73deaf27fbe31ed72369ac45c8a133f7b5/IMG_1523.jpg")</f>
        <v>https://api.typeform.com/responses/files/a3265a489ef2359540747cecd2b45f73deaf27fbe31ed72369ac45c8a133f7b5/IMG_1523.jpg</v>
      </c>
      <c r="J555" t="s">
        <v>11386</v>
      </c>
      <c r="K555" t="b">
        <v>1</v>
      </c>
      <c r="L555" s="4" t="s">
        <v>11387</v>
      </c>
      <c r="M555" t="s">
        <v>11388</v>
      </c>
      <c r="N555" t="s">
        <v>255</v>
      </c>
      <c r="O555" t="s">
        <v>309</v>
      </c>
      <c r="P555" t="s">
        <v>11389</v>
      </c>
      <c r="Q555" t="s">
        <v>189</v>
      </c>
      <c r="R555" t="s">
        <v>11390</v>
      </c>
      <c r="S555" t="s">
        <v>11391</v>
      </c>
      <c r="T555" s="4" t="s">
        <v>11392</v>
      </c>
      <c r="U555" t="s">
        <v>9978</v>
      </c>
      <c r="V555" t="s">
        <v>11393</v>
      </c>
      <c r="W555" t="s">
        <v>261</v>
      </c>
      <c r="Y555" t="s">
        <v>158</v>
      </c>
      <c r="Z555" t="s">
        <v>262</v>
      </c>
      <c r="AC555" s="3" t="str">
        <f>HYPERLINK("https://api.typeform.com/responses/files/a5c2ac78049c86687986cd0359a617f60feb7ede91493396fffe967ef708ebaf/IMG_3043.jpg")</f>
        <v>https://api.typeform.com/responses/files/a5c2ac78049c86687986cd0359a617f60feb7ede91493396fffe967ef708ebaf/IMG_3043.jpg</v>
      </c>
      <c r="AD555" t="s">
        <v>118</v>
      </c>
      <c r="AE555" t="s">
        <v>1220</v>
      </c>
      <c r="AF555" t="s">
        <v>197</v>
      </c>
      <c r="AG555">
        <v>0.0</v>
      </c>
      <c r="AH555" s="4" t="s">
        <v>1414</v>
      </c>
      <c r="AI555" t="s">
        <v>121</v>
      </c>
      <c r="AK555" t="s">
        <v>11394</v>
      </c>
      <c r="AL555" t="s">
        <v>967</v>
      </c>
      <c r="AO555" t="s">
        <v>335</v>
      </c>
      <c r="AP555">
        <v>4.0</v>
      </c>
      <c r="AQ555" t="s">
        <v>201</v>
      </c>
      <c r="AR555" t="s">
        <v>11395</v>
      </c>
      <c r="AS555" t="b">
        <v>1</v>
      </c>
      <c r="AT555" t="b">
        <v>1</v>
      </c>
      <c r="AV555">
        <v>3.0</v>
      </c>
      <c r="AW555" t="b">
        <v>1</v>
      </c>
      <c r="AX555" t="s">
        <v>1902</v>
      </c>
      <c r="AY555" s="4" t="s">
        <v>518</v>
      </c>
      <c r="AZ555" t="b">
        <v>1</v>
      </c>
      <c r="BA555" t="b">
        <v>0</v>
      </c>
      <c r="BD555" t="s">
        <v>11396</v>
      </c>
      <c r="BH555" t="s">
        <v>132</v>
      </c>
      <c r="BI555">
        <v>6.0</v>
      </c>
      <c r="BJ555" t="s">
        <v>11397</v>
      </c>
      <c r="BK555">
        <v>5.0</v>
      </c>
      <c r="BL555">
        <v>6.0</v>
      </c>
      <c r="BM555" t="s">
        <v>11398</v>
      </c>
      <c r="BN555">
        <v>5.0</v>
      </c>
      <c r="BO555">
        <v>5.0</v>
      </c>
      <c r="BP555" t="s">
        <v>11399</v>
      </c>
      <c r="BQ555" t="s">
        <v>6813</v>
      </c>
      <c r="BR555" t="s">
        <v>11400</v>
      </c>
      <c r="BS555" t="s">
        <v>11401</v>
      </c>
      <c r="BU555" t="s">
        <v>139</v>
      </c>
      <c r="BV555" s="3" t="str">
        <f>HYPERLINK("https://api.typeform.com/responses/files/4578893c1387ba463cca9b1e3b0a20cc07489de6b55c5d74022d23ea3d812d25/main_qimg_f496cf36d5b137ab8f2890c383d167fb.png")</f>
        <v>https://api.typeform.com/responses/files/4578893c1387ba463cca9b1e3b0a20cc07489de6b55c5d74022d23ea3d812d25/main_qimg_f496cf36d5b137ab8f2890c383d167fb.png</v>
      </c>
      <c r="BW555" t="b">
        <v>1</v>
      </c>
      <c r="BX555" t="s">
        <v>1394</v>
      </c>
      <c r="BY555" t="s">
        <v>140</v>
      </c>
      <c r="CA555" t="s">
        <v>1395</v>
      </c>
      <c r="CD555">
        <v>0.0</v>
      </c>
      <c r="CF555" t="b">
        <v>1</v>
      </c>
      <c r="CG555" t="b">
        <v>1</v>
      </c>
      <c r="CH555" t="s">
        <v>309</v>
      </c>
      <c r="CJ555" t="b">
        <v>1</v>
      </c>
      <c r="CK555" t="b">
        <v>0</v>
      </c>
      <c r="CL555" t="s">
        <v>541</v>
      </c>
      <c r="CO555" t="s">
        <v>309</v>
      </c>
      <c r="CR555" t="b">
        <v>1</v>
      </c>
      <c r="CT555">
        <v>5.0</v>
      </c>
      <c r="CU555">
        <v>1.0</v>
      </c>
      <c r="CX555" t="s">
        <v>3585</v>
      </c>
      <c r="CZ555" s="5">
        <v>44833.779861111114</v>
      </c>
      <c r="DA555" t="s">
        <v>11402</v>
      </c>
    </row>
    <row r="556">
      <c r="A556" t="s">
        <v>98</v>
      </c>
      <c r="D556" t="s">
        <v>11403</v>
      </c>
      <c r="E556" t="s">
        <v>11404</v>
      </c>
      <c r="F556" s="2">
        <v>38639.0</v>
      </c>
      <c r="G556" t="s">
        <v>1360</v>
      </c>
      <c r="I556" s="3" t="str">
        <f>HYPERLINK("https://api.typeform.com/responses/files/9d2b910a2ba0ea9cfc892eae080f775482fd21144bb02a0b0a4fc0ac08db6730/Blank_Document.png")</f>
        <v>https://api.typeform.com/responses/files/9d2b910a2ba0ea9cfc892eae080f775482fd21144bb02a0b0a4fc0ac08db6730/Blank_Document.png</v>
      </c>
      <c r="J556" t="s">
        <v>11405</v>
      </c>
      <c r="K556" t="b">
        <v>0</v>
      </c>
      <c r="M556" t="s">
        <v>11406</v>
      </c>
      <c r="N556" t="s">
        <v>255</v>
      </c>
      <c r="P556" t="s">
        <v>11407</v>
      </c>
      <c r="Q556" t="s">
        <v>152</v>
      </c>
      <c r="R556" t="s">
        <v>11408</v>
      </c>
      <c r="S556" t="s">
        <v>11406</v>
      </c>
      <c r="T556" s="4" t="s">
        <v>11409</v>
      </c>
      <c r="U556" t="s">
        <v>8154</v>
      </c>
      <c r="V556" t="s">
        <v>9955</v>
      </c>
      <c r="W556" t="s">
        <v>261</v>
      </c>
      <c r="Y556" t="s">
        <v>158</v>
      </c>
      <c r="Z556" t="s">
        <v>262</v>
      </c>
      <c r="AC556" s="3" t="str">
        <f>HYPERLINK("https://api.typeform.com/responses/files/a26b256a9f87f46d41b2d0182f7db8758a911ced0ac5876957492574b164d658/Rana_Transcript__1_.pdf")</f>
        <v>https://api.typeform.com/responses/files/a26b256a9f87f46d41b2d0182f7db8758a911ced0ac5876957492574b164d658/Rana_Transcript__1_.pdf</v>
      </c>
      <c r="AD556" t="s">
        <v>118</v>
      </c>
      <c r="AE556" t="s">
        <v>729</v>
      </c>
      <c r="AF556" t="s">
        <v>161</v>
      </c>
      <c r="AG556">
        <v>12.0</v>
      </c>
      <c r="AH556" t="s">
        <v>4927</v>
      </c>
      <c r="AI556" t="s">
        <v>162</v>
      </c>
      <c r="AK556" t="s">
        <v>11410</v>
      </c>
      <c r="AL556" t="s">
        <v>165</v>
      </c>
      <c r="AO556" t="s">
        <v>125</v>
      </c>
      <c r="AP556">
        <v>4.0</v>
      </c>
      <c r="AQ556" t="s">
        <v>201</v>
      </c>
      <c r="AR556" t="s">
        <v>3300</v>
      </c>
      <c r="AS556" t="b">
        <v>1</v>
      </c>
      <c r="AT556" t="b">
        <v>1</v>
      </c>
      <c r="AV556">
        <v>4.0</v>
      </c>
      <c r="AW556" t="b">
        <v>0</v>
      </c>
      <c r="AZ556" t="b">
        <v>1</v>
      </c>
      <c r="BA556" t="b">
        <v>0</v>
      </c>
      <c r="BD556" t="s">
        <v>3300</v>
      </c>
      <c r="BH556" t="s">
        <v>132</v>
      </c>
      <c r="BI556">
        <v>1.0</v>
      </c>
      <c r="BJ556" t="s">
        <v>11411</v>
      </c>
      <c r="BK556">
        <v>3.0</v>
      </c>
      <c r="BL556">
        <v>4.0</v>
      </c>
      <c r="BM556" t="s">
        <v>11412</v>
      </c>
      <c r="BN556">
        <v>2.0</v>
      </c>
      <c r="BO556">
        <v>4.0</v>
      </c>
      <c r="BP556" t="s">
        <v>11413</v>
      </c>
      <c r="BQ556" t="s">
        <v>6753</v>
      </c>
      <c r="BR556" t="s">
        <v>11414</v>
      </c>
      <c r="BS556" t="s">
        <v>11415</v>
      </c>
      <c r="BU556" t="s">
        <v>11416</v>
      </c>
      <c r="BV556" s="3" t="str">
        <f>HYPERLINK("https://api.typeform.com/responses/files/8ad72c07b2f51e7d04a3375c5342562dbe06e63532bdb1b5e8b8a6c1b683f0a6/SPEAKHIRE_Parent.Guardian_Consent_Form__1_.pdf")</f>
        <v>https://api.typeform.com/responses/files/8ad72c07b2f51e7d04a3375c5342562dbe06e63532bdb1b5e8b8a6c1b683f0a6/SPEAKHIRE_Parent.Guardian_Consent_Form__1_.pdf</v>
      </c>
      <c r="BW556" t="b">
        <v>1</v>
      </c>
      <c r="BX556" t="s">
        <v>1394</v>
      </c>
      <c r="BY556" t="s">
        <v>140</v>
      </c>
      <c r="CA556" t="s">
        <v>1395</v>
      </c>
      <c r="CD556">
        <v>0.0</v>
      </c>
      <c r="CF556" t="b">
        <v>0</v>
      </c>
      <c r="CG556" t="b">
        <v>0</v>
      </c>
      <c r="CH556" t="s">
        <v>705</v>
      </c>
      <c r="CJ556" t="b">
        <v>0</v>
      </c>
      <c r="CK556" t="b">
        <v>0</v>
      </c>
      <c r="CL556" t="s">
        <v>413</v>
      </c>
      <c r="CO556" t="s">
        <v>124</v>
      </c>
      <c r="CR556" t="b">
        <v>1</v>
      </c>
      <c r="CT556">
        <v>0.0</v>
      </c>
      <c r="CU556">
        <v>0.0</v>
      </c>
      <c r="CX556" t="s">
        <v>11417</v>
      </c>
      <c r="CZ556" s="5">
        <v>44838.605416666665</v>
      </c>
      <c r="DA556" t="s">
        <v>11418</v>
      </c>
    </row>
    <row r="557">
      <c r="A557" t="s">
        <v>98</v>
      </c>
      <c r="D557" t="s">
        <v>11419</v>
      </c>
      <c r="E557" t="s">
        <v>11420</v>
      </c>
      <c r="F557" s="2">
        <v>38692.0</v>
      </c>
      <c r="G557" t="s">
        <v>1466</v>
      </c>
      <c r="I557" s="3" t="str">
        <f>HYPERLINK("https://api.typeform.com/responses/files/a41491a3ef9d2b484cb159207d5fe3146ce1025118fbca104998f70634ea6861/9944A600_A6F8_4C25_85CF_C5B304ABE0E9.jpeg")</f>
        <v>https://api.typeform.com/responses/files/a41491a3ef9d2b484cb159207d5fe3146ce1025118fbca104998f70634ea6861/9944A600_A6F8_4C25_85CF_C5B304ABE0E9.jpeg</v>
      </c>
      <c r="J557" t="s">
        <v>11421</v>
      </c>
      <c r="K557" t="b">
        <v>1</v>
      </c>
      <c r="L557" s="4" t="s">
        <v>11422</v>
      </c>
      <c r="M557" t="s">
        <v>11423</v>
      </c>
      <c r="N557" t="s">
        <v>255</v>
      </c>
      <c r="O557" t="s">
        <v>11424</v>
      </c>
      <c r="P557" t="s">
        <v>11425</v>
      </c>
      <c r="Q557" t="s">
        <v>189</v>
      </c>
      <c r="R557" t="s">
        <v>11421</v>
      </c>
      <c r="S557" t="s">
        <v>11423</v>
      </c>
      <c r="T557" s="4" t="s">
        <v>11426</v>
      </c>
      <c r="U557" t="s">
        <v>9978</v>
      </c>
      <c r="V557" t="s">
        <v>8174</v>
      </c>
      <c r="W557" t="s">
        <v>261</v>
      </c>
      <c r="Y557" t="s">
        <v>158</v>
      </c>
      <c r="Z557" t="s">
        <v>262</v>
      </c>
      <c r="AC557" s="3" t="str">
        <f>HYPERLINK("https://api.typeform.com/responses/files/10b330a10376f400d8d5919b38b70d678a310b85d0b4acb7a5cbdb0f010fa8ed/153155C1_1374_46D0_9978_9935A5CA4E90.jpeg")</f>
        <v>https://api.typeform.com/responses/files/10b330a10376f400d8d5919b38b70d678a310b85d0b4acb7a5cbdb0f010fa8ed/153155C1_1374_46D0_9978_9935A5CA4E90.jpeg</v>
      </c>
      <c r="AD557" t="s">
        <v>118</v>
      </c>
      <c r="AE557" t="s">
        <v>1220</v>
      </c>
      <c r="AF557" t="s">
        <v>11427</v>
      </c>
      <c r="AG557">
        <v>0.0</v>
      </c>
      <c r="AH557" t="s">
        <v>9230</v>
      </c>
      <c r="AI557" t="s">
        <v>121</v>
      </c>
      <c r="AK557" t="s">
        <v>179</v>
      </c>
      <c r="AL557" t="s">
        <v>199</v>
      </c>
      <c r="AO557" t="s">
        <v>125</v>
      </c>
      <c r="AP557">
        <v>7.0</v>
      </c>
      <c r="AQ557" t="s">
        <v>5671</v>
      </c>
      <c r="AR557" t="s">
        <v>11428</v>
      </c>
      <c r="AS557" t="b">
        <v>0</v>
      </c>
      <c r="AV557">
        <v>7.0</v>
      </c>
      <c r="AW557" t="b">
        <v>1</v>
      </c>
      <c r="AX557" t="s">
        <v>1902</v>
      </c>
      <c r="AY557" t="s">
        <v>1430</v>
      </c>
      <c r="AZ557" t="b">
        <v>1</v>
      </c>
      <c r="BA557" t="b">
        <v>1</v>
      </c>
      <c r="BB557" t="b">
        <v>0</v>
      </c>
      <c r="BC557" t="s">
        <v>11429</v>
      </c>
      <c r="BH557" t="s">
        <v>132</v>
      </c>
      <c r="BI557">
        <v>1.0</v>
      </c>
      <c r="BJ557" t="s">
        <v>620</v>
      </c>
      <c r="BK557">
        <v>4.0</v>
      </c>
      <c r="BL557">
        <v>4.0</v>
      </c>
      <c r="BM557" t="s">
        <v>620</v>
      </c>
      <c r="BN557">
        <v>5.0</v>
      </c>
      <c r="BO557">
        <v>5.0</v>
      </c>
      <c r="BP557" t="s">
        <v>620</v>
      </c>
      <c r="BQ557" t="s">
        <v>11430</v>
      </c>
      <c r="BR557" t="s">
        <v>620</v>
      </c>
      <c r="BS557" t="s">
        <v>620</v>
      </c>
      <c r="BU557" t="s">
        <v>620</v>
      </c>
      <c r="BV557" s="3" t="str">
        <f>HYPERLINK("https://api.typeform.com/responses/files/1b1e0f022182b849b72cc91fe6ed31cf7b302b89d019051fce7cc67c9244c478/image.jpg")</f>
        <v>https://api.typeform.com/responses/files/1b1e0f022182b849b72cc91fe6ed31cf7b302b89d019051fce7cc67c9244c478/image.jpg</v>
      </c>
      <c r="BW557" t="b">
        <v>1</v>
      </c>
      <c r="BX557" t="s">
        <v>1394</v>
      </c>
      <c r="BY557" t="s">
        <v>140</v>
      </c>
      <c r="CA557" t="s">
        <v>1395</v>
      </c>
      <c r="CD557">
        <v>0.0</v>
      </c>
      <c r="CF557" t="b">
        <v>1</v>
      </c>
      <c r="CG557" t="b">
        <v>1</v>
      </c>
      <c r="CH557" t="s">
        <v>705</v>
      </c>
      <c r="CJ557" t="b">
        <v>1</v>
      </c>
      <c r="CK557" t="b">
        <v>1</v>
      </c>
      <c r="CL557" t="s">
        <v>541</v>
      </c>
      <c r="CO557" t="s">
        <v>1635</v>
      </c>
      <c r="CR557" t="b">
        <v>1</v>
      </c>
      <c r="CT557">
        <v>0.0</v>
      </c>
      <c r="CU557">
        <v>0.0</v>
      </c>
      <c r="CX557" t="s">
        <v>620</v>
      </c>
      <c r="CZ557" s="5">
        <v>44838.6072337963</v>
      </c>
      <c r="DA557" t="s">
        <v>11431</v>
      </c>
    </row>
    <row r="558">
      <c r="A558" t="s">
        <v>98</v>
      </c>
      <c r="D558" t="s">
        <v>11432</v>
      </c>
      <c r="E558" t="s">
        <v>11433</v>
      </c>
      <c r="F558" s="2">
        <v>39043.0</v>
      </c>
      <c r="G558" t="s">
        <v>1466</v>
      </c>
      <c r="I558" s="3" t="str">
        <f>HYPERLINK("https://api.typeform.com/responses/files/d3f70200fa217c3d6f22f0da0e5c3c14fe11d0a244bca2aef039c609336f193b/20220929_102719.jpg")</f>
        <v>https://api.typeform.com/responses/files/d3f70200fa217c3d6f22f0da0e5c3c14fe11d0a244bca2aef039c609336f193b/20220929_102719.jpg</v>
      </c>
      <c r="J558" t="s">
        <v>11434</v>
      </c>
      <c r="K558" t="b">
        <v>1</v>
      </c>
      <c r="L558" s="4" t="s">
        <v>11435</v>
      </c>
      <c r="M558" t="s">
        <v>11436</v>
      </c>
      <c r="N558" t="s">
        <v>255</v>
      </c>
      <c r="O558" t="s">
        <v>11437</v>
      </c>
      <c r="P558" t="s">
        <v>11438</v>
      </c>
      <c r="Q558" t="s">
        <v>189</v>
      </c>
      <c r="R558" t="s">
        <v>11439</v>
      </c>
      <c r="S558" t="s">
        <v>11436</v>
      </c>
      <c r="T558" s="4" t="s">
        <v>11440</v>
      </c>
      <c r="U558" t="s">
        <v>9871</v>
      </c>
      <c r="V558" t="s">
        <v>9229</v>
      </c>
      <c r="W558" t="s">
        <v>261</v>
      </c>
      <c r="Y558" t="s">
        <v>158</v>
      </c>
      <c r="Z558" t="s">
        <v>262</v>
      </c>
      <c r="AC558" s="3" t="str">
        <f>HYPERLINK("https://api.typeform.com/responses/files/ad2df687d1c06ec21ff0706229fa70df31c28669e9ea80a422ffde3d15b97999/10_Transcript__dragged_.pdf")</f>
        <v>https://api.typeform.com/responses/files/ad2df687d1c06ec21ff0706229fa70df31c28669e9ea80a422ffde3d15b97999/10_Transcript__dragged_.pdf</v>
      </c>
      <c r="AD558" t="s">
        <v>118</v>
      </c>
      <c r="AE558" t="s">
        <v>1220</v>
      </c>
      <c r="AF558" t="s">
        <v>11441</v>
      </c>
      <c r="AG558">
        <v>0.0</v>
      </c>
      <c r="AH558" t="s">
        <v>11442</v>
      </c>
      <c r="AI558" t="s">
        <v>121</v>
      </c>
      <c r="AK558" t="s">
        <v>11443</v>
      </c>
      <c r="AL558" t="s">
        <v>967</v>
      </c>
      <c r="AO558" t="s">
        <v>335</v>
      </c>
      <c r="AP558">
        <v>6.0</v>
      </c>
      <c r="AQ558" t="s">
        <v>1520</v>
      </c>
      <c r="AR558" t="s">
        <v>11444</v>
      </c>
      <c r="AS558" t="b">
        <v>1</v>
      </c>
      <c r="AT558" t="b">
        <v>0</v>
      </c>
      <c r="AV558">
        <v>7.0</v>
      </c>
      <c r="AW558" t="b">
        <v>1</v>
      </c>
      <c r="AX558" t="s">
        <v>1902</v>
      </c>
      <c r="AY558" s="4" t="s">
        <v>518</v>
      </c>
      <c r="AZ558" t="b">
        <v>1</v>
      </c>
      <c r="BA558" t="b">
        <v>1</v>
      </c>
      <c r="BB558" t="b">
        <v>0</v>
      </c>
      <c r="BC558" t="s">
        <v>11445</v>
      </c>
      <c r="BH558" t="s">
        <v>132</v>
      </c>
      <c r="BI558">
        <v>2.0</v>
      </c>
      <c r="BJ558" t="s">
        <v>11446</v>
      </c>
      <c r="BK558">
        <v>4.0</v>
      </c>
      <c r="BL558">
        <v>7.0</v>
      </c>
      <c r="BM558" t="s">
        <v>11447</v>
      </c>
      <c r="BN558">
        <v>7.0</v>
      </c>
      <c r="BO558">
        <v>7.0</v>
      </c>
      <c r="BP558" t="s">
        <v>11448</v>
      </c>
      <c r="BQ558" t="s">
        <v>11449</v>
      </c>
      <c r="BR558" t="s">
        <v>11450</v>
      </c>
      <c r="BS558" t="s">
        <v>11451</v>
      </c>
      <c r="BU558" t="s">
        <v>11452</v>
      </c>
      <c r="BV558" s="3" t="str">
        <f>HYPERLINK("https://api.typeform.com/responses/files/8adbe2f355869eb4ba3b1cad57197a4a72084d5c4858ff1ec3e5cc2bae90daf2/Accessing_TeachHUB___Zoom.pdf")</f>
        <v>https://api.typeform.com/responses/files/8adbe2f355869eb4ba3b1cad57197a4a72084d5c4858ff1ec3e5cc2bae90daf2/Accessing_TeachHUB___Zoom.pdf</v>
      </c>
      <c r="BW558" t="b">
        <v>1</v>
      </c>
      <c r="BX558" t="s">
        <v>1394</v>
      </c>
      <c r="BY558" t="s">
        <v>140</v>
      </c>
      <c r="CA558" t="s">
        <v>1395</v>
      </c>
      <c r="CD558">
        <v>0.0</v>
      </c>
      <c r="CF558" t="b">
        <v>1</v>
      </c>
      <c r="CG558" t="b">
        <v>1</v>
      </c>
      <c r="CH558" t="s">
        <v>11453</v>
      </c>
      <c r="CJ558" t="b">
        <v>0</v>
      </c>
      <c r="CK558" t="b">
        <v>0</v>
      </c>
      <c r="CL558" t="s">
        <v>2301</v>
      </c>
      <c r="CO558" t="s">
        <v>1635</v>
      </c>
      <c r="CR558" t="b">
        <v>1</v>
      </c>
      <c r="CT558">
        <v>0.0</v>
      </c>
      <c r="CU558">
        <v>0.0</v>
      </c>
      <c r="CX558" t="s">
        <v>679</v>
      </c>
      <c r="CZ558" s="5">
        <v>44838.60891203704</v>
      </c>
      <c r="DA558" t="s">
        <v>11454</v>
      </c>
    </row>
    <row r="559">
      <c r="A559" t="s">
        <v>98</v>
      </c>
      <c r="D559" t="s">
        <v>11455</v>
      </c>
      <c r="E559" t="s">
        <v>7663</v>
      </c>
      <c r="F559" s="2">
        <v>39036.0</v>
      </c>
      <c r="G559" t="s">
        <v>1360</v>
      </c>
      <c r="I559" s="3" t="str">
        <f>HYPERLINK("https://api.typeform.com/responses/files/910689ef3cab73ab205ff8442abdf174b0d7e26cc88e8f38884f8eb2e6610e61/Untitled_document.pdf")</f>
        <v>https://api.typeform.com/responses/files/910689ef3cab73ab205ff8442abdf174b0d7e26cc88e8f38884f8eb2e6610e61/Untitled_document.pdf</v>
      </c>
      <c r="J559" t="s">
        <v>11456</v>
      </c>
      <c r="K559" t="b">
        <v>1</v>
      </c>
      <c r="L559" s="4" t="s">
        <v>11457</v>
      </c>
      <c r="M559" t="s">
        <v>11458</v>
      </c>
      <c r="N559" t="s">
        <v>255</v>
      </c>
      <c r="O559" t="s">
        <v>309</v>
      </c>
      <c r="P559" t="s">
        <v>11459</v>
      </c>
      <c r="Q559" t="s">
        <v>189</v>
      </c>
      <c r="R559" t="s">
        <v>11460</v>
      </c>
      <c r="S559" t="s">
        <v>11461</v>
      </c>
      <c r="T559" s="4" t="s">
        <v>11462</v>
      </c>
      <c r="U559" t="s">
        <v>9618</v>
      </c>
      <c r="V559" t="s">
        <v>11463</v>
      </c>
      <c r="W559" t="s">
        <v>261</v>
      </c>
      <c r="Y559" t="s">
        <v>158</v>
      </c>
      <c r="Z559" t="s">
        <v>262</v>
      </c>
      <c r="AC559" s="3" t="str">
        <f>HYPERLINK("https://api.typeform.com/responses/files/50e95e17f269fd2116ea2ec988116a6c3b801746e3a0ff28fab3199c59e1c67a/Untitled_document.pdf")</f>
        <v>https://api.typeform.com/responses/files/50e95e17f269fd2116ea2ec988116a6c3b801746e3a0ff28fab3199c59e1c67a/Untitled_document.pdf</v>
      </c>
      <c r="AD559" t="s">
        <v>118</v>
      </c>
      <c r="AE559" t="s">
        <v>729</v>
      </c>
      <c r="AF559" t="s">
        <v>197</v>
      </c>
      <c r="AG559">
        <v>4.0</v>
      </c>
      <c r="AH559" s="4" t="s">
        <v>340</v>
      </c>
      <c r="AI559" t="s">
        <v>121</v>
      </c>
      <c r="AK559" t="s">
        <v>139</v>
      </c>
      <c r="AL559" t="s">
        <v>1043</v>
      </c>
      <c r="AO559" t="s">
        <v>125</v>
      </c>
      <c r="AP559">
        <v>7.0</v>
      </c>
      <c r="AQ559" t="s">
        <v>126</v>
      </c>
      <c r="AR559" t="s">
        <v>11464</v>
      </c>
      <c r="AS559" t="b">
        <v>1</v>
      </c>
      <c r="AT559" t="b">
        <v>1</v>
      </c>
      <c r="AV559">
        <v>5.0</v>
      </c>
      <c r="AW559" t="b">
        <v>1</v>
      </c>
      <c r="AX559" t="s">
        <v>1902</v>
      </c>
      <c r="AY559" s="4" t="s">
        <v>518</v>
      </c>
      <c r="AZ559" t="b">
        <v>1</v>
      </c>
      <c r="BA559" t="b">
        <v>0</v>
      </c>
      <c r="BD559" t="s">
        <v>11465</v>
      </c>
      <c r="BH559" t="s">
        <v>132</v>
      </c>
      <c r="BI559">
        <v>7.0</v>
      </c>
      <c r="BJ559" t="s">
        <v>11466</v>
      </c>
      <c r="BK559">
        <v>6.0</v>
      </c>
      <c r="BL559">
        <v>7.0</v>
      </c>
      <c r="BM559" t="s">
        <v>11467</v>
      </c>
      <c r="BN559">
        <v>6.0</v>
      </c>
      <c r="BO559">
        <v>5.0</v>
      </c>
      <c r="BP559" t="s">
        <v>11468</v>
      </c>
      <c r="BQ559" t="s">
        <v>7711</v>
      </c>
      <c r="BR559" t="s">
        <v>11469</v>
      </c>
      <c r="BS559" t="s">
        <v>11470</v>
      </c>
      <c r="BU559" t="s">
        <v>139</v>
      </c>
      <c r="BV559" s="3" t="str">
        <f>HYPERLINK("https://api.typeform.com/responses/files/3b10d6e10dc8dca219865aafea5fe9ee1defc504baf2fe3507ad7a2857590dd4/Untitled_document.pdf")</f>
        <v>https://api.typeform.com/responses/files/3b10d6e10dc8dca219865aafea5fe9ee1defc504baf2fe3507ad7a2857590dd4/Untitled_document.pdf</v>
      </c>
      <c r="BW559" t="b">
        <v>1</v>
      </c>
      <c r="BX559" t="s">
        <v>1394</v>
      </c>
      <c r="BY559" t="s">
        <v>140</v>
      </c>
      <c r="CA559" t="s">
        <v>1395</v>
      </c>
      <c r="CD559">
        <v>0.0</v>
      </c>
      <c r="CF559" t="b">
        <v>1</v>
      </c>
      <c r="CG559" t="b">
        <v>1</v>
      </c>
      <c r="CH559" t="s">
        <v>2553</v>
      </c>
      <c r="CJ559" t="b">
        <v>1</v>
      </c>
      <c r="CK559" t="b">
        <v>1</v>
      </c>
      <c r="CL559" t="s">
        <v>541</v>
      </c>
      <c r="CO559" t="s">
        <v>11471</v>
      </c>
      <c r="CR559" t="b">
        <v>1</v>
      </c>
      <c r="CT559">
        <v>0.0</v>
      </c>
      <c r="CU559">
        <v>1.0</v>
      </c>
      <c r="CX559" t="s">
        <v>4637</v>
      </c>
      <c r="CZ559" s="5">
        <v>44838.616423611114</v>
      </c>
      <c r="DA559" t="s">
        <v>11472</v>
      </c>
    </row>
    <row r="560">
      <c r="A560" t="s">
        <v>98</v>
      </c>
      <c r="D560" t="s">
        <v>11473</v>
      </c>
      <c r="E560" t="s">
        <v>10211</v>
      </c>
      <c r="F560" s="2">
        <v>38957.0</v>
      </c>
      <c r="G560" t="s">
        <v>1360</v>
      </c>
      <c r="I560" s="3" t="str">
        <f>HYPERLINK("https://api.typeform.com/responses/files/b537f875f45a54ac1d4558d1ba659d5f9b336662261b6a762bdb7d8baf0e3a1d/IMG_5031__1_.jpg")</f>
        <v>https://api.typeform.com/responses/files/b537f875f45a54ac1d4558d1ba659d5f9b336662261b6a762bdb7d8baf0e3a1d/IMG_5031__1_.jpg</v>
      </c>
      <c r="J560" t="s">
        <v>11474</v>
      </c>
      <c r="K560" t="b">
        <v>1</v>
      </c>
      <c r="L560" s="4" t="s">
        <v>11475</v>
      </c>
      <c r="M560" t="s">
        <v>11476</v>
      </c>
      <c r="N560" t="s">
        <v>105</v>
      </c>
      <c r="O560" t="s">
        <v>990</v>
      </c>
      <c r="P560" t="s">
        <v>11477</v>
      </c>
      <c r="Q560" t="s">
        <v>189</v>
      </c>
      <c r="R560" t="s">
        <v>11478</v>
      </c>
      <c r="S560" t="s">
        <v>11479</v>
      </c>
      <c r="T560" s="4" t="s">
        <v>11480</v>
      </c>
      <c r="U560" t="s">
        <v>11481</v>
      </c>
      <c r="V560" t="s">
        <v>11482</v>
      </c>
      <c r="W560" t="s">
        <v>261</v>
      </c>
      <c r="Y560" t="s">
        <v>158</v>
      </c>
      <c r="Z560" t="s">
        <v>262</v>
      </c>
      <c r="AC560" s="3" t="str">
        <f>HYPERLINK("https://api.typeform.com/responses/files/7812dddb638ff3ab6064eed045f105dd15614a0f5ae5aaa4cd305e9e54cde465/10_Transcript__dragged__3.pdf")</f>
        <v>https://api.typeform.com/responses/files/7812dddb638ff3ab6064eed045f105dd15614a0f5ae5aaa4cd305e9e54cde465/10_Transcript__dragged__3.pdf</v>
      </c>
      <c r="AD560" t="s">
        <v>118</v>
      </c>
      <c r="AE560" t="s">
        <v>1220</v>
      </c>
      <c r="AF560" t="s">
        <v>197</v>
      </c>
      <c r="AG560">
        <v>0.0</v>
      </c>
      <c r="AH560" s="4" t="s">
        <v>4262</v>
      </c>
      <c r="AI560" t="s">
        <v>121</v>
      </c>
      <c r="AK560" t="s">
        <v>179</v>
      </c>
      <c r="AL560" t="s">
        <v>1828</v>
      </c>
      <c r="AO560" t="s">
        <v>125</v>
      </c>
      <c r="AP560">
        <v>4.0</v>
      </c>
      <c r="AQ560" t="s">
        <v>126</v>
      </c>
      <c r="AR560" t="s">
        <v>11483</v>
      </c>
      <c r="AS560" t="b">
        <v>1</v>
      </c>
      <c r="AT560" t="b">
        <v>1</v>
      </c>
      <c r="AV560">
        <v>5.0</v>
      </c>
      <c r="AW560" t="b">
        <v>0</v>
      </c>
      <c r="AZ560" t="b">
        <v>1</v>
      </c>
      <c r="BA560" t="b">
        <v>0</v>
      </c>
      <c r="BD560" t="s">
        <v>11484</v>
      </c>
      <c r="BH560" t="s">
        <v>132</v>
      </c>
      <c r="BI560">
        <v>2.0</v>
      </c>
      <c r="BJ560" t="s">
        <v>11485</v>
      </c>
      <c r="BK560">
        <v>2.0</v>
      </c>
      <c r="BL560">
        <v>6.0</v>
      </c>
      <c r="BM560" t="s">
        <v>11486</v>
      </c>
      <c r="BN560">
        <v>3.0</v>
      </c>
      <c r="BO560">
        <v>4.0</v>
      </c>
      <c r="BP560" t="s">
        <v>11487</v>
      </c>
      <c r="BQ560" t="s">
        <v>1258</v>
      </c>
      <c r="BR560" t="s">
        <v>11488</v>
      </c>
      <c r="BS560" t="s">
        <v>11489</v>
      </c>
      <c r="BU560" t="s">
        <v>258</v>
      </c>
      <c r="BV560" s="3" t="str">
        <f>HYPERLINK("https://api.typeform.com/responses/files/8282a32315b48fbf643e21c6d2384db46f91a093565ea67bc2122f05e453f50b/unnamed.png")</f>
        <v>https://api.typeform.com/responses/files/8282a32315b48fbf643e21c6d2384db46f91a093565ea67bc2122f05e453f50b/unnamed.png</v>
      </c>
      <c r="BW560" t="b">
        <v>1</v>
      </c>
      <c r="BX560" t="s">
        <v>1394</v>
      </c>
      <c r="BY560" t="s">
        <v>140</v>
      </c>
      <c r="CA560" t="s">
        <v>1395</v>
      </c>
      <c r="CD560">
        <v>0.0</v>
      </c>
      <c r="CF560" t="b">
        <v>0</v>
      </c>
      <c r="CG560" t="b">
        <v>0</v>
      </c>
      <c r="CH560" t="s">
        <v>11490</v>
      </c>
      <c r="CJ560" t="b">
        <v>1</v>
      </c>
      <c r="CK560" t="b">
        <v>0</v>
      </c>
      <c r="CL560" t="s">
        <v>541</v>
      </c>
      <c r="CM560" t="s">
        <v>198</v>
      </c>
      <c r="CO560" t="s">
        <v>1248</v>
      </c>
      <c r="CR560" t="b">
        <v>1</v>
      </c>
      <c r="CT560">
        <v>0.0</v>
      </c>
      <c r="CU560">
        <v>3.0</v>
      </c>
      <c r="CX560" t="s">
        <v>620</v>
      </c>
      <c r="CZ560" s="5">
        <v>44838.62335648148</v>
      </c>
      <c r="DA560" t="s">
        <v>11491</v>
      </c>
    </row>
    <row r="561">
      <c r="A561" t="s">
        <v>98</v>
      </c>
      <c r="D561" t="s">
        <v>11492</v>
      </c>
      <c r="E561" t="s">
        <v>4209</v>
      </c>
      <c r="F561" s="2">
        <v>38840.0</v>
      </c>
      <c r="G561" t="s">
        <v>1360</v>
      </c>
      <c r="I561" s="3" t="str">
        <f>HYPERLINK("https://api.typeform.com/responses/files/ad5721e32e4123b3cad751ef0a19391c6810f2fb54dc0424e27c051459378350/IMG_6554.jpeg")</f>
        <v>https://api.typeform.com/responses/files/ad5721e32e4123b3cad751ef0a19391c6810f2fb54dc0424e27c051459378350/IMG_6554.jpeg</v>
      </c>
      <c r="J561" t="s">
        <v>11493</v>
      </c>
      <c r="K561" t="b">
        <v>1</v>
      </c>
      <c r="L561" s="4" t="s">
        <v>11494</v>
      </c>
      <c r="M561" t="s">
        <v>11495</v>
      </c>
      <c r="N561" t="s">
        <v>149</v>
      </c>
      <c r="O561" t="s">
        <v>11496</v>
      </c>
      <c r="P561" t="s">
        <v>11497</v>
      </c>
      <c r="Q561" t="s">
        <v>189</v>
      </c>
      <c r="R561" t="s">
        <v>11498</v>
      </c>
      <c r="S561" t="s">
        <v>11495</v>
      </c>
      <c r="T561" s="4" t="s">
        <v>11499</v>
      </c>
      <c r="U561" t="s">
        <v>9978</v>
      </c>
      <c r="V561" t="s">
        <v>11500</v>
      </c>
      <c r="W561" t="s">
        <v>261</v>
      </c>
      <c r="Y561" t="s">
        <v>158</v>
      </c>
      <c r="Z561" t="s">
        <v>262</v>
      </c>
      <c r="AC561" s="3" t="str">
        <f>HYPERLINK("https://api.typeform.com/responses/files/40406b19f9b3ef388ce8b85f64588baa247d4151fc895ae27f508a53bf3a42e1/IMG_9048.jpg")</f>
        <v>https://api.typeform.com/responses/files/40406b19f9b3ef388ce8b85f64588baa247d4151fc895ae27f508a53bf3a42e1/IMG_9048.jpg</v>
      </c>
      <c r="AD561" t="s">
        <v>118</v>
      </c>
      <c r="AE561" t="s">
        <v>781</v>
      </c>
      <c r="AF561" t="s">
        <v>197</v>
      </c>
      <c r="AG561">
        <v>16.0</v>
      </c>
      <c r="AH561" s="4" t="s">
        <v>4230</v>
      </c>
      <c r="AI561" t="s">
        <v>121</v>
      </c>
      <c r="AK561" t="s">
        <v>11501</v>
      </c>
      <c r="AL561" t="s">
        <v>11502</v>
      </c>
      <c r="AO561" t="s">
        <v>335</v>
      </c>
      <c r="AP561">
        <v>3.0</v>
      </c>
      <c r="AQ561" t="s">
        <v>303</v>
      </c>
      <c r="AR561" t="s">
        <v>11503</v>
      </c>
      <c r="AS561" t="b">
        <v>1</v>
      </c>
      <c r="AT561" t="b">
        <v>0</v>
      </c>
      <c r="AV561">
        <v>3.0</v>
      </c>
      <c r="AW561" t="b">
        <v>0</v>
      </c>
      <c r="AZ561" t="b">
        <v>0</v>
      </c>
      <c r="BA561" t="b">
        <v>1</v>
      </c>
      <c r="BB561" t="b">
        <v>0</v>
      </c>
      <c r="BC561" t="s">
        <v>11504</v>
      </c>
      <c r="BH561" t="s">
        <v>132</v>
      </c>
      <c r="BI561">
        <v>1.0</v>
      </c>
      <c r="BJ561" t="s">
        <v>9274</v>
      </c>
      <c r="BK561">
        <v>3.0</v>
      </c>
      <c r="BL561">
        <v>4.0</v>
      </c>
      <c r="BM561" t="s">
        <v>11505</v>
      </c>
      <c r="BN561">
        <v>3.0</v>
      </c>
      <c r="BO561">
        <v>3.0</v>
      </c>
      <c r="BP561" t="s">
        <v>11506</v>
      </c>
      <c r="BQ561" t="s">
        <v>5233</v>
      </c>
      <c r="BR561" t="s">
        <v>11507</v>
      </c>
      <c r="BS561" t="s">
        <v>11508</v>
      </c>
      <c r="BU561" t="s">
        <v>606</v>
      </c>
      <c r="BV561" s="3" t="str">
        <f>HYPERLINK("https://api.typeform.com/responses/files/f1ca5bd30e8265a418ce180bbc4b934a0f2b526012a5fb51d5f23859561cab3b/IMG_9048.jpg")</f>
        <v>https://api.typeform.com/responses/files/f1ca5bd30e8265a418ce180bbc4b934a0f2b526012a5fb51d5f23859561cab3b/IMG_9048.jpg</v>
      </c>
      <c r="BW561" t="b">
        <v>1</v>
      </c>
      <c r="BX561" t="s">
        <v>1394</v>
      </c>
      <c r="BY561" t="s">
        <v>140</v>
      </c>
      <c r="CA561" t="s">
        <v>1395</v>
      </c>
      <c r="CD561">
        <v>0.0</v>
      </c>
      <c r="CF561" t="b">
        <v>0</v>
      </c>
      <c r="CG561" t="b">
        <v>1</v>
      </c>
      <c r="CH561" t="s">
        <v>309</v>
      </c>
      <c r="CJ561" t="b">
        <v>1</v>
      </c>
      <c r="CK561" t="b">
        <v>0</v>
      </c>
      <c r="CL561" t="s">
        <v>387</v>
      </c>
      <c r="CM561" t="s">
        <v>541</v>
      </c>
      <c r="CO561" t="s">
        <v>1688</v>
      </c>
      <c r="CR561" t="b">
        <v>1</v>
      </c>
      <c r="CT561">
        <v>0.0</v>
      </c>
      <c r="CU561">
        <v>0.0</v>
      </c>
      <c r="CX561" t="s">
        <v>9274</v>
      </c>
      <c r="CZ561" s="5">
        <v>44838.62712962963</v>
      </c>
      <c r="DA561" t="s">
        <v>11509</v>
      </c>
    </row>
    <row r="562">
      <c r="A562" t="s">
        <v>98</v>
      </c>
      <c r="D562" t="s">
        <v>11510</v>
      </c>
      <c r="E562" t="s">
        <v>11511</v>
      </c>
      <c r="F562" s="2">
        <v>38637.0</v>
      </c>
      <c r="G562" t="s">
        <v>1360</v>
      </c>
      <c r="I562" s="3" t="str">
        <f>HYPERLINK("https://api.typeform.com/responses/files/465dc6bbefde9c0c82dcf5d09996312c6fe2fc463e76be13f00025edd3323f77/IMG_20221004_104015.jpg")</f>
        <v>https://api.typeform.com/responses/files/465dc6bbefde9c0c82dcf5d09996312c6fe2fc463e76be13f00025edd3323f77/IMG_20221004_104015.jpg</v>
      </c>
      <c r="J562" t="s">
        <v>11512</v>
      </c>
      <c r="K562" t="b">
        <v>1</v>
      </c>
      <c r="L562" s="4" t="s">
        <v>11513</v>
      </c>
      <c r="M562" t="s">
        <v>11514</v>
      </c>
      <c r="N562" t="s">
        <v>255</v>
      </c>
      <c r="O562" t="s">
        <v>11515</v>
      </c>
      <c r="P562" t="s">
        <v>11516</v>
      </c>
      <c r="Q562" t="s">
        <v>189</v>
      </c>
      <c r="R562" t="s">
        <v>11517</v>
      </c>
      <c r="S562" t="s">
        <v>11514</v>
      </c>
      <c r="T562" s="4" t="s">
        <v>11518</v>
      </c>
      <c r="U562" t="s">
        <v>9618</v>
      </c>
      <c r="V562" t="s">
        <v>9229</v>
      </c>
      <c r="W562" t="s">
        <v>261</v>
      </c>
      <c r="Y562" t="s">
        <v>158</v>
      </c>
      <c r="Z562" t="s">
        <v>262</v>
      </c>
      <c r="AC562" s="3" t="str">
        <f>HYPERLINK("https://api.typeform.com/responses/files/472fc7885d61fdd51bff560cc0e30332fc37ff0add1bd55639c64f8eb3cf8bcb/IMG_20221004_104754.jpg")</f>
        <v>https://api.typeform.com/responses/files/472fc7885d61fdd51bff560cc0e30332fc37ff0add1bd55639c64f8eb3cf8bcb/IMG_20221004_104754.jpg</v>
      </c>
      <c r="AD562" t="s">
        <v>118</v>
      </c>
      <c r="AE562" t="s">
        <v>1220</v>
      </c>
      <c r="AF562" t="s">
        <v>197</v>
      </c>
      <c r="AG562">
        <v>0.0</v>
      </c>
      <c r="AH562" s="4" t="s">
        <v>1414</v>
      </c>
      <c r="AI562" t="s">
        <v>121</v>
      </c>
      <c r="AK562" t="s">
        <v>139</v>
      </c>
      <c r="AL562" t="s">
        <v>10200</v>
      </c>
      <c r="AO562" t="s">
        <v>125</v>
      </c>
      <c r="AP562">
        <v>4.0</v>
      </c>
      <c r="AQ562" t="s">
        <v>201</v>
      </c>
      <c r="AR562" t="s">
        <v>1708</v>
      </c>
      <c r="AS562" t="b">
        <v>1</v>
      </c>
      <c r="AT562" t="b">
        <v>0</v>
      </c>
      <c r="AV562">
        <v>5.0</v>
      </c>
      <c r="AW562" t="b">
        <v>1</v>
      </c>
      <c r="AX562" t="s">
        <v>1902</v>
      </c>
      <c r="AY562" s="4" t="s">
        <v>518</v>
      </c>
      <c r="AZ562" t="b">
        <v>0</v>
      </c>
      <c r="BA562" t="b">
        <v>0</v>
      </c>
      <c r="BD562" t="s">
        <v>1708</v>
      </c>
      <c r="BH562" t="s">
        <v>132</v>
      </c>
      <c r="BI562">
        <v>3.0</v>
      </c>
      <c r="BJ562" t="s">
        <v>11519</v>
      </c>
      <c r="BK562">
        <v>1.0</v>
      </c>
      <c r="BL562">
        <v>4.0</v>
      </c>
      <c r="BM562" t="s">
        <v>11520</v>
      </c>
      <c r="BN562">
        <v>2.0</v>
      </c>
      <c r="BO562">
        <v>2.0</v>
      </c>
      <c r="BP562" t="s">
        <v>11521</v>
      </c>
      <c r="BQ562" t="s">
        <v>1931</v>
      </c>
      <c r="BR562" t="s">
        <v>11522</v>
      </c>
      <c r="BS562" t="s">
        <v>5538</v>
      </c>
      <c r="BU562" t="s">
        <v>5538</v>
      </c>
      <c r="BV562" s="3" t="str">
        <f>HYPERLINK("https://api.typeform.com/responses/files/68b825e7e6cda618a6a7cba3f45a344f9a237c91e310e6929bd997ca4e06f246/IMG_20221004_104754.jpg")</f>
        <v>https://api.typeform.com/responses/files/68b825e7e6cda618a6a7cba3f45a344f9a237c91e310e6929bd997ca4e06f246/IMG_20221004_104754.jpg</v>
      </c>
      <c r="BW562" t="b">
        <v>1</v>
      </c>
      <c r="BX562" t="s">
        <v>1394</v>
      </c>
      <c r="BY562" t="s">
        <v>140</v>
      </c>
      <c r="CA562" t="s">
        <v>1395</v>
      </c>
      <c r="CD562">
        <v>0.0</v>
      </c>
      <c r="CF562" t="b">
        <v>1</v>
      </c>
      <c r="CG562" t="b">
        <v>1</v>
      </c>
      <c r="CH562" t="s">
        <v>4188</v>
      </c>
      <c r="CJ562" t="b">
        <v>1</v>
      </c>
      <c r="CK562" t="b">
        <v>0</v>
      </c>
      <c r="CL562" t="s">
        <v>198</v>
      </c>
      <c r="CO562" t="s">
        <v>2888</v>
      </c>
      <c r="CR562" t="b">
        <v>1</v>
      </c>
      <c r="CT562">
        <v>0.0</v>
      </c>
      <c r="CU562">
        <v>1.0</v>
      </c>
      <c r="CX562" s="4" t="s">
        <v>11523</v>
      </c>
      <c r="CZ562" s="5">
        <v>44838.628541666665</v>
      </c>
      <c r="DA562" t="s">
        <v>11524</v>
      </c>
    </row>
    <row r="563">
      <c r="A563" t="s">
        <v>98</v>
      </c>
      <c r="D563" t="s">
        <v>11525</v>
      </c>
      <c r="E563" t="s">
        <v>1265</v>
      </c>
      <c r="F563" s="2">
        <v>39016.0</v>
      </c>
      <c r="G563" t="s">
        <v>1360</v>
      </c>
      <c r="I563" s="3" t="str">
        <f>HYPERLINK("https://api.typeform.com/responses/files/6017564f83eda21d91acde3aea9a0abbcd437e57b20ef0807dab09e95d7c3d29/Untitled_document_53.pdf")</f>
        <v>https://api.typeform.com/responses/files/6017564f83eda21d91acde3aea9a0abbcd437e57b20ef0807dab09e95d7c3d29/Untitled_document_53.pdf</v>
      </c>
      <c r="J563" t="s">
        <v>11526</v>
      </c>
      <c r="K563" t="b">
        <v>1</v>
      </c>
      <c r="L563" s="4" t="s">
        <v>11527</v>
      </c>
      <c r="M563" t="s">
        <v>11528</v>
      </c>
      <c r="N563" t="s">
        <v>255</v>
      </c>
      <c r="P563" t="s">
        <v>11529</v>
      </c>
      <c r="Q563" t="s">
        <v>189</v>
      </c>
      <c r="R563" t="s">
        <v>11530</v>
      </c>
      <c r="S563" t="s">
        <v>11531</v>
      </c>
      <c r="T563" s="4" t="s">
        <v>11532</v>
      </c>
      <c r="U563" t="s">
        <v>9618</v>
      </c>
      <c r="V563" t="s">
        <v>11533</v>
      </c>
      <c r="W563" t="s">
        <v>261</v>
      </c>
      <c r="Y563" t="s">
        <v>158</v>
      </c>
      <c r="Z563" t="s">
        <v>262</v>
      </c>
      <c r="AC563" s="3" t="str">
        <f>HYPERLINK("https://api.typeform.com/responses/files/336721051781788e3b4d1bb8bee31ed29da4f115fad6ac9e90725a1e63c77493/REPORT.pdf")</f>
        <v>https://api.typeform.com/responses/files/336721051781788e3b4d1bb8bee31ed29da4f115fad6ac9e90725a1e63c77493/REPORT.pdf</v>
      </c>
      <c r="AD563" t="s">
        <v>118</v>
      </c>
      <c r="AE563" t="s">
        <v>1220</v>
      </c>
      <c r="AF563" t="s">
        <v>4374</v>
      </c>
      <c r="AG563">
        <v>0.0</v>
      </c>
      <c r="AH563" s="4" t="s">
        <v>4262</v>
      </c>
      <c r="AI563" t="s">
        <v>121</v>
      </c>
      <c r="AK563" t="s">
        <v>139</v>
      </c>
      <c r="AL563" t="s">
        <v>1546</v>
      </c>
      <c r="AO563" t="s">
        <v>335</v>
      </c>
      <c r="AP563">
        <v>4.0</v>
      </c>
      <c r="AQ563" t="s">
        <v>126</v>
      </c>
      <c r="AR563" t="s">
        <v>11534</v>
      </c>
      <c r="AS563" t="b">
        <v>1</v>
      </c>
      <c r="AT563" t="b">
        <v>1</v>
      </c>
      <c r="AV563">
        <v>4.0</v>
      </c>
      <c r="AW563" t="b">
        <v>0</v>
      </c>
      <c r="AZ563" t="b">
        <v>1</v>
      </c>
      <c r="BA563" t="b">
        <v>0</v>
      </c>
      <c r="BD563" t="s">
        <v>11535</v>
      </c>
      <c r="BH563" t="s">
        <v>132</v>
      </c>
      <c r="BI563">
        <v>2.0</v>
      </c>
      <c r="BJ563" t="s">
        <v>11536</v>
      </c>
      <c r="BK563">
        <v>3.0</v>
      </c>
      <c r="BL563">
        <v>4.0</v>
      </c>
      <c r="BM563" t="s">
        <v>11537</v>
      </c>
      <c r="BN563">
        <v>3.0</v>
      </c>
      <c r="BO563">
        <v>3.0</v>
      </c>
      <c r="BP563" t="s">
        <v>3585</v>
      </c>
      <c r="BQ563" t="s">
        <v>11538</v>
      </c>
      <c r="BR563" t="s">
        <v>3630</v>
      </c>
      <c r="BS563" t="s">
        <v>11539</v>
      </c>
      <c r="BU563" t="s">
        <v>258</v>
      </c>
      <c r="BV563" s="3" t="str">
        <f>HYPERLINK("https://api.typeform.com/responses/files/14ba7c972f29c36c48bd23fdaceb2f76a1672233c05f0e3911bd0746d51b7343/Untitled_document_53.pdf")</f>
        <v>https://api.typeform.com/responses/files/14ba7c972f29c36c48bd23fdaceb2f76a1672233c05f0e3911bd0746d51b7343/Untitled_document_53.pdf</v>
      </c>
      <c r="BW563" t="b">
        <v>1</v>
      </c>
      <c r="BX563" t="s">
        <v>1394</v>
      </c>
      <c r="BY563" t="s">
        <v>140</v>
      </c>
      <c r="CA563" t="s">
        <v>1395</v>
      </c>
      <c r="CD563">
        <v>0.0</v>
      </c>
      <c r="CF563" t="b">
        <v>0</v>
      </c>
      <c r="CG563" t="b">
        <v>0</v>
      </c>
      <c r="CH563" t="s">
        <v>1935</v>
      </c>
      <c r="CJ563" t="b">
        <v>1</v>
      </c>
      <c r="CK563" t="b">
        <v>0</v>
      </c>
      <c r="CL563" t="s">
        <v>541</v>
      </c>
      <c r="CO563" t="s">
        <v>1146</v>
      </c>
      <c r="CR563" t="b">
        <v>1</v>
      </c>
      <c r="CT563">
        <v>1.0</v>
      </c>
      <c r="CU563">
        <v>0.0</v>
      </c>
      <c r="CX563" t="s">
        <v>11540</v>
      </c>
      <c r="CZ563" s="5">
        <v>44838.63140046296</v>
      </c>
      <c r="DA563" t="s">
        <v>11541</v>
      </c>
    </row>
    <row r="564">
      <c r="A564" t="s">
        <v>98</v>
      </c>
      <c r="D564" t="s">
        <v>3828</v>
      </c>
      <c r="E564" t="s">
        <v>5155</v>
      </c>
      <c r="F564" s="2">
        <v>38808.0</v>
      </c>
      <c r="G564" t="s">
        <v>1466</v>
      </c>
      <c r="I564" s="3" t="str">
        <f>HYPERLINK("https://api.typeform.com/responses/files/364ceb55a7d38c1a5acef26b4a12700fd479ae13a0154dc3a224616e2644e21e/IMG_7234.jpg")</f>
        <v>https://api.typeform.com/responses/files/364ceb55a7d38c1a5acef26b4a12700fd479ae13a0154dc3a224616e2644e21e/IMG_7234.jpg</v>
      </c>
      <c r="J564" t="s">
        <v>11542</v>
      </c>
      <c r="K564" t="b">
        <v>1</v>
      </c>
      <c r="L564" s="4" t="s">
        <v>11543</v>
      </c>
      <c r="M564" t="s">
        <v>11544</v>
      </c>
      <c r="N564" t="s">
        <v>105</v>
      </c>
      <c r="P564" t="s">
        <v>11545</v>
      </c>
      <c r="Q564" t="s">
        <v>189</v>
      </c>
      <c r="R564" t="s">
        <v>11546</v>
      </c>
      <c r="S564" s="4" t="s">
        <v>11547</v>
      </c>
      <c r="T564" s="4" t="s">
        <v>11548</v>
      </c>
      <c r="U564" t="s">
        <v>8476</v>
      </c>
      <c r="V564" t="s">
        <v>11549</v>
      </c>
      <c r="W564" t="s">
        <v>261</v>
      </c>
      <c r="Y564" t="s">
        <v>158</v>
      </c>
      <c r="Z564" t="s">
        <v>262</v>
      </c>
      <c r="AC564" s="3" t="str">
        <f>HYPERLINK("https://api.typeform.com/responses/files/6455535b221613c0b3ba015af2d8397b8f94f02342950f9e56391108eef2c98d/10_Transcript__dragged__2.pdf")</f>
        <v>https://api.typeform.com/responses/files/6455535b221613c0b3ba015af2d8397b8f94f02342950f9e56391108eef2c98d/10_Transcript__dragged__2.pdf</v>
      </c>
      <c r="AD564" t="s">
        <v>118</v>
      </c>
      <c r="AE564" t="s">
        <v>781</v>
      </c>
      <c r="AF564" t="s">
        <v>11550</v>
      </c>
      <c r="AG564">
        <v>0.0</v>
      </c>
      <c r="AH564" t="s">
        <v>9956</v>
      </c>
      <c r="AI564" t="s">
        <v>121</v>
      </c>
      <c r="AK564" t="s">
        <v>11551</v>
      </c>
      <c r="AL564" t="s">
        <v>11552</v>
      </c>
      <c r="AO564" t="s">
        <v>335</v>
      </c>
      <c r="AP564">
        <v>2.0</v>
      </c>
      <c r="AQ564" t="s">
        <v>303</v>
      </c>
      <c r="AR564" t="s">
        <v>6087</v>
      </c>
      <c r="AS564" t="b">
        <v>1</v>
      </c>
      <c r="AT564" t="b">
        <v>0</v>
      </c>
      <c r="AV564">
        <v>2.0</v>
      </c>
      <c r="AW564" t="b">
        <v>0</v>
      </c>
      <c r="AZ564" t="b">
        <v>0</v>
      </c>
      <c r="BA564" t="b">
        <v>0</v>
      </c>
      <c r="BD564" t="s">
        <v>11553</v>
      </c>
      <c r="BH564" t="s">
        <v>132</v>
      </c>
      <c r="BI564">
        <v>2.0</v>
      </c>
      <c r="BJ564" t="s">
        <v>9274</v>
      </c>
      <c r="BK564">
        <v>4.0</v>
      </c>
      <c r="BL564">
        <v>4.0</v>
      </c>
      <c r="BM564" t="s">
        <v>3585</v>
      </c>
      <c r="BN564">
        <v>5.0</v>
      </c>
      <c r="BO564">
        <v>5.0</v>
      </c>
      <c r="BP564" t="s">
        <v>5966</v>
      </c>
      <c r="BQ564" t="s">
        <v>5321</v>
      </c>
      <c r="BR564" t="s">
        <v>5966</v>
      </c>
      <c r="BS564" t="s">
        <v>11554</v>
      </c>
      <c r="BU564" t="s">
        <v>5966</v>
      </c>
      <c r="BV564" s="3" t="str">
        <f>HYPERLINK("https://api.typeform.com/responses/files/ddfdc46c88de428a50b696a9a4ff82114279f4f05111192bd7a6e8f5bff8615b/10_Transcript__dragged__2.pdf")</f>
        <v>https://api.typeform.com/responses/files/ddfdc46c88de428a50b696a9a4ff82114279f4f05111192bd7a6e8f5bff8615b/10_Transcript__dragged__2.pdf</v>
      </c>
      <c r="BW564" t="b">
        <v>1</v>
      </c>
      <c r="BX564" t="s">
        <v>1394</v>
      </c>
      <c r="BY564" t="s">
        <v>140</v>
      </c>
      <c r="CA564" t="s">
        <v>1395</v>
      </c>
      <c r="CD564">
        <v>0.0</v>
      </c>
      <c r="CF564" t="b">
        <v>0</v>
      </c>
      <c r="CG564" t="b">
        <v>0</v>
      </c>
      <c r="CH564" t="s">
        <v>11555</v>
      </c>
      <c r="CJ564" t="b">
        <v>1</v>
      </c>
      <c r="CK564" t="b">
        <v>0</v>
      </c>
      <c r="CL564" t="s">
        <v>541</v>
      </c>
      <c r="CM564" t="s">
        <v>541</v>
      </c>
      <c r="CO564" t="s">
        <v>3443</v>
      </c>
      <c r="CQ564" t="s">
        <v>541</v>
      </c>
      <c r="CR564" t="b">
        <v>1</v>
      </c>
      <c r="CT564">
        <v>0.0</v>
      </c>
      <c r="CU564">
        <v>0.0</v>
      </c>
      <c r="CX564" s="4" t="s">
        <v>11556</v>
      </c>
      <c r="CZ564" s="5">
        <v>44838.6378125</v>
      </c>
      <c r="DA564" t="s">
        <v>11557</v>
      </c>
    </row>
    <row r="565">
      <c r="A565" t="s">
        <v>98</v>
      </c>
      <c r="D565" t="s">
        <v>11558</v>
      </c>
      <c r="E565" t="s">
        <v>11559</v>
      </c>
      <c r="F565" s="2">
        <v>38837.0</v>
      </c>
      <c r="G565" t="s">
        <v>1360</v>
      </c>
      <c r="I565" s="3" t="str">
        <f>HYPERLINK("https://api.typeform.com/responses/files/b76954374a22ad3718f75eb1f73715b911303e2d15c7cb3885dba41624b065a8/unnamed.jpg")</f>
        <v>https://api.typeform.com/responses/files/b76954374a22ad3718f75eb1f73715b911303e2d15c7cb3885dba41624b065a8/unnamed.jpg</v>
      </c>
      <c r="J565" t="s">
        <v>11560</v>
      </c>
      <c r="K565" t="b">
        <v>0</v>
      </c>
      <c r="M565" t="s">
        <v>11561</v>
      </c>
      <c r="N565" t="s">
        <v>255</v>
      </c>
      <c r="P565" t="s">
        <v>11562</v>
      </c>
      <c r="Q565" t="s">
        <v>189</v>
      </c>
      <c r="R565" t="s">
        <v>11563</v>
      </c>
      <c r="S565" t="s">
        <v>11561</v>
      </c>
      <c r="T565" s="4" t="s">
        <v>11564</v>
      </c>
      <c r="U565" t="s">
        <v>8154</v>
      </c>
      <c r="V565" t="s">
        <v>9229</v>
      </c>
      <c r="W565" t="s">
        <v>261</v>
      </c>
      <c r="Y565" t="s">
        <v>158</v>
      </c>
      <c r="Z565" t="s">
        <v>262</v>
      </c>
      <c r="AC565" s="3" t="str">
        <f>HYPERLINK("https://api.typeform.com/responses/files/b4d8eb525dc3eae239407d9e0b9db2360cb075b0f0f5e8162ea87022308b721b/Transcript.txt")</f>
        <v>https://api.typeform.com/responses/files/b4d8eb525dc3eae239407d9e0b9db2360cb075b0f0f5e8162ea87022308b721b/Transcript.txt</v>
      </c>
      <c r="AD565" t="s">
        <v>118</v>
      </c>
      <c r="AE565" t="s">
        <v>1220</v>
      </c>
      <c r="AF565" t="s">
        <v>11565</v>
      </c>
      <c r="AG565">
        <v>0.0</v>
      </c>
      <c r="AH565" s="4" t="s">
        <v>4262</v>
      </c>
      <c r="AI565" t="s">
        <v>205</v>
      </c>
      <c r="AL565" t="s">
        <v>5689</v>
      </c>
      <c r="AO565" t="s">
        <v>486</v>
      </c>
      <c r="AP565">
        <v>3.0</v>
      </c>
      <c r="AQ565" t="s">
        <v>201</v>
      </c>
      <c r="AR565" t="s">
        <v>11566</v>
      </c>
      <c r="AS565" t="b">
        <v>1</v>
      </c>
      <c r="AT565" t="b">
        <v>0</v>
      </c>
      <c r="AV565">
        <v>3.0</v>
      </c>
      <c r="AW565" t="b">
        <v>0</v>
      </c>
      <c r="AZ565" t="b">
        <v>0</v>
      </c>
      <c r="BA565" t="b">
        <v>0</v>
      </c>
      <c r="BD565" t="s">
        <v>11566</v>
      </c>
      <c r="BH565" t="s">
        <v>132</v>
      </c>
      <c r="BI565">
        <v>3.0</v>
      </c>
      <c r="BJ565" t="s">
        <v>11567</v>
      </c>
      <c r="BK565">
        <v>3.0</v>
      </c>
      <c r="BL565">
        <v>3.0</v>
      </c>
      <c r="BM565" t="s">
        <v>11568</v>
      </c>
      <c r="BN565">
        <v>3.0</v>
      </c>
      <c r="BO565">
        <v>3.0</v>
      </c>
      <c r="BP565" t="s">
        <v>11569</v>
      </c>
      <c r="BQ565" t="s">
        <v>1457</v>
      </c>
      <c r="BR565" t="s">
        <v>11570</v>
      </c>
      <c r="BS565" t="s">
        <v>11571</v>
      </c>
      <c r="BU565" t="s">
        <v>11572</v>
      </c>
      <c r="BV565" s="3" t="str">
        <f>HYPERLINK("https://api.typeform.com/responses/files/37ec05f6e2ea9b8af9b433252719db0d8e10c8ad24df60661dad0f7433a37efe/Parent_Guardian_Consent_and_Liability_Release_Form.txt")</f>
        <v>https://api.typeform.com/responses/files/37ec05f6e2ea9b8af9b433252719db0d8e10c8ad24df60661dad0f7433a37efe/Parent_Guardian_Consent_and_Liability_Release_Form.txt</v>
      </c>
      <c r="BW565" t="b">
        <v>1</v>
      </c>
      <c r="BX565" t="s">
        <v>1394</v>
      </c>
      <c r="BY565" t="s">
        <v>140</v>
      </c>
      <c r="CA565" t="s">
        <v>1395</v>
      </c>
      <c r="CD565">
        <v>0.0</v>
      </c>
      <c r="CF565" t="b">
        <v>1</v>
      </c>
      <c r="CG565" t="b">
        <v>0</v>
      </c>
      <c r="CH565" t="s">
        <v>128</v>
      </c>
      <c r="CJ565" t="b">
        <v>0</v>
      </c>
      <c r="CK565" t="b">
        <v>0</v>
      </c>
      <c r="CL565" t="s">
        <v>163</v>
      </c>
      <c r="CO565" t="s">
        <v>3262</v>
      </c>
      <c r="CR565" t="b">
        <v>1</v>
      </c>
      <c r="CT565">
        <v>0.0</v>
      </c>
      <c r="CU565">
        <v>0.0</v>
      </c>
      <c r="CX565" s="4" t="s">
        <v>419</v>
      </c>
      <c r="CZ565" s="5">
        <v>44838.833182870374</v>
      </c>
      <c r="DA565" t="s">
        <v>11573</v>
      </c>
    </row>
    <row r="566">
      <c r="A566" t="s">
        <v>98</v>
      </c>
      <c r="D566" t="s">
        <v>11574</v>
      </c>
      <c r="E566" t="s">
        <v>1359</v>
      </c>
      <c r="F566" s="2">
        <v>39038.0</v>
      </c>
      <c r="G566" t="s">
        <v>1466</v>
      </c>
      <c r="I566" s="3" t="str">
        <f>HYPERLINK("https://api.typeform.com/responses/files/fdd50783c82c5aa6fc82975796ae99c25a34d7c1e0e2269e6f61a9daf8109a12/IMG_1352.jpg")</f>
        <v>https://api.typeform.com/responses/files/fdd50783c82c5aa6fc82975796ae99c25a34d7c1e0e2269e6f61a9daf8109a12/IMG_1352.jpg</v>
      </c>
      <c r="J566" t="s">
        <v>11575</v>
      </c>
      <c r="K566" t="b">
        <v>1</v>
      </c>
      <c r="L566" s="4" t="s">
        <v>11576</v>
      </c>
      <c r="M566" t="s">
        <v>11577</v>
      </c>
      <c r="N566" t="s">
        <v>255</v>
      </c>
      <c r="P566" t="s">
        <v>11578</v>
      </c>
      <c r="Q566" t="s">
        <v>189</v>
      </c>
      <c r="R566" t="s">
        <v>11579</v>
      </c>
      <c r="S566" t="s">
        <v>11577</v>
      </c>
      <c r="T566" s="4" t="s">
        <v>11580</v>
      </c>
      <c r="U566" t="s">
        <v>9618</v>
      </c>
      <c r="V566" t="s">
        <v>11581</v>
      </c>
      <c r="W566" t="s">
        <v>261</v>
      </c>
      <c r="Y566" t="s">
        <v>158</v>
      </c>
      <c r="Z566" t="s">
        <v>262</v>
      </c>
      <c r="AC566" s="3" t="str">
        <f>HYPERLINK("https://api.typeform.com/responses/files/f2424062f6b4bd2da940bc128373000ddbaad54cdfd5a52d25479ace8d59e286/97_1_0_m.jpg")</f>
        <v>https://api.typeform.com/responses/files/f2424062f6b4bd2da940bc128373000ddbaad54cdfd5a52d25479ace8d59e286/97_1_0_m.jpg</v>
      </c>
      <c r="AD566" t="s">
        <v>118</v>
      </c>
      <c r="AE566" t="s">
        <v>729</v>
      </c>
      <c r="AF566" t="s">
        <v>197</v>
      </c>
      <c r="AG566">
        <v>7.0</v>
      </c>
      <c r="AH566" t="s">
        <v>11582</v>
      </c>
      <c r="AI566" t="s">
        <v>121</v>
      </c>
      <c r="AK566" t="s">
        <v>11583</v>
      </c>
      <c r="AL566" t="s">
        <v>967</v>
      </c>
      <c r="AO566" t="s">
        <v>335</v>
      </c>
      <c r="AP566">
        <v>5.0</v>
      </c>
      <c r="AQ566" t="s">
        <v>2240</v>
      </c>
      <c r="AR566" t="s">
        <v>11584</v>
      </c>
      <c r="AS566" t="b">
        <v>1</v>
      </c>
      <c r="AT566" t="b">
        <v>0</v>
      </c>
      <c r="AV566">
        <v>5.0</v>
      </c>
      <c r="AW566" t="b">
        <v>0</v>
      </c>
      <c r="AZ566" t="b">
        <v>0</v>
      </c>
      <c r="BA566" t="b">
        <v>0</v>
      </c>
      <c r="BD566" t="s">
        <v>11585</v>
      </c>
      <c r="BH566" t="s">
        <v>132</v>
      </c>
      <c r="BI566">
        <v>2.0</v>
      </c>
      <c r="BJ566" t="s">
        <v>11586</v>
      </c>
      <c r="BK566">
        <v>4.0</v>
      </c>
      <c r="BL566">
        <v>6.0</v>
      </c>
      <c r="BM566" t="s">
        <v>11587</v>
      </c>
      <c r="BN566">
        <v>4.0</v>
      </c>
      <c r="BO566">
        <v>6.0</v>
      </c>
      <c r="BP566" t="s">
        <v>11588</v>
      </c>
      <c r="BQ566" t="s">
        <v>5900</v>
      </c>
      <c r="BR566" t="s">
        <v>11589</v>
      </c>
      <c r="BS566" t="s">
        <v>11590</v>
      </c>
      <c r="BU566" t="s">
        <v>11591</v>
      </c>
      <c r="BV566" s="3" t="str">
        <f>HYPERLINK("https://api.typeform.com/responses/files/d816c15245f636dcb3dd51800da9245388fc89a7973dfc9d1218785f74b49282/97_1_0_m.jpg")</f>
        <v>https://api.typeform.com/responses/files/d816c15245f636dcb3dd51800da9245388fc89a7973dfc9d1218785f74b49282/97_1_0_m.jpg</v>
      </c>
      <c r="BW566" t="b">
        <v>1</v>
      </c>
      <c r="BX566" t="s">
        <v>1394</v>
      </c>
      <c r="BY566" t="s">
        <v>140</v>
      </c>
      <c r="CA566" t="s">
        <v>1395</v>
      </c>
      <c r="CD566">
        <v>0.0</v>
      </c>
      <c r="CF566" t="b">
        <v>1</v>
      </c>
      <c r="CG566" t="b">
        <v>0</v>
      </c>
      <c r="CH566" t="s">
        <v>11592</v>
      </c>
      <c r="CJ566" t="b">
        <v>0</v>
      </c>
      <c r="CK566" t="b">
        <v>0</v>
      </c>
      <c r="CL566" t="s">
        <v>198</v>
      </c>
      <c r="CO566" t="s">
        <v>200</v>
      </c>
      <c r="CR566" t="b">
        <v>1</v>
      </c>
      <c r="CT566">
        <v>2.0</v>
      </c>
      <c r="CU566">
        <v>0.0</v>
      </c>
      <c r="CX566" t="s">
        <v>258</v>
      </c>
      <c r="CZ566" s="5">
        <v>44838.86792824074</v>
      </c>
      <c r="DA566" t="s">
        <v>11593</v>
      </c>
    </row>
    <row r="567">
      <c r="A567" t="s">
        <v>98</v>
      </c>
      <c r="D567" t="s">
        <v>9669</v>
      </c>
      <c r="E567" t="s">
        <v>11594</v>
      </c>
      <c r="F567" s="2">
        <v>39043.0</v>
      </c>
      <c r="G567" t="s">
        <v>1466</v>
      </c>
      <c r="I567" s="3" t="str">
        <f>HYPERLINK("https://api.typeform.com/responses/files/76b577435040ca3fcaad42a48531aff2623248a0ad2d4ffb5f83f06617fac319/coast_beach_day_nature_composition_260nw_105406154__1_.webp")</f>
        <v>https://api.typeform.com/responses/files/76b577435040ca3fcaad42a48531aff2623248a0ad2d4ffb5f83f06617fac319/coast_beach_day_nature_composition_260nw_105406154__1_.webp</v>
      </c>
      <c r="J567" t="s">
        <v>11595</v>
      </c>
      <c r="K567" t="b">
        <v>1</v>
      </c>
      <c r="L567" s="4" t="s">
        <v>11596</v>
      </c>
      <c r="M567" t="s">
        <v>11597</v>
      </c>
      <c r="N567" t="s">
        <v>105</v>
      </c>
      <c r="O567" t="s">
        <v>258</v>
      </c>
      <c r="P567" t="s">
        <v>11598</v>
      </c>
      <c r="Q567" t="s">
        <v>189</v>
      </c>
      <c r="R567" t="s">
        <v>11599</v>
      </c>
      <c r="S567" t="s">
        <v>11597</v>
      </c>
      <c r="T567" s="4" t="s">
        <v>11600</v>
      </c>
      <c r="U567" t="s">
        <v>11601</v>
      </c>
      <c r="V567" t="s">
        <v>11602</v>
      </c>
      <c r="W567" t="s">
        <v>261</v>
      </c>
      <c r="Y567" t="s">
        <v>158</v>
      </c>
      <c r="Z567" t="s">
        <v>262</v>
      </c>
      <c r="AC567" s="3" t="str">
        <f>HYPERLINK("https://api.typeform.com/responses/files/90830a15ca6f2ae6861c690962ac65323080d395f86d5e47c7c64f0b4b324224/WHEELS_Simple_Logo.jpg")</f>
        <v>https://api.typeform.com/responses/files/90830a15ca6f2ae6861c690962ac65323080d395f86d5e47c7c64f0b4b324224/WHEELS_Simple_Logo.jpg</v>
      </c>
      <c r="AD567" t="s">
        <v>118</v>
      </c>
      <c r="AE567" t="s">
        <v>781</v>
      </c>
      <c r="AF567" t="s">
        <v>2874</v>
      </c>
      <c r="AG567">
        <v>0.0</v>
      </c>
      <c r="AH567" t="s">
        <v>258</v>
      </c>
      <c r="AI567" t="s">
        <v>121</v>
      </c>
      <c r="AK567" t="s">
        <v>258</v>
      </c>
      <c r="AL567" t="s">
        <v>1043</v>
      </c>
      <c r="AO567" t="s">
        <v>125</v>
      </c>
      <c r="AP567">
        <v>3.0</v>
      </c>
      <c r="AQ567" t="s">
        <v>268</v>
      </c>
      <c r="AR567" t="s">
        <v>11603</v>
      </c>
      <c r="AS567" t="b">
        <v>1</v>
      </c>
      <c r="AT567" t="b">
        <v>0</v>
      </c>
      <c r="AV567">
        <v>2.0</v>
      </c>
      <c r="AW567" t="b">
        <v>0</v>
      </c>
      <c r="AZ567" t="b">
        <v>1</v>
      </c>
      <c r="BA567" t="b">
        <v>1</v>
      </c>
      <c r="BB567" t="b">
        <v>0</v>
      </c>
      <c r="BC567" t="s">
        <v>11604</v>
      </c>
      <c r="BH567" t="s">
        <v>132</v>
      </c>
      <c r="BI567">
        <v>3.0</v>
      </c>
      <c r="BJ567" t="s">
        <v>258</v>
      </c>
      <c r="BK567">
        <v>3.0</v>
      </c>
      <c r="BL567">
        <v>3.0</v>
      </c>
      <c r="BM567" t="s">
        <v>258</v>
      </c>
      <c r="BN567">
        <v>2.0</v>
      </c>
      <c r="BO567">
        <v>2.0</v>
      </c>
      <c r="BP567" t="s">
        <v>258</v>
      </c>
      <c r="BQ567" t="s">
        <v>1931</v>
      </c>
      <c r="BR567" t="s">
        <v>258</v>
      </c>
      <c r="BS567" t="s">
        <v>258</v>
      </c>
      <c r="BU567" t="s">
        <v>258</v>
      </c>
      <c r="BV567" s="3" t="str">
        <f>HYPERLINK("https://api.typeform.com/responses/files/edf6908c489c9655cee0f9a6ffb09e9eea6883e2592c8e35511371a2324056ce/coast_beach_day_nature_composition_260nw_105406154__1_.webp")</f>
        <v>https://api.typeform.com/responses/files/edf6908c489c9655cee0f9a6ffb09e9eea6883e2592c8e35511371a2324056ce/coast_beach_day_nature_composition_260nw_105406154__1_.webp</v>
      </c>
      <c r="BW567" t="b">
        <v>1</v>
      </c>
      <c r="BX567" t="s">
        <v>1394</v>
      </c>
      <c r="BY567" t="s">
        <v>140</v>
      </c>
      <c r="CA567" t="s">
        <v>1395</v>
      </c>
      <c r="CD567">
        <v>0.0</v>
      </c>
      <c r="CF567" t="b">
        <v>0</v>
      </c>
      <c r="CG567" t="b">
        <v>0</v>
      </c>
      <c r="CH567" t="s">
        <v>606</v>
      </c>
      <c r="CJ567" t="b">
        <v>0</v>
      </c>
      <c r="CK567" t="b">
        <v>0</v>
      </c>
      <c r="CL567" t="s">
        <v>198</v>
      </c>
      <c r="CO567" t="s">
        <v>3491</v>
      </c>
      <c r="CR567" t="b">
        <v>1</v>
      </c>
      <c r="CT567">
        <v>0.0</v>
      </c>
      <c r="CU567">
        <v>0.0</v>
      </c>
      <c r="CX567" t="s">
        <v>258</v>
      </c>
      <c r="CZ567" s="5">
        <v>44840.63143518518</v>
      </c>
      <c r="DA567" t="s">
        <v>11605</v>
      </c>
    </row>
    <row r="568">
      <c r="A568" t="s">
        <v>98</v>
      </c>
      <c r="D568" t="s">
        <v>11606</v>
      </c>
      <c r="E568" t="s">
        <v>2124</v>
      </c>
      <c r="F568" s="2">
        <v>38043.0</v>
      </c>
      <c r="G568" t="s">
        <v>1466</v>
      </c>
      <c r="I568" s="3" t="str">
        <f>HYPERLINK("https://api.typeform.com/responses/files/84823bd06052c19d13f706f8648fa65723e86c19e42cd8fd4480c0c574596ed7/IMG_20221006_113220.jpg")</f>
        <v>https://api.typeform.com/responses/files/84823bd06052c19d13f706f8648fa65723e86c19e42cd8fd4480c0c574596ed7/IMG_20221006_113220.jpg</v>
      </c>
      <c r="J568" t="s">
        <v>11607</v>
      </c>
      <c r="K568" t="b">
        <v>1</v>
      </c>
      <c r="L568" s="4" t="s">
        <v>11608</v>
      </c>
      <c r="M568" t="s">
        <v>11609</v>
      </c>
      <c r="N568" t="s">
        <v>105</v>
      </c>
      <c r="O568" t="s">
        <v>11610</v>
      </c>
      <c r="P568" t="s">
        <v>11611</v>
      </c>
      <c r="Q568" t="s">
        <v>152</v>
      </c>
      <c r="R568" t="s">
        <v>11612</v>
      </c>
      <c r="S568" s="4" t="s">
        <v>2053</v>
      </c>
      <c r="T568" s="4" t="s">
        <v>11613</v>
      </c>
      <c r="U568" t="s">
        <v>11614</v>
      </c>
      <c r="V568" t="s">
        <v>11615</v>
      </c>
      <c r="W568" t="s">
        <v>113</v>
      </c>
      <c r="Y568" t="s">
        <v>158</v>
      </c>
      <c r="Z568" t="s">
        <v>262</v>
      </c>
      <c r="AC568" s="3" t="str">
        <f>HYPERLINK("https://api.typeform.com/responses/files/706cebdbf562ec66793aa4a26e73e0d32dc86161fcec4a10dcd96b51cec0d540/Screenshot_2022_10_06_11.43.20_AM.png")</f>
        <v>https://api.typeform.com/responses/files/706cebdbf562ec66793aa4a26e73e0d32dc86161fcec4a10dcd96b51cec0d540/Screenshot_2022_10_06_11.43.20_AM.png</v>
      </c>
      <c r="AD568" t="s">
        <v>118</v>
      </c>
      <c r="AE568" t="s">
        <v>1220</v>
      </c>
      <c r="AF568" t="s">
        <v>264</v>
      </c>
      <c r="AG568">
        <v>16.0</v>
      </c>
      <c r="AH568" s="4" t="s">
        <v>11616</v>
      </c>
      <c r="AI568" t="s">
        <v>121</v>
      </c>
      <c r="AL568" t="s">
        <v>11617</v>
      </c>
      <c r="AO568" t="s">
        <v>335</v>
      </c>
      <c r="AP568">
        <v>5.0</v>
      </c>
      <c r="AQ568" t="s">
        <v>303</v>
      </c>
      <c r="AR568" t="s">
        <v>11618</v>
      </c>
      <c r="AS568" t="b">
        <v>1</v>
      </c>
      <c r="AT568" t="b">
        <v>0</v>
      </c>
      <c r="AV568">
        <v>4.0</v>
      </c>
      <c r="AW568" t="b">
        <v>0</v>
      </c>
      <c r="AZ568" t="b">
        <v>1</v>
      </c>
      <c r="BA568" t="b">
        <v>0</v>
      </c>
      <c r="BD568" t="s">
        <v>2386</v>
      </c>
      <c r="BH568" t="s">
        <v>132</v>
      </c>
      <c r="BI568">
        <v>5.0</v>
      </c>
      <c r="BJ568" t="s">
        <v>11619</v>
      </c>
      <c r="BK568">
        <v>5.0</v>
      </c>
      <c r="BL568">
        <v>4.0</v>
      </c>
      <c r="BM568" t="s">
        <v>11620</v>
      </c>
      <c r="BN568">
        <v>5.0</v>
      </c>
      <c r="BO568">
        <v>4.0</v>
      </c>
      <c r="BP568" t="s">
        <v>11621</v>
      </c>
      <c r="BQ568" t="s">
        <v>1931</v>
      </c>
      <c r="BR568" t="s">
        <v>11622</v>
      </c>
      <c r="BS568" s="4" t="s">
        <v>11623</v>
      </c>
      <c r="BU568" t="s">
        <v>606</v>
      </c>
      <c r="BV568" s="3" t="str">
        <f>HYPERLINK("https://api.typeform.com/responses/files/77f56944a3812dc813d938ee7c9d2e88cf31e7d63ea43a0e4b0f002e18766eff/FedEx_Shipping_Label.pdf")</f>
        <v>https://api.typeform.com/responses/files/77f56944a3812dc813d938ee7c9d2e88cf31e7d63ea43a0e4b0f002e18766eff/FedEx_Shipping_Label.pdf</v>
      </c>
      <c r="BW568" t="b">
        <v>1</v>
      </c>
      <c r="BX568" t="s">
        <v>1394</v>
      </c>
      <c r="BY568" t="s">
        <v>140</v>
      </c>
      <c r="CA568" t="s">
        <v>1395</v>
      </c>
      <c r="CD568">
        <v>0.0</v>
      </c>
      <c r="CF568" t="b">
        <v>0</v>
      </c>
      <c r="CG568" t="b">
        <v>0</v>
      </c>
      <c r="CH568" t="s">
        <v>1935</v>
      </c>
      <c r="CJ568" t="b">
        <v>0</v>
      </c>
      <c r="CK568" t="b">
        <v>0</v>
      </c>
      <c r="CL568" t="s">
        <v>9752</v>
      </c>
      <c r="CM568" t="s">
        <v>300</v>
      </c>
      <c r="CO568" t="s">
        <v>2068</v>
      </c>
      <c r="CR568" t="b">
        <v>1</v>
      </c>
      <c r="CT568">
        <v>4.0</v>
      </c>
      <c r="CU568">
        <v>1.0</v>
      </c>
      <c r="CX568" s="4" t="s">
        <v>3042</v>
      </c>
      <c r="CZ568" s="5">
        <v>44840.67099537037</v>
      </c>
      <c r="DA568" t="s">
        <v>11624</v>
      </c>
    </row>
    <row r="569">
      <c r="A569" t="s">
        <v>98</v>
      </c>
      <c r="D569" t="s">
        <v>10080</v>
      </c>
      <c r="E569" t="s">
        <v>2072</v>
      </c>
      <c r="F569" s="2">
        <v>37600.0</v>
      </c>
      <c r="G569" t="s">
        <v>1360</v>
      </c>
      <c r="I569" s="3" t="str">
        <f>HYPERLINK("https://api.typeform.com/responses/files/609fc7eb2e2976ed7ea1293599cc63349ef31ed4f2de836616b1b8d2a3de5c91/20221006_114940.jpg")</f>
        <v>https://api.typeform.com/responses/files/609fc7eb2e2976ed7ea1293599cc63349ef31ed4f2de836616b1b8d2a3de5c91/20221006_114940.jpg</v>
      </c>
      <c r="J569" t="s">
        <v>11625</v>
      </c>
      <c r="K569" t="b">
        <v>1</v>
      </c>
      <c r="L569" s="4" t="s">
        <v>11626</v>
      </c>
      <c r="M569" t="s">
        <v>11627</v>
      </c>
      <c r="N569" t="s">
        <v>105</v>
      </c>
      <c r="O569" t="s">
        <v>990</v>
      </c>
      <c r="P569" t="s">
        <v>11628</v>
      </c>
      <c r="Q569" t="s">
        <v>189</v>
      </c>
      <c r="R569" t="s">
        <v>11629</v>
      </c>
      <c r="S569" t="s">
        <v>11630</v>
      </c>
      <c r="T569" s="4" t="s">
        <v>11631</v>
      </c>
      <c r="U569" t="s">
        <v>3596</v>
      </c>
      <c r="V569" t="s">
        <v>11632</v>
      </c>
      <c r="W569" t="s">
        <v>113</v>
      </c>
      <c r="Y569" t="s">
        <v>158</v>
      </c>
      <c r="Z569" t="s">
        <v>159</v>
      </c>
      <c r="AC569" s="3" t="str">
        <f>HYPERLINK("https://api.typeform.com/responses/files/fbad58a82d711a13feeba87165c86c5a5f3e37c0375814ebd6bae264547931cb/download.png")</f>
        <v>https://api.typeform.com/responses/files/fbad58a82d711a13feeba87165c86c5a5f3e37c0375814ebd6bae264547931cb/download.png</v>
      </c>
      <c r="AD569" t="s">
        <v>118</v>
      </c>
      <c r="AE569" t="s">
        <v>1220</v>
      </c>
      <c r="AF569" t="s">
        <v>10622</v>
      </c>
      <c r="AG569">
        <v>17.0</v>
      </c>
      <c r="AH569" t="s">
        <v>4637</v>
      </c>
      <c r="AI569" t="s">
        <v>121</v>
      </c>
      <c r="AK569" t="s">
        <v>139</v>
      </c>
      <c r="AL569" t="s">
        <v>2490</v>
      </c>
      <c r="AO569" t="s">
        <v>486</v>
      </c>
      <c r="AP569">
        <v>1.0</v>
      </c>
      <c r="AQ569" t="s">
        <v>126</v>
      </c>
      <c r="AR569" t="s">
        <v>11633</v>
      </c>
      <c r="AS569" t="b">
        <v>1</v>
      </c>
      <c r="AT569" t="b">
        <v>1</v>
      </c>
      <c r="AV569">
        <v>7.0</v>
      </c>
      <c r="AW569" t="b">
        <v>0</v>
      </c>
      <c r="AZ569" t="b">
        <v>1</v>
      </c>
      <c r="BA569" t="b">
        <v>0</v>
      </c>
      <c r="BD569" t="s">
        <v>9274</v>
      </c>
      <c r="BH569" t="s">
        <v>132</v>
      </c>
      <c r="BI569">
        <v>7.0</v>
      </c>
      <c r="BJ569" t="s">
        <v>11634</v>
      </c>
      <c r="BK569">
        <v>5.0</v>
      </c>
      <c r="BL569">
        <v>7.0</v>
      </c>
      <c r="BM569" t="s">
        <v>11635</v>
      </c>
      <c r="BN569">
        <v>4.0</v>
      </c>
      <c r="BO569">
        <v>7.0</v>
      </c>
      <c r="BP569" t="s">
        <v>11636</v>
      </c>
      <c r="BQ569" t="s">
        <v>2964</v>
      </c>
      <c r="BR569" t="s">
        <v>11637</v>
      </c>
      <c r="BS569" t="s">
        <v>11638</v>
      </c>
      <c r="BU569" t="s">
        <v>11639</v>
      </c>
      <c r="BV569" s="3" t="str">
        <f>HYPERLINK("https://api.typeform.com/responses/files/f4bd7f6bb93be7d9c224155ee2304808af07140502de4f37282584e421b1a52b/20221006_114940.jpg")</f>
        <v>https://api.typeform.com/responses/files/f4bd7f6bb93be7d9c224155ee2304808af07140502de4f37282584e421b1a52b/20221006_114940.jpg</v>
      </c>
      <c r="BW569" t="b">
        <v>1</v>
      </c>
      <c r="BX569" t="s">
        <v>1394</v>
      </c>
      <c r="BY569" t="s">
        <v>140</v>
      </c>
      <c r="CA569" t="s">
        <v>1395</v>
      </c>
      <c r="CD569">
        <v>0.0</v>
      </c>
      <c r="CF569" t="b">
        <v>1</v>
      </c>
      <c r="CG569" t="b">
        <v>1</v>
      </c>
      <c r="CH569" t="s">
        <v>1557</v>
      </c>
      <c r="CJ569" t="b">
        <v>1</v>
      </c>
      <c r="CK569" t="b">
        <v>1</v>
      </c>
      <c r="CL569" t="s">
        <v>300</v>
      </c>
      <c r="CO569" t="s">
        <v>2068</v>
      </c>
      <c r="CR569" t="b">
        <v>1</v>
      </c>
      <c r="CT569">
        <v>2.0</v>
      </c>
      <c r="CU569">
        <v>3.0</v>
      </c>
      <c r="CX569" s="4" t="s">
        <v>2447</v>
      </c>
      <c r="CZ569" s="5">
        <v>44840.68378472222</v>
      </c>
      <c r="DA569" t="s">
        <v>11640</v>
      </c>
    </row>
    <row r="570">
      <c r="A570" t="s">
        <v>98</v>
      </c>
      <c r="D570" t="s">
        <v>6388</v>
      </c>
      <c r="E570" t="s">
        <v>10458</v>
      </c>
      <c r="F570" s="2">
        <v>37049.0</v>
      </c>
      <c r="G570" t="s">
        <v>1360</v>
      </c>
      <c r="I570" s="3" t="str">
        <f>HYPERLINK("https://api.typeform.com/responses/files/0c14c90b132a8a43265480bbaa375f8f327f09070735f972a4ba268c43ebd40d/fatima.jfif")</f>
        <v>https://api.typeform.com/responses/files/0c14c90b132a8a43265480bbaa375f8f327f09070735f972a4ba268c43ebd40d/fatima.jfif</v>
      </c>
      <c r="J570" t="s">
        <v>11641</v>
      </c>
      <c r="K570" t="b">
        <v>1</v>
      </c>
      <c r="L570" s="4" t="s">
        <v>11642</v>
      </c>
      <c r="M570" t="s">
        <v>11643</v>
      </c>
      <c r="N570" t="s">
        <v>105</v>
      </c>
      <c r="O570" t="s">
        <v>11644</v>
      </c>
      <c r="P570" t="s">
        <v>11645</v>
      </c>
      <c r="Q570" t="s">
        <v>152</v>
      </c>
      <c r="R570" t="s">
        <v>11646</v>
      </c>
      <c r="S570" t="s">
        <v>11643</v>
      </c>
      <c r="T570" s="4" t="s">
        <v>11647</v>
      </c>
      <c r="U570" t="s">
        <v>10991</v>
      </c>
      <c r="V570" t="s">
        <v>11648</v>
      </c>
      <c r="W570" t="s">
        <v>113</v>
      </c>
      <c r="Y570" t="s">
        <v>158</v>
      </c>
      <c r="Z570" t="s">
        <v>262</v>
      </c>
      <c r="AC570" s="3" t="str">
        <f>HYPERLINK("https://api.typeform.com/responses/files/bc1dfd0cf45c80acf3c770202fef093fa9823c990927caac6783137a414b5459/fatima.jfif")</f>
        <v>https://api.typeform.com/responses/files/bc1dfd0cf45c80acf3c770202fef093fa9823c990927caac6783137a414b5459/fatima.jfif</v>
      </c>
      <c r="AD570" t="s">
        <v>118</v>
      </c>
      <c r="AE570" t="s">
        <v>3349</v>
      </c>
      <c r="AF570" t="s">
        <v>2083</v>
      </c>
      <c r="AG570">
        <v>16.0</v>
      </c>
      <c r="AH570" s="4" t="s">
        <v>5803</v>
      </c>
      <c r="AI570" t="s">
        <v>162</v>
      </c>
      <c r="AK570" t="s">
        <v>11649</v>
      </c>
      <c r="AL570" t="s">
        <v>11650</v>
      </c>
      <c r="AO570" t="s">
        <v>486</v>
      </c>
      <c r="AP570">
        <v>6.0</v>
      </c>
      <c r="AQ570" t="s">
        <v>303</v>
      </c>
      <c r="AR570" t="s">
        <v>1954</v>
      </c>
      <c r="AS570" t="b">
        <v>0</v>
      </c>
      <c r="AV570">
        <v>4.0</v>
      </c>
      <c r="AW570" t="b">
        <v>1</v>
      </c>
      <c r="AX570" s="4" t="s">
        <v>130</v>
      </c>
      <c r="AY570" s="4" t="s">
        <v>170</v>
      </c>
      <c r="AZ570" t="b">
        <v>1</v>
      </c>
      <c r="BA570" t="b">
        <v>0</v>
      </c>
      <c r="BD570" t="s">
        <v>11651</v>
      </c>
      <c r="BH570" t="s">
        <v>132</v>
      </c>
      <c r="BI570">
        <v>4.0</v>
      </c>
      <c r="BJ570" t="s">
        <v>11652</v>
      </c>
      <c r="BK570">
        <v>4.0</v>
      </c>
      <c r="BL570">
        <v>3.0</v>
      </c>
      <c r="BM570" t="s">
        <v>11653</v>
      </c>
      <c r="BN570">
        <v>3.0</v>
      </c>
      <c r="BO570">
        <v>1.0</v>
      </c>
      <c r="BP570" t="s">
        <v>11654</v>
      </c>
      <c r="BQ570" t="s">
        <v>11655</v>
      </c>
      <c r="BR570" t="s">
        <v>11656</v>
      </c>
      <c r="BS570" t="s">
        <v>11657</v>
      </c>
      <c r="BU570" t="s">
        <v>139</v>
      </c>
      <c r="BV570" s="3" t="str">
        <f>HYPERLINK("https://api.typeform.com/responses/files/820a5188fd8184e75bcd06d3641e37e43df59e7d7a0a1c34bc6341f744d949f0/fatima.jfif")</f>
        <v>https://api.typeform.com/responses/files/820a5188fd8184e75bcd06d3641e37e43df59e7d7a0a1c34bc6341f744d949f0/fatima.jfif</v>
      </c>
      <c r="BW570" t="b">
        <v>1</v>
      </c>
      <c r="BX570" t="s">
        <v>1394</v>
      </c>
      <c r="BY570" t="s">
        <v>140</v>
      </c>
      <c r="CA570" t="s">
        <v>1395</v>
      </c>
      <c r="CD570">
        <v>0.0</v>
      </c>
      <c r="CF570" t="b">
        <v>1</v>
      </c>
      <c r="CG570" t="b">
        <v>0</v>
      </c>
      <c r="CH570" t="s">
        <v>11658</v>
      </c>
      <c r="CJ570" t="b">
        <v>1</v>
      </c>
      <c r="CK570" t="b">
        <v>1</v>
      </c>
      <c r="CL570" t="s">
        <v>810</v>
      </c>
      <c r="CM570" t="s">
        <v>810</v>
      </c>
      <c r="CO570" t="s">
        <v>2068</v>
      </c>
      <c r="CQ570" t="s">
        <v>413</v>
      </c>
      <c r="CR570" t="b">
        <v>1</v>
      </c>
      <c r="CT570">
        <v>0.0</v>
      </c>
      <c r="CU570">
        <v>5.0</v>
      </c>
      <c r="CX570" t="s">
        <v>4188</v>
      </c>
      <c r="CZ570" s="5">
        <v>44840.716412037036</v>
      </c>
      <c r="DA570" t="s">
        <v>11659</v>
      </c>
    </row>
    <row r="571">
      <c r="A571" t="s">
        <v>98</v>
      </c>
      <c r="D571" t="s">
        <v>11660</v>
      </c>
      <c r="E571" t="s">
        <v>11661</v>
      </c>
      <c r="F571" s="2">
        <v>38045.0</v>
      </c>
      <c r="G571" t="s">
        <v>1360</v>
      </c>
      <c r="I571" s="3" t="str">
        <f>HYPERLINK("https://api.typeform.com/responses/files/fc73499a558e79976eb8db75a5be149c3199fc7bba8bbe97f77e2ae208a914ab/87A59D20_D641_487A_A03D_1D6FDB059AB8.jpeg")</f>
        <v>https://api.typeform.com/responses/files/fc73499a558e79976eb8db75a5be149c3199fc7bba8bbe97f77e2ae208a914ab/87A59D20_D641_487A_A03D_1D6FDB059AB8.jpeg</v>
      </c>
      <c r="J571" t="s">
        <v>11662</v>
      </c>
      <c r="K571" t="b">
        <v>1</v>
      </c>
      <c r="L571" s="4" t="s">
        <v>11663</v>
      </c>
      <c r="M571" t="s">
        <v>11664</v>
      </c>
      <c r="N571" t="s">
        <v>354</v>
      </c>
      <c r="P571" t="s">
        <v>11665</v>
      </c>
      <c r="Q571" t="s">
        <v>152</v>
      </c>
      <c r="R571" t="s">
        <v>11666</v>
      </c>
      <c r="S571" t="s">
        <v>11664</v>
      </c>
      <c r="T571" s="4" t="s">
        <v>11667</v>
      </c>
      <c r="U571" t="s">
        <v>592</v>
      </c>
      <c r="V571" t="s">
        <v>11668</v>
      </c>
      <c r="W571" t="s">
        <v>113</v>
      </c>
      <c r="Y571" t="s">
        <v>158</v>
      </c>
      <c r="Z571" t="s">
        <v>195</v>
      </c>
      <c r="AC571" s="3" t="str">
        <f>HYPERLINK("https://api.typeform.com/responses/files/1e9a0b948a209c73f765c0fde5aeda8ef3e156b9c141157dab8fc09f9f55bfed/CFE6EFE7_2F66_48C7_9440_394D4BFCB1E5.jpeg")</f>
        <v>https://api.typeform.com/responses/files/1e9a0b948a209c73f765c0fde5aeda8ef3e156b9c141157dab8fc09f9f55bfed/CFE6EFE7_2F66_48C7_9440_394D4BFCB1E5.jpeg</v>
      </c>
      <c r="AD571" t="s">
        <v>118</v>
      </c>
      <c r="AE571" t="s">
        <v>729</v>
      </c>
      <c r="AF571" t="s">
        <v>4450</v>
      </c>
      <c r="AG571">
        <v>17.0</v>
      </c>
      <c r="AH571" t="s">
        <v>11669</v>
      </c>
      <c r="AI571" t="s">
        <v>386</v>
      </c>
      <c r="AK571" t="s">
        <v>11670</v>
      </c>
      <c r="AL571" t="s">
        <v>11671</v>
      </c>
      <c r="AO571" t="s">
        <v>335</v>
      </c>
      <c r="AP571">
        <v>3.0</v>
      </c>
      <c r="AQ571" t="s">
        <v>126</v>
      </c>
      <c r="AR571" t="s">
        <v>11672</v>
      </c>
      <c r="AS571" t="b">
        <v>1</v>
      </c>
      <c r="AT571" t="b">
        <v>0</v>
      </c>
      <c r="AV571">
        <v>4.0</v>
      </c>
      <c r="AW571" t="b">
        <v>0</v>
      </c>
      <c r="AZ571" t="b">
        <v>0</v>
      </c>
      <c r="BA571" t="b">
        <v>0</v>
      </c>
      <c r="BD571" t="s">
        <v>11673</v>
      </c>
      <c r="BH571" t="s">
        <v>132</v>
      </c>
      <c r="BI571">
        <v>1.0</v>
      </c>
      <c r="BJ571" t="s">
        <v>11674</v>
      </c>
      <c r="BK571">
        <v>1.0</v>
      </c>
      <c r="BL571">
        <v>4.0</v>
      </c>
      <c r="BM571" t="s">
        <v>11675</v>
      </c>
      <c r="BN571">
        <v>1.0</v>
      </c>
      <c r="BO571">
        <v>7.0</v>
      </c>
      <c r="BP571" t="s">
        <v>11676</v>
      </c>
      <c r="BQ571" t="s">
        <v>1606</v>
      </c>
      <c r="BR571" t="s">
        <v>11677</v>
      </c>
      <c r="BS571" t="s">
        <v>11678</v>
      </c>
      <c r="BU571" t="s">
        <v>11679</v>
      </c>
      <c r="BV571" s="3" t="str">
        <f>HYPERLINK("https://api.typeform.com/responses/files/e1e0135f8fb8b219b461081292ccefb5e08fc170a2995552473184fc346d4b69/583376EA_2C5B_4712_8BFC_40EE5BE3B400.jpeg")</f>
        <v>https://api.typeform.com/responses/files/e1e0135f8fb8b219b461081292ccefb5e08fc170a2995552473184fc346d4b69/583376EA_2C5B_4712_8BFC_40EE5BE3B400.jpeg</v>
      </c>
      <c r="BW571" t="b">
        <v>1</v>
      </c>
      <c r="BX571" t="s">
        <v>1394</v>
      </c>
      <c r="BY571" t="s">
        <v>140</v>
      </c>
      <c r="CA571" t="s">
        <v>1395</v>
      </c>
      <c r="CD571">
        <v>0.0</v>
      </c>
      <c r="CF571" t="b">
        <v>1</v>
      </c>
      <c r="CG571" t="b">
        <v>1</v>
      </c>
      <c r="CH571" t="s">
        <v>366</v>
      </c>
      <c r="CJ571" t="b">
        <v>1</v>
      </c>
      <c r="CK571" t="b">
        <v>1</v>
      </c>
      <c r="CL571" t="s">
        <v>387</v>
      </c>
      <c r="CM571" t="s">
        <v>387</v>
      </c>
      <c r="CO571" t="s">
        <v>11680</v>
      </c>
      <c r="CR571" t="b">
        <v>1</v>
      </c>
      <c r="CT571">
        <v>1.0</v>
      </c>
      <c r="CU571">
        <v>0.0</v>
      </c>
      <c r="CX571" s="4" t="s">
        <v>639</v>
      </c>
      <c r="CZ571" s="5">
        <v>44841.81959490741</v>
      </c>
      <c r="DA571" t="s">
        <v>11681</v>
      </c>
    </row>
    <row r="572">
      <c r="A572" t="s">
        <v>98</v>
      </c>
      <c r="D572" t="s">
        <v>11682</v>
      </c>
      <c r="E572" t="s">
        <v>4327</v>
      </c>
      <c r="F572" s="2">
        <v>38788.0</v>
      </c>
      <c r="G572" t="s">
        <v>1466</v>
      </c>
      <c r="I572" s="3" t="str">
        <f>HYPERLINK("https://api.typeform.com/responses/files/f71fcf7b7769707c23b05400f7259dbf16ea9b5e1ea8153fa49b49ebb9e2c338/20221006_222047.jpg")</f>
        <v>https://api.typeform.com/responses/files/f71fcf7b7769707c23b05400f7259dbf16ea9b5e1ea8153fa49b49ebb9e2c338/20221006_222047.jpg</v>
      </c>
      <c r="J572" t="s">
        <v>11683</v>
      </c>
      <c r="K572" t="b">
        <v>1</v>
      </c>
      <c r="L572" s="4" t="s">
        <v>11684</v>
      </c>
      <c r="M572" t="s">
        <v>11685</v>
      </c>
      <c r="N572" t="s">
        <v>105</v>
      </c>
      <c r="P572" t="s">
        <v>11686</v>
      </c>
      <c r="Q572" t="s">
        <v>189</v>
      </c>
      <c r="R572" t="s">
        <v>11687</v>
      </c>
      <c r="S572" t="s">
        <v>11685</v>
      </c>
      <c r="T572" s="4" t="s">
        <v>11688</v>
      </c>
      <c r="U572" t="s">
        <v>8476</v>
      </c>
      <c r="V572" t="s">
        <v>11689</v>
      </c>
      <c r="W572" t="s">
        <v>261</v>
      </c>
      <c r="Y572" t="s">
        <v>158</v>
      </c>
      <c r="Z572" t="s">
        <v>262</v>
      </c>
      <c r="AC572" s="3" t="str">
        <f>HYPERLINK("https://api.typeform.com/responses/files/b388c0367ba0246997df742448a5e7f11cb5bcfed51136d1aa8c59e2bfa8d492/Untitled_document.pdf")</f>
        <v>https://api.typeform.com/responses/files/b388c0367ba0246997df742448a5e7f11cb5bcfed51136d1aa8c59e2bfa8d492/Untitled_document.pdf</v>
      </c>
      <c r="AD572" t="s">
        <v>118</v>
      </c>
      <c r="AE572" t="s">
        <v>1220</v>
      </c>
      <c r="AF572" t="s">
        <v>197</v>
      </c>
      <c r="AG572">
        <v>0.0</v>
      </c>
      <c r="AH572" t="s">
        <v>3585</v>
      </c>
      <c r="AI572" t="s">
        <v>121</v>
      </c>
      <c r="AK572" t="s">
        <v>139</v>
      </c>
      <c r="AL572" t="s">
        <v>2877</v>
      </c>
      <c r="AO572" t="s">
        <v>125</v>
      </c>
      <c r="AP572">
        <v>4.0</v>
      </c>
      <c r="AQ572" t="s">
        <v>2240</v>
      </c>
      <c r="AR572" t="s">
        <v>11690</v>
      </c>
      <c r="AS572" t="b">
        <v>1</v>
      </c>
      <c r="AT572" t="b">
        <v>1</v>
      </c>
      <c r="AV572">
        <v>4.0</v>
      </c>
      <c r="AW572" t="b">
        <v>1</v>
      </c>
      <c r="AX572" t="s">
        <v>1902</v>
      </c>
      <c r="AY572" t="s">
        <v>1430</v>
      </c>
      <c r="AZ572" t="b">
        <v>1</v>
      </c>
      <c r="BA572" t="b">
        <v>1</v>
      </c>
      <c r="BB572" t="b">
        <v>0</v>
      </c>
      <c r="BC572" t="s">
        <v>11691</v>
      </c>
      <c r="BH572" t="s">
        <v>132</v>
      </c>
      <c r="BI572">
        <v>2.0</v>
      </c>
      <c r="BJ572" t="s">
        <v>11692</v>
      </c>
      <c r="BK572">
        <v>2.0</v>
      </c>
      <c r="BL572">
        <v>3.0</v>
      </c>
      <c r="BM572" t="s">
        <v>11693</v>
      </c>
      <c r="BN572">
        <v>2.0</v>
      </c>
      <c r="BO572">
        <v>3.0</v>
      </c>
      <c r="BP572" t="s">
        <v>11694</v>
      </c>
      <c r="BQ572" t="s">
        <v>1050</v>
      </c>
      <c r="BR572" t="s">
        <v>4637</v>
      </c>
      <c r="BS572" t="s">
        <v>4637</v>
      </c>
      <c r="BU572" t="s">
        <v>606</v>
      </c>
      <c r="BV572" s="3" t="str">
        <f>HYPERLINK("https://api.typeform.com/responses/files/3a0cff919a9fe1501955577298a5d8519ca305593a907013401a885a067aaaae/Untitled_document.pdf")</f>
        <v>https://api.typeform.com/responses/files/3a0cff919a9fe1501955577298a5d8519ca305593a907013401a885a067aaaae/Untitled_document.pdf</v>
      </c>
      <c r="BW572" t="b">
        <v>1</v>
      </c>
      <c r="BX572" t="s">
        <v>1394</v>
      </c>
      <c r="BY572" t="s">
        <v>140</v>
      </c>
      <c r="CA572" t="s">
        <v>1395</v>
      </c>
      <c r="CD572">
        <v>0.0</v>
      </c>
      <c r="CF572" t="b">
        <v>0</v>
      </c>
      <c r="CG572" t="b">
        <v>0</v>
      </c>
      <c r="CH572" t="s">
        <v>11695</v>
      </c>
      <c r="CJ572" t="b">
        <v>0</v>
      </c>
      <c r="CK572" t="b">
        <v>0</v>
      </c>
      <c r="CL572" t="s">
        <v>541</v>
      </c>
      <c r="CO572" t="s">
        <v>2500</v>
      </c>
      <c r="CR572" t="b">
        <v>1</v>
      </c>
      <c r="CT572">
        <v>0.0</v>
      </c>
      <c r="CU572">
        <v>0.0</v>
      </c>
      <c r="CX572" t="s">
        <v>4637</v>
      </c>
      <c r="CZ572" s="5">
        <v>44845.6141087963</v>
      </c>
      <c r="DA572" t="s">
        <v>11696</v>
      </c>
    </row>
    <row r="573">
      <c r="A573" t="s">
        <v>98</v>
      </c>
      <c r="D573" t="s">
        <v>8449</v>
      </c>
      <c r="E573" t="s">
        <v>11697</v>
      </c>
      <c r="F573" s="2">
        <v>38856.0</v>
      </c>
      <c r="G573" t="s">
        <v>1360</v>
      </c>
      <c r="I573" s="3" t="str">
        <f>HYPERLINK("https://api.typeform.com/responses/files/f0efba109e9f0fb67d1d0f92f2376da2a1b92db2c1f8c6f39bcacc511732bc1a/IMG_4939.jpg")</f>
        <v>https://api.typeform.com/responses/files/f0efba109e9f0fb67d1d0f92f2376da2a1b92db2c1f8c6f39bcacc511732bc1a/IMG_4939.jpg</v>
      </c>
      <c r="J573" t="s">
        <v>11698</v>
      </c>
      <c r="K573" t="b">
        <v>1</v>
      </c>
      <c r="L573" s="4" t="s">
        <v>11699</v>
      </c>
      <c r="M573" t="s">
        <v>11700</v>
      </c>
      <c r="N573" t="s">
        <v>255</v>
      </c>
      <c r="O573" t="s">
        <v>11701</v>
      </c>
      <c r="P573" t="s">
        <v>11702</v>
      </c>
      <c r="Q573" t="s">
        <v>152</v>
      </c>
      <c r="R573" t="s">
        <v>11698</v>
      </c>
      <c r="S573" t="s">
        <v>11700</v>
      </c>
      <c r="T573" s="4" t="s">
        <v>11703</v>
      </c>
      <c r="U573" t="s">
        <v>9978</v>
      </c>
      <c r="V573" t="s">
        <v>11704</v>
      </c>
      <c r="W573" t="s">
        <v>261</v>
      </c>
      <c r="Y573" t="s">
        <v>158</v>
      </c>
      <c r="Z573" t="s">
        <v>262</v>
      </c>
      <c r="AC573" s="3" t="str">
        <f>HYPERLINK("https://api.typeform.com/responses/files/29214029ce8ecdd3f36a5269de5ccbe78338b4d6f5f17c452f4c290cb17c7fce/Screenshot_2022_10_11_10.34.56_AM.png")</f>
        <v>https://api.typeform.com/responses/files/29214029ce8ecdd3f36a5269de5ccbe78338b4d6f5f17c452f4c290cb17c7fce/Screenshot_2022_10_11_10.34.56_AM.png</v>
      </c>
      <c r="AD573" t="s">
        <v>118</v>
      </c>
      <c r="AE573" t="s">
        <v>1220</v>
      </c>
      <c r="AF573" t="s">
        <v>4450</v>
      </c>
      <c r="AG573">
        <v>0.0</v>
      </c>
      <c r="AH573" t="s">
        <v>11705</v>
      </c>
      <c r="AI573" t="s">
        <v>121</v>
      </c>
      <c r="AK573" t="s">
        <v>139</v>
      </c>
      <c r="AL573" t="s">
        <v>1043</v>
      </c>
      <c r="AO573" t="s">
        <v>125</v>
      </c>
      <c r="AP573">
        <v>5.0</v>
      </c>
      <c r="AQ573" t="s">
        <v>1070</v>
      </c>
      <c r="AR573" t="s">
        <v>11706</v>
      </c>
      <c r="AS573" t="b">
        <v>1</v>
      </c>
      <c r="AT573" t="b">
        <v>0</v>
      </c>
      <c r="AV573">
        <v>4.0</v>
      </c>
      <c r="AW573" t="b">
        <v>1</v>
      </c>
      <c r="AX573" s="4" t="s">
        <v>130</v>
      </c>
      <c r="AY573" s="4" t="s">
        <v>518</v>
      </c>
      <c r="AZ573" t="b">
        <v>0</v>
      </c>
      <c r="BA573" t="b">
        <v>0</v>
      </c>
      <c r="BD573" t="s">
        <v>679</v>
      </c>
      <c r="BH573" t="s">
        <v>132</v>
      </c>
      <c r="BI573">
        <v>1.0</v>
      </c>
      <c r="BJ573" s="4" t="s">
        <v>339</v>
      </c>
      <c r="BK573">
        <v>1.0</v>
      </c>
      <c r="BL573">
        <v>1.0</v>
      </c>
      <c r="BM573" t="s">
        <v>11707</v>
      </c>
      <c r="BN573">
        <v>2.0</v>
      </c>
      <c r="BO573">
        <v>3.0</v>
      </c>
      <c r="BP573" t="s">
        <v>11708</v>
      </c>
      <c r="BQ573" t="s">
        <v>1050</v>
      </c>
      <c r="BR573" t="s">
        <v>11709</v>
      </c>
      <c r="BS573" t="s">
        <v>11710</v>
      </c>
      <c r="BU573" t="s">
        <v>11711</v>
      </c>
      <c r="BV573" s="3" t="str">
        <f>HYPERLINK("https://api.typeform.com/responses/files/f7bf6813e7ecd08a8285840d8123baf88c70635ddbeb06d60df79dee5e9631f5/Screenshot_2022_10_11_10.34.56_AM.png")</f>
        <v>https://api.typeform.com/responses/files/f7bf6813e7ecd08a8285840d8123baf88c70635ddbeb06d60df79dee5e9631f5/Screenshot_2022_10_11_10.34.56_AM.png</v>
      </c>
      <c r="BW573" t="b">
        <v>1</v>
      </c>
      <c r="BX573" t="s">
        <v>1394</v>
      </c>
      <c r="BY573" t="s">
        <v>140</v>
      </c>
      <c r="CA573" t="s">
        <v>1395</v>
      </c>
      <c r="CD573">
        <v>0.0</v>
      </c>
      <c r="CF573" t="b">
        <v>0</v>
      </c>
      <c r="CG573" t="b">
        <v>0</v>
      </c>
      <c r="CH573" t="s">
        <v>1935</v>
      </c>
      <c r="CJ573" t="b">
        <v>0</v>
      </c>
      <c r="CK573" t="b">
        <v>0</v>
      </c>
      <c r="CL573" t="s">
        <v>541</v>
      </c>
      <c r="CM573" t="s">
        <v>387</v>
      </c>
      <c r="CO573" t="s">
        <v>2888</v>
      </c>
      <c r="CR573" t="b">
        <v>1</v>
      </c>
      <c r="CT573">
        <v>0.0</v>
      </c>
      <c r="CU573">
        <v>0.0</v>
      </c>
      <c r="CX573" t="s">
        <v>5696</v>
      </c>
      <c r="CZ573" s="5">
        <v>44845.617893518516</v>
      </c>
      <c r="DA573" t="s">
        <v>11712</v>
      </c>
    </row>
    <row r="574">
      <c r="A574" t="s">
        <v>98</v>
      </c>
      <c r="D574" t="s">
        <v>11713</v>
      </c>
      <c r="E574" t="s">
        <v>11714</v>
      </c>
      <c r="F574" s="2">
        <v>39003.0</v>
      </c>
      <c r="G574" t="s">
        <v>1466</v>
      </c>
      <c r="I574" s="3" t="str">
        <f>HYPERLINK("https://api.typeform.com/responses/files/d35d52dc9bc2429695a678df323946b50fb0f34a5c11fd3d78894d0364558747/image.jpg")</f>
        <v>https://api.typeform.com/responses/files/d35d52dc9bc2429695a678df323946b50fb0f34a5c11fd3d78894d0364558747/image.jpg</v>
      </c>
      <c r="J574" t="s">
        <v>11715</v>
      </c>
      <c r="K574" t="b">
        <v>1</v>
      </c>
      <c r="L574" s="4" t="s">
        <v>11716</v>
      </c>
      <c r="M574" t="s">
        <v>11717</v>
      </c>
      <c r="N574" t="s">
        <v>255</v>
      </c>
      <c r="O574" t="s">
        <v>1716</v>
      </c>
      <c r="P574" t="s">
        <v>11718</v>
      </c>
      <c r="Q574" t="s">
        <v>189</v>
      </c>
      <c r="R574" t="s">
        <v>11719</v>
      </c>
      <c r="S574" t="s">
        <v>11720</v>
      </c>
      <c r="T574" s="4" t="s">
        <v>11721</v>
      </c>
      <c r="U574" t="s">
        <v>9618</v>
      </c>
      <c r="V574" t="s">
        <v>11722</v>
      </c>
      <c r="W574" t="s">
        <v>261</v>
      </c>
      <c r="Y574" t="s">
        <v>158</v>
      </c>
      <c r="Z574" t="s">
        <v>262</v>
      </c>
      <c r="AC574" s="3" t="str">
        <f>HYPERLINK("https://api.typeform.com/responses/files/d52a346ad772c6f00e78592e2a918073c25dc970ef5e3d37c67ca5753f383670/D97C3722_B26E_4653_A085_A9F79A79281B.png")</f>
        <v>https://api.typeform.com/responses/files/d52a346ad772c6f00e78592e2a918073c25dc970ef5e3d37c67ca5753f383670/D97C3722_B26E_4653_A085_A9F79A79281B.png</v>
      </c>
      <c r="AD574" t="s">
        <v>118</v>
      </c>
      <c r="AE574" t="s">
        <v>781</v>
      </c>
      <c r="AF574" t="s">
        <v>5316</v>
      </c>
      <c r="AG574">
        <v>0.0</v>
      </c>
      <c r="AH574" t="s">
        <v>5696</v>
      </c>
      <c r="AI574" t="s">
        <v>121</v>
      </c>
      <c r="AK574" t="s">
        <v>179</v>
      </c>
      <c r="AL574" t="s">
        <v>621</v>
      </c>
      <c r="AO574" t="s">
        <v>125</v>
      </c>
      <c r="AP574">
        <v>6.0</v>
      </c>
      <c r="AQ574" t="s">
        <v>126</v>
      </c>
      <c r="AR574" t="s">
        <v>1348</v>
      </c>
      <c r="AS574" t="b">
        <v>1</v>
      </c>
      <c r="AT574" t="b">
        <v>0</v>
      </c>
      <c r="AV574">
        <v>5.0</v>
      </c>
      <c r="AW574" t="b">
        <v>0</v>
      </c>
      <c r="AZ574" t="b">
        <v>0</v>
      </c>
      <c r="BA574" t="b">
        <v>1</v>
      </c>
      <c r="BB574" t="b">
        <v>0</v>
      </c>
      <c r="BC574" t="s">
        <v>4666</v>
      </c>
      <c r="BH574" t="s">
        <v>132</v>
      </c>
      <c r="BI574">
        <v>3.0</v>
      </c>
      <c r="BJ574" t="s">
        <v>11723</v>
      </c>
      <c r="BK574">
        <v>6.0</v>
      </c>
      <c r="BL574">
        <v>5.0</v>
      </c>
      <c r="BM574" t="s">
        <v>11724</v>
      </c>
      <c r="BN574">
        <v>5.0</v>
      </c>
      <c r="BO574">
        <v>5.0</v>
      </c>
      <c r="BP574" t="s">
        <v>11725</v>
      </c>
      <c r="BQ574" t="s">
        <v>916</v>
      </c>
      <c r="BR574" t="s">
        <v>11726</v>
      </c>
      <c r="BS574" t="s">
        <v>11727</v>
      </c>
      <c r="BU574" t="s">
        <v>179</v>
      </c>
      <c r="BV574" s="3" t="str">
        <f>HYPERLINK("https://api.typeform.com/responses/files/8bb13103e51aadb2349402bb798636a63879d1961a0472bc3a322bfdd37ff608/image.jpg")</f>
        <v>https://api.typeform.com/responses/files/8bb13103e51aadb2349402bb798636a63879d1961a0472bc3a322bfdd37ff608/image.jpg</v>
      </c>
      <c r="BW574" t="b">
        <v>1</v>
      </c>
      <c r="BX574" t="s">
        <v>1394</v>
      </c>
      <c r="BY574" t="s">
        <v>140</v>
      </c>
      <c r="CA574" t="s">
        <v>1395</v>
      </c>
      <c r="CD574">
        <v>0.0</v>
      </c>
      <c r="CF574" t="b">
        <v>0</v>
      </c>
      <c r="CG574" t="b">
        <v>0</v>
      </c>
      <c r="CH574" t="s">
        <v>1420</v>
      </c>
      <c r="CJ574" t="b">
        <v>1</v>
      </c>
      <c r="CK574" t="b">
        <v>0</v>
      </c>
      <c r="CL574" t="s">
        <v>387</v>
      </c>
      <c r="CM574" t="s">
        <v>387</v>
      </c>
      <c r="CO574" t="s">
        <v>11728</v>
      </c>
      <c r="CQ574" t="s">
        <v>387</v>
      </c>
      <c r="CR574" t="b">
        <v>1</v>
      </c>
      <c r="CT574">
        <v>1.0</v>
      </c>
      <c r="CU574">
        <v>0.0</v>
      </c>
      <c r="CX574" s="4" t="s">
        <v>1148</v>
      </c>
      <c r="CZ574" s="5">
        <v>44845.62216435185</v>
      </c>
      <c r="DA574" t="s">
        <v>11729</v>
      </c>
    </row>
    <row r="575">
      <c r="A575" t="s">
        <v>98</v>
      </c>
      <c r="D575" t="s">
        <v>11730</v>
      </c>
      <c r="E575" t="s">
        <v>11731</v>
      </c>
      <c r="F575" s="2">
        <v>38910.0</v>
      </c>
      <c r="G575" t="s">
        <v>1360</v>
      </c>
      <c r="I575" s="3" t="str">
        <f>HYPERLINK("https://api.typeform.com/responses/files/cd9ff9eb732c6eab2931fb9983c5dd13b0abf876cd54d29dd25689735e7bd8c2/image.jpg")</f>
        <v>https://api.typeform.com/responses/files/cd9ff9eb732c6eab2931fb9983c5dd13b0abf876cd54d29dd25689735e7bd8c2/image.jpg</v>
      </c>
      <c r="J575" t="s">
        <v>11732</v>
      </c>
      <c r="K575" t="b">
        <v>1</v>
      </c>
      <c r="L575" s="4" t="s">
        <v>11733</v>
      </c>
      <c r="M575" t="s">
        <v>11734</v>
      </c>
      <c r="N575" t="s">
        <v>255</v>
      </c>
      <c r="P575" t="s">
        <v>11735</v>
      </c>
      <c r="Q575" t="s">
        <v>189</v>
      </c>
      <c r="R575" t="s">
        <v>11736</v>
      </c>
      <c r="S575" t="s">
        <v>11737</v>
      </c>
      <c r="T575" s="4" t="s">
        <v>11738</v>
      </c>
      <c r="U575" t="s">
        <v>9934</v>
      </c>
      <c r="V575" t="s">
        <v>11739</v>
      </c>
      <c r="W575" t="s">
        <v>261</v>
      </c>
      <c r="Y575" t="s">
        <v>158</v>
      </c>
      <c r="Z575" t="s">
        <v>262</v>
      </c>
      <c r="AC575" s="3" t="str">
        <f>HYPERLINK("https://api.typeform.com/responses/files/61ac80eeb07b6b6812aca2516d015f7fc3a4ec6a2d723a00f9a054495d08a9cf/image.jpg")</f>
        <v>https://api.typeform.com/responses/files/61ac80eeb07b6b6812aca2516d015f7fc3a4ec6a2d723a00f9a054495d08a9cf/image.jpg</v>
      </c>
      <c r="AD575" t="s">
        <v>118</v>
      </c>
      <c r="AE575" t="s">
        <v>1220</v>
      </c>
      <c r="AF575" t="s">
        <v>2029</v>
      </c>
      <c r="AG575">
        <v>0.0</v>
      </c>
      <c r="AH575" s="4" t="s">
        <v>11616</v>
      </c>
      <c r="AI575" t="s">
        <v>121</v>
      </c>
      <c r="AK575" t="s">
        <v>139</v>
      </c>
      <c r="AL575" t="s">
        <v>1043</v>
      </c>
      <c r="AO575" t="s">
        <v>335</v>
      </c>
      <c r="AP575">
        <v>5.0</v>
      </c>
      <c r="AQ575" t="s">
        <v>126</v>
      </c>
      <c r="AR575" t="s">
        <v>11740</v>
      </c>
      <c r="AS575" t="b">
        <v>1</v>
      </c>
      <c r="AT575" t="b">
        <v>1</v>
      </c>
      <c r="AV575">
        <v>5.0</v>
      </c>
      <c r="AW575" t="b">
        <v>1</v>
      </c>
      <c r="AX575" t="s">
        <v>1902</v>
      </c>
      <c r="AY575" s="4" t="s">
        <v>518</v>
      </c>
      <c r="AZ575" t="b">
        <v>0</v>
      </c>
      <c r="BA575" t="b">
        <v>0</v>
      </c>
      <c r="BD575" t="s">
        <v>11741</v>
      </c>
      <c r="BH575" t="s">
        <v>132</v>
      </c>
      <c r="BI575">
        <v>3.0</v>
      </c>
      <c r="BJ575" t="s">
        <v>11742</v>
      </c>
      <c r="BK575">
        <v>5.0</v>
      </c>
      <c r="BL575">
        <v>4.0</v>
      </c>
      <c r="BM575" t="s">
        <v>11743</v>
      </c>
      <c r="BN575">
        <v>4.0</v>
      </c>
      <c r="BO575">
        <v>3.0</v>
      </c>
      <c r="BP575" t="s">
        <v>11744</v>
      </c>
      <c r="BQ575" t="s">
        <v>1050</v>
      </c>
      <c r="BR575" t="s">
        <v>11745</v>
      </c>
      <c r="BS575" t="s">
        <v>11746</v>
      </c>
      <c r="BU575" t="s">
        <v>11747</v>
      </c>
      <c r="BV575" s="3" t="str">
        <f>HYPERLINK("https://api.typeform.com/responses/files/71eb9739fb3e98dceacf2b8b9d4136ab10ef77c9155f4f23dbf605c618220ca4/image.jpg")</f>
        <v>https://api.typeform.com/responses/files/71eb9739fb3e98dceacf2b8b9d4136ab10ef77c9155f4f23dbf605c618220ca4/image.jpg</v>
      </c>
      <c r="BW575" t="b">
        <v>1</v>
      </c>
      <c r="BX575" t="s">
        <v>1394</v>
      </c>
      <c r="BY575" t="s">
        <v>140</v>
      </c>
      <c r="CA575" t="s">
        <v>1395</v>
      </c>
      <c r="CD575">
        <v>0.0</v>
      </c>
      <c r="CF575" t="b">
        <v>0</v>
      </c>
      <c r="CG575" t="b">
        <v>0</v>
      </c>
      <c r="CH575" t="s">
        <v>1935</v>
      </c>
      <c r="CJ575" t="b">
        <v>0</v>
      </c>
      <c r="CK575" t="b">
        <v>0</v>
      </c>
      <c r="CL575" t="s">
        <v>3213</v>
      </c>
      <c r="CM575" t="s">
        <v>541</v>
      </c>
      <c r="CO575" t="s">
        <v>2888</v>
      </c>
      <c r="CR575" t="b">
        <v>1</v>
      </c>
      <c r="CT575">
        <v>0.0</v>
      </c>
      <c r="CU575">
        <v>0.0</v>
      </c>
      <c r="CX575" t="s">
        <v>11748</v>
      </c>
      <c r="CZ575" s="5">
        <v>44845.771898148145</v>
      </c>
      <c r="DA575" t="s">
        <v>11749</v>
      </c>
    </row>
    <row r="576">
      <c r="A576" t="s">
        <v>98</v>
      </c>
      <c r="D576" t="s">
        <v>9392</v>
      </c>
      <c r="E576" t="s">
        <v>6211</v>
      </c>
      <c r="F576" s="2">
        <v>38827.0</v>
      </c>
      <c r="G576" t="s">
        <v>1360</v>
      </c>
      <c r="I576" s="3" t="str">
        <f>HYPERLINK("https://api.typeform.com/responses/files/814368569b8a3926303bb1529150ed0a0e11dfe7c8367604041502ed6882af97/b.gif")</f>
        <v>https://api.typeform.com/responses/files/814368569b8a3926303bb1529150ed0a0e11dfe7c8367604041502ed6882af97/b.gif</v>
      </c>
      <c r="J576" t="s">
        <v>11750</v>
      </c>
      <c r="K576" t="b">
        <v>1</v>
      </c>
      <c r="L576" s="4" t="s">
        <v>11751</v>
      </c>
      <c r="M576" t="s">
        <v>11752</v>
      </c>
      <c r="N576" t="s">
        <v>255</v>
      </c>
      <c r="P576" t="s">
        <v>11753</v>
      </c>
      <c r="Q576" t="s">
        <v>189</v>
      </c>
      <c r="R576" t="s">
        <v>11754</v>
      </c>
      <c r="S576" t="s">
        <v>11755</v>
      </c>
      <c r="T576" s="4" t="s">
        <v>11756</v>
      </c>
      <c r="U576" t="s">
        <v>11757</v>
      </c>
      <c r="V576" t="s">
        <v>11315</v>
      </c>
      <c r="W576" t="s">
        <v>261</v>
      </c>
      <c r="Y576" t="s">
        <v>158</v>
      </c>
      <c r="Z576" t="s">
        <v>262</v>
      </c>
      <c r="AC576" s="3" t="str">
        <f>HYPERLINK("https://api.typeform.com/responses/files/69c3d7e9b7cd6c0be593c572d58efc8cb9d603076318f902cc268a39d2cfb1ea/b.gif")</f>
        <v>https://api.typeform.com/responses/files/69c3d7e9b7cd6c0be593c572d58efc8cb9d603076318f902cc268a39d2cfb1ea/b.gif</v>
      </c>
      <c r="AD576" t="s">
        <v>118</v>
      </c>
      <c r="AE576" t="s">
        <v>1220</v>
      </c>
      <c r="AF576" t="s">
        <v>4374</v>
      </c>
      <c r="AG576">
        <v>0.0</v>
      </c>
      <c r="AH576" t="s">
        <v>11758</v>
      </c>
      <c r="AI576" t="s">
        <v>121</v>
      </c>
      <c r="AK576" t="s">
        <v>139</v>
      </c>
      <c r="AL576" t="s">
        <v>1043</v>
      </c>
      <c r="AO576" t="s">
        <v>125</v>
      </c>
      <c r="AP576">
        <v>5.0</v>
      </c>
      <c r="AQ576" t="s">
        <v>461</v>
      </c>
      <c r="AR576" t="s">
        <v>11759</v>
      </c>
      <c r="AS576" t="b">
        <v>1</v>
      </c>
      <c r="AT576" t="b">
        <v>0</v>
      </c>
      <c r="AV576">
        <v>4.0</v>
      </c>
      <c r="AW576" t="b">
        <v>1</v>
      </c>
      <c r="AX576" t="s">
        <v>1902</v>
      </c>
      <c r="AY576" s="4" t="s">
        <v>518</v>
      </c>
      <c r="AZ576" t="b">
        <v>0</v>
      </c>
      <c r="BA576" t="b">
        <v>0</v>
      </c>
      <c r="BD576" t="s">
        <v>11760</v>
      </c>
      <c r="BH576" t="s">
        <v>132</v>
      </c>
      <c r="BI576">
        <v>3.0</v>
      </c>
      <c r="BJ576" t="s">
        <v>11761</v>
      </c>
      <c r="BK576">
        <v>4.0</v>
      </c>
      <c r="BL576">
        <v>4.0</v>
      </c>
      <c r="BM576" t="s">
        <v>11762</v>
      </c>
      <c r="BN576">
        <v>4.0</v>
      </c>
      <c r="BO576">
        <v>4.0</v>
      </c>
      <c r="BP576" t="s">
        <v>11763</v>
      </c>
      <c r="BQ576" t="s">
        <v>8200</v>
      </c>
      <c r="BR576" t="s">
        <v>11764</v>
      </c>
      <c r="BS576" t="s">
        <v>11765</v>
      </c>
      <c r="BU576" t="s">
        <v>606</v>
      </c>
      <c r="BV576" s="3" t="str">
        <f>HYPERLINK("https://api.typeform.com/responses/files/3e00616cc335fc08e0d79fc55659926c1fb668c79ecdd4e366bf76d07e4f81f9/b.gif")</f>
        <v>https://api.typeform.com/responses/files/3e00616cc335fc08e0d79fc55659926c1fb668c79ecdd4e366bf76d07e4f81f9/b.gif</v>
      </c>
      <c r="BW576" t="b">
        <v>1</v>
      </c>
      <c r="BX576" t="s">
        <v>1394</v>
      </c>
      <c r="BY576" t="s">
        <v>140</v>
      </c>
      <c r="CA576" t="s">
        <v>1395</v>
      </c>
      <c r="CD576">
        <v>0.0</v>
      </c>
      <c r="CF576" t="b">
        <v>0</v>
      </c>
      <c r="CG576" t="b">
        <v>0</v>
      </c>
      <c r="CH576" t="s">
        <v>1935</v>
      </c>
      <c r="CJ576" t="b">
        <v>0</v>
      </c>
      <c r="CK576" t="b">
        <v>0</v>
      </c>
      <c r="CL576" t="s">
        <v>541</v>
      </c>
      <c r="CO576" t="s">
        <v>2888</v>
      </c>
      <c r="CR576" t="b">
        <v>1</v>
      </c>
      <c r="CT576">
        <v>1.0</v>
      </c>
      <c r="CU576">
        <v>0.0</v>
      </c>
      <c r="CX576" t="s">
        <v>4637</v>
      </c>
      <c r="CZ576" s="5">
        <v>44845.77302083333</v>
      </c>
      <c r="DA576" t="s">
        <v>11766</v>
      </c>
    </row>
    <row r="577">
      <c r="A577" t="s">
        <v>98</v>
      </c>
      <c r="D577" t="s">
        <v>11767</v>
      </c>
      <c r="E577" t="s">
        <v>11768</v>
      </c>
      <c r="F577" s="2">
        <v>39001.0</v>
      </c>
      <c r="G577" t="s">
        <v>1466</v>
      </c>
      <c r="I577" s="3" t="str">
        <f>HYPERLINK("https://api.typeform.com/responses/files/7c382ade1076325bad0abb320ca2657e07646a4fcc75495359adb16e562a57df/Blank_square.svg.png")</f>
        <v>https://api.typeform.com/responses/files/7c382ade1076325bad0abb320ca2657e07646a4fcc75495359adb16e562a57df/Blank_square.svg.png</v>
      </c>
      <c r="J577" t="s">
        <v>11769</v>
      </c>
      <c r="K577" t="b">
        <v>1</v>
      </c>
      <c r="L577" s="4" t="s">
        <v>11770</v>
      </c>
      <c r="M577" t="s">
        <v>11771</v>
      </c>
      <c r="N577" t="s">
        <v>255</v>
      </c>
      <c r="O577" t="s">
        <v>11772</v>
      </c>
      <c r="P577" t="s">
        <v>11773</v>
      </c>
      <c r="Q577" t="s">
        <v>189</v>
      </c>
      <c r="R577" t="s">
        <v>11774</v>
      </c>
      <c r="S577" t="s">
        <v>11775</v>
      </c>
      <c r="T577" s="4" t="s">
        <v>11770</v>
      </c>
      <c r="U577" t="s">
        <v>9618</v>
      </c>
      <c r="V577" t="s">
        <v>9229</v>
      </c>
      <c r="W577" t="s">
        <v>113</v>
      </c>
      <c r="Y577" t="s">
        <v>158</v>
      </c>
      <c r="Z577" t="s">
        <v>262</v>
      </c>
      <c r="AC577" s="3" t="str">
        <f>HYPERLINK("https://api.typeform.com/responses/files/fe5f2d1b6b8d5ee61aabbabb5af04e608f0af18d14e28c2a710f8ed0ab5f3708/Blank_square.svg.png")</f>
        <v>https://api.typeform.com/responses/files/fe5f2d1b6b8d5ee61aabbabb5af04e608f0af18d14e28c2a710f8ed0ab5f3708/Blank_square.svg.png</v>
      </c>
      <c r="AD577" t="s">
        <v>118</v>
      </c>
      <c r="AE577" t="s">
        <v>729</v>
      </c>
      <c r="AF577" t="s">
        <v>197</v>
      </c>
      <c r="AG577">
        <v>3.0</v>
      </c>
      <c r="AH577" s="4" t="s">
        <v>7244</v>
      </c>
      <c r="AI577" t="s">
        <v>121</v>
      </c>
      <c r="AK577" t="s">
        <v>11776</v>
      </c>
      <c r="AL577" t="s">
        <v>199</v>
      </c>
      <c r="AO577" t="s">
        <v>335</v>
      </c>
      <c r="AP577">
        <v>5.0</v>
      </c>
      <c r="AQ577" t="s">
        <v>2240</v>
      </c>
      <c r="AR577" t="s">
        <v>2700</v>
      </c>
      <c r="AS577" t="b">
        <v>1</v>
      </c>
      <c r="AT577" t="b">
        <v>0</v>
      </c>
      <c r="AV577">
        <v>7.0</v>
      </c>
      <c r="AW577" t="b">
        <v>1</v>
      </c>
      <c r="AX577" s="4" t="s">
        <v>130</v>
      </c>
      <c r="AY577" s="4" t="s">
        <v>170</v>
      </c>
      <c r="AZ577" t="b">
        <v>0</v>
      </c>
      <c r="BA577" t="b">
        <v>1</v>
      </c>
      <c r="BB577" t="b">
        <v>1</v>
      </c>
      <c r="BC577" t="s">
        <v>5966</v>
      </c>
      <c r="BH577" t="s">
        <v>132</v>
      </c>
      <c r="BI577">
        <v>4.0</v>
      </c>
      <c r="BJ577" t="s">
        <v>11777</v>
      </c>
      <c r="BK577">
        <v>5.0</v>
      </c>
      <c r="BL577">
        <v>5.0</v>
      </c>
      <c r="BM577" t="s">
        <v>11778</v>
      </c>
      <c r="BN577">
        <v>5.0</v>
      </c>
      <c r="BO577">
        <v>4.0</v>
      </c>
      <c r="BP577" t="s">
        <v>11779</v>
      </c>
      <c r="BQ577" t="s">
        <v>4026</v>
      </c>
      <c r="BR577" t="s">
        <v>11780</v>
      </c>
      <c r="BS577" t="s">
        <v>10911</v>
      </c>
      <c r="BU577" t="s">
        <v>5966</v>
      </c>
      <c r="BV577" s="3" t="str">
        <f>HYPERLINK("https://api.typeform.com/responses/files/e8b343e54b8c3d4f297b8d79f060fa25e2ce748e3cf260eab9e713b3a4e92569/Blank_square.svg.png")</f>
        <v>https://api.typeform.com/responses/files/e8b343e54b8c3d4f297b8d79f060fa25e2ce748e3cf260eab9e713b3a4e92569/Blank_square.svg.png</v>
      </c>
      <c r="BW577" t="b">
        <v>1</v>
      </c>
      <c r="BX577" t="s">
        <v>1394</v>
      </c>
      <c r="BY577" t="s">
        <v>140</v>
      </c>
      <c r="CA577" t="s">
        <v>1395</v>
      </c>
      <c r="CD577">
        <v>0.0</v>
      </c>
      <c r="CF577" t="b">
        <v>1</v>
      </c>
      <c r="CG577" t="b">
        <v>0</v>
      </c>
      <c r="CH577" t="s">
        <v>11781</v>
      </c>
      <c r="CJ577" t="b">
        <v>1</v>
      </c>
      <c r="CK577" t="b">
        <v>0</v>
      </c>
      <c r="CL577" t="s">
        <v>541</v>
      </c>
      <c r="CM577" t="s">
        <v>541</v>
      </c>
      <c r="CO577" t="s">
        <v>200</v>
      </c>
      <c r="CQ577" t="s">
        <v>541</v>
      </c>
      <c r="CR577" t="b">
        <v>1</v>
      </c>
      <c r="CT577">
        <v>1.0</v>
      </c>
      <c r="CU577">
        <v>1.0</v>
      </c>
      <c r="CX577" t="s">
        <v>10129</v>
      </c>
      <c r="CZ577" s="5">
        <v>44845.773194444446</v>
      </c>
      <c r="DA577" t="s">
        <v>11782</v>
      </c>
    </row>
    <row r="578">
      <c r="A578" t="s">
        <v>98</v>
      </c>
      <c r="D578" t="s">
        <v>11783</v>
      </c>
      <c r="E578" t="s">
        <v>5240</v>
      </c>
      <c r="F578" s="2">
        <v>38880.0</v>
      </c>
      <c r="G578" t="s">
        <v>1466</v>
      </c>
      <c r="I578" s="3" t="str">
        <f>HYPERLINK("https://api.typeform.com/responses/files/f442d77c05775c5eb5d02f9117086d2a158839a3405d427642a50e7c78479718/3C333527_D118_4D42_AAF1_6E3D7136CDDD.jpeg")</f>
        <v>https://api.typeform.com/responses/files/f442d77c05775c5eb5d02f9117086d2a158839a3405d427642a50e7c78479718/3C333527_D118_4D42_AAF1_6E3D7136CDDD.jpeg</v>
      </c>
      <c r="J578" t="s">
        <v>11784</v>
      </c>
      <c r="K578" t="b">
        <v>1</v>
      </c>
      <c r="L578" s="4" t="s">
        <v>11785</v>
      </c>
      <c r="M578" t="s">
        <v>11786</v>
      </c>
      <c r="N578" t="s">
        <v>105</v>
      </c>
      <c r="O578" t="s">
        <v>164</v>
      </c>
      <c r="P578" t="s">
        <v>11787</v>
      </c>
      <c r="Q578" t="s">
        <v>189</v>
      </c>
      <c r="R578" t="s">
        <v>11788</v>
      </c>
      <c r="S578" t="s">
        <v>11789</v>
      </c>
      <c r="T578" s="4" t="s">
        <v>11790</v>
      </c>
      <c r="U578" t="s">
        <v>9978</v>
      </c>
      <c r="V578" t="s">
        <v>11791</v>
      </c>
      <c r="W578" t="s">
        <v>261</v>
      </c>
      <c r="Y578" t="s">
        <v>158</v>
      </c>
      <c r="Z578" t="s">
        <v>262</v>
      </c>
      <c r="AC578" s="3" t="str">
        <f>HYPERLINK("https://api.typeform.com/responses/files/bdbca4cbf39aa7a6f6e8d407e3e6259b916557f14ea3d65158cb2a3e0ebafa2f/BD24308E_35AA_4566_92FC_425402BEDFF7.jpeg")</f>
        <v>https://api.typeform.com/responses/files/bdbca4cbf39aa7a6f6e8d407e3e6259b916557f14ea3d65158cb2a3e0ebafa2f/BD24308E_35AA_4566_92FC_425402BEDFF7.jpeg</v>
      </c>
      <c r="AD578" t="s">
        <v>118</v>
      </c>
      <c r="AE578" t="s">
        <v>1220</v>
      </c>
      <c r="AF578" t="s">
        <v>4324</v>
      </c>
      <c r="AG578">
        <v>0.0</v>
      </c>
      <c r="AH578" t="s">
        <v>11792</v>
      </c>
      <c r="AI578" t="s">
        <v>121</v>
      </c>
      <c r="AK578" t="s">
        <v>179</v>
      </c>
      <c r="AL578" t="s">
        <v>199</v>
      </c>
      <c r="AO578" t="s">
        <v>125</v>
      </c>
      <c r="AP578">
        <v>6.0</v>
      </c>
      <c r="AQ578" t="s">
        <v>303</v>
      </c>
      <c r="AR578" t="s">
        <v>11793</v>
      </c>
      <c r="AS578" t="b">
        <v>1</v>
      </c>
      <c r="AT578" t="b">
        <v>0</v>
      </c>
      <c r="AV578">
        <v>6.0</v>
      </c>
      <c r="AW578" t="b">
        <v>1</v>
      </c>
      <c r="AX578" t="s">
        <v>1902</v>
      </c>
      <c r="AY578" t="s">
        <v>307</v>
      </c>
      <c r="AZ578" t="b">
        <v>1</v>
      </c>
      <c r="BA578" t="b">
        <v>1</v>
      </c>
      <c r="BB578" t="b">
        <v>0</v>
      </c>
      <c r="BC578" t="s">
        <v>11794</v>
      </c>
      <c r="BH578" t="s">
        <v>132</v>
      </c>
      <c r="BI578">
        <v>6.0</v>
      </c>
      <c r="BJ578" t="s">
        <v>11795</v>
      </c>
      <c r="BK578">
        <v>7.0</v>
      </c>
      <c r="BL578">
        <v>6.0</v>
      </c>
      <c r="BM578" t="s">
        <v>11796</v>
      </c>
      <c r="BN578">
        <v>6.0</v>
      </c>
      <c r="BO578">
        <v>6.0</v>
      </c>
      <c r="BP578" t="s">
        <v>11797</v>
      </c>
      <c r="BQ578" t="s">
        <v>4618</v>
      </c>
      <c r="BR578" t="s">
        <v>11798</v>
      </c>
      <c r="BS578" t="s">
        <v>11799</v>
      </c>
      <c r="BU578" t="s">
        <v>179</v>
      </c>
      <c r="BV578" s="3" t="str">
        <f>HYPERLINK("https://api.typeform.com/responses/files/c43c5a19ad5d1937fbe79caabb854b24ccc5ca431df14be753b1314243091e40/4A25F972_1A4D_4193_AFAA_130D07AA441A.jpeg")</f>
        <v>https://api.typeform.com/responses/files/c43c5a19ad5d1937fbe79caabb854b24ccc5ca431df14be753b1314243091e40/4A25F972_1A4D_4193_AFAA_130D07AA441A.jpeg</v>
      </c>
      <c r="BW578" t="b">
        <v>1</v>
      </c>
      <c r="BX578" t="s">
        <v>1394</v>
      </c>
      <c r="BY578" t="s">
        <v>140</v>
      </c>
      <c r="CA578" t="s">
        <v>1395</v>
      </c>
      <c r="CD578">
        <v>0.0</v>
      </c>
      <c r="CF578" t="b">
        <v>0</v>
      </c>
      <c r="CG578" t="b">
        <v>0</v>
      </c>
      <c r="CH578" t="s">
        <v>11800</v>
      </c>
      <c r="CJ578" t="b">
        <v>0</v>
      </c>
      <c r="CK578" t="b">
        <v>0</v>
      </c>
      <c r="CL578" t="s">
        <v>541</v>
      </c>
      <c r="CM578" t="s">
        <v>541</v>
      </c>
      <c r="CO578" t="s">
        <v>1248</v>
      </c>
      <c r="CQ578" t="s">
        <v>541</v>
      </c>
      <c r="CR578" t="b">
        <v>1</v>
      </c>
      <c r="CT578">
        <v>0.0</v>
      </c>
      <c r="CU578">
        <v>2.0</v>
      </c>
      <c r="CX578" t="s">
        <v>5696</v>
      </c>
      <c r="CZ578" s="5">
        <v>44845.775405092594</v>
      </c>
      <c r="DA578" t="s">
        <v>11801</v>
      </c>
    </row>
    <row r="579">
      <c r="A579" t="s">
        <v>98</v>
      </c>
      <c r="D579" t="s">
        <v>11802</v>
      </c>
      <c r="E579" t="s">
        <v>5922</v>
      </c>
      <c r="F579" s="2">
        <v>38519.0</v>
      </c>
      <c r="G579" t="s">
        <v>1466</v>
      </c>
      <c r="I579" s="3" t="str">
        <f>HYPERLINK("https://api.typeform.com/responses/files/af0b90a2e0e740d7586de9dd6ba199d5d759d1c598182a344dd1257ca12456d3/684CCA5C_E41E_4A22_8847_E6304739993F.jpeg")</f>
        <v>https://api.typeform.com/responses/files/af0b90a2e0e740d7586de9dd6ba199d5d759d1c598182a344dd1257ca12456d3/684CCA5C_E41E_4A22_8847_E6304739993F.jpeg</v>
      </c>
      <c r="J579" t="s">
        <v>11803</v>
      </c>
      <c r="K579" t="b">
        <v>1</v>
      </c>
      <c r="L579" s="4" t="s">
        <v>11804</v>
      </c>
      <c r="M579" t="s">
        <v>11805</v>
      </c>
      <c r="N579" t="s">
        <v>255</v>
      </c>
      <c r="P579" t="s">
        <v>11806</v>
      </c>
      <c r="Q579" t="s">
        <v>189</v>
      </c>
      <c r="R579" t="s">
        <v>11807</v>
      </c>
      <c r="S579" t="s">
        <v>11808</v>
      </c>
      <c r="T579" s="4" t="s">
        <v>11809</v>
      </c>
      <c r="U579" t="s">
        <v>9618</v>
      </c>
      <c r="V579" t="s">
        <v>11810</v>
      </c>
      <c r="W579" t="s">
        <v>261</v>
      </c>
      <c r="Y579" t="s">
        <v>158</v>
      </c>
      <c r="Z579" t="s">
        <v>262</v>
      </c>
      <c r="AC579" s="3" t="str">
        <f>HYPERLINK("https://api.typeform.com/responses/files/95baf9adec322170732d76bacc89f80851c8ab427f64011c997199c4bf226f40/761569D2_B22A_4EF3_A5BE_E2BFE05BFEB0.jpeg")</f>
        <v>https://api.typeform.com/responses/files/95baf9adec322170732d76bacc89f80851c8ab427f64011c997199c4bf226f40/761569D2_B22A_4EF3_A5BE_E2BFE05BFEB0.jpeg</v>
      </c>
      <c r="AD579" t="s">
        <v>118</v>
      </c>
      <c r="AE579" t="s">
        <v>1220</v>
      </c>
      <c r="AF579" t="s">
        <v>11811</v>
      </c>
      <c r="AG579">
        <v>0.0</v>
      </c>
      <c r="AH579" t="s">
        <v>11812</v>
      </c>
      <c r="AI579" t="s">
        <v>121</v>
      </c>
      <c r="AK579" t="s">
        <v>179</v>
      </c>
      <c r="AL579" t="s">
        <v>11813</v>
      </c>
      <c r="AO579" t="s">
        <v>486</v>
      </c>
      <c r="AP579">
        <v>5.0</v>
      </c>
      <c r="AQ579" t="s">
        <v>201</v>
      </c>
      <c r="AR579" t="s">
        <v>164</v>
      </c>
      <c r="AS579" t="b">
        <v>1</v>
      </c>
      <c r="AT579" t="b">
        <v>1</v>
      </c>
      <c r="AV579">
        <v>5.0</v>
      </c>
      <c r="AW579" t="b">
        <v>1</v>
      </c>
      <c r="AX579" t="s">
        <v>1902</v>
      </c>
      <c r="AY579" s="4" t="s">
        <v>518</v>
      </c>
      <c r="AZ579" t="b">
        <v>1</v>
      </c>
      <c r="BA579" t="b">
        <v>0</v>
      </c>
      <c r="BD579" t="s">
        <v>3300</v>
      </c>
      <c r="BH579" t="s">
        <v>132</v>
      </c>
      <c r="BI579">
        <v>6.0</v>
      </c>
      <c r="BJ579" t="s">
        <v>11795</v>
      </c>
      <c r="BK579">
        <v>6.0</v>
      </c>
      <c r="BL579">
        <v>6.0</v>
      </c>
      <c r="BM579" t="s">
        <v>11814</v>
      </c>
      <c r="BN579">
        <v>6.0</v>
      </c>
      <c r="BO579">
        <v>6.0</v>
      </c>
      <c r="BP579" t="s">
        <v>11815</v>
      </c>
      <c r="BQ579" t="s">
        <v>1050</v>
      </c>
      <c r="BR579" t="s">
        <v>11816</v>
      </c>
      <c r="BS579" t="s">
        <v>11817</v>
      </c>
      <c r="BU579" t="s">
        <v>179</v>
      </c>
      <c r="BV579" s="3" t="str">
        <f>HYPERLINK("https://api.typeform.com/responses/files/9e9e6adbc55578f4da6cbb425a2528b2781a825c6996acbe4b250b4b1ed95ff0/33EE198B_3A01_43D8_881C_3449316C3938.jpeg")</f>
        <v>https://api.typeform.com/responses/files/9e9e6adbc55578f4da6cbb425a2528b2781a825c6996acbe4b250b4b1ed95ff0/33EE198B_3A01_43D8_881C_3449316C3938.jpeg</v>
      </c>
      <c r="BW579" t="b">
        <v>1</v>
      </c>
      <c r="BX579" t="s">
        <v>1394</v>
      </c>
      <c r="BY579" t="s">
        <v>140</v>
      </c>
      <c r="CA579" t="s">
        <v>1395</v>
      </c>
      <c r="CD579">
        <v>0.0</v>
      </c>
      <c r="CF579" t="b">
        <v>0</v>
      </c>
      <c r="CG579" t="b">
        <v>0</v>
      </c>
      <c r="CH579" t="s">
        <v>5040</v>
      </c>
      <c r="CJ579" t="b">
        <v>1</v>
      </c>
      <c r="CK579" t="b">
        <v>0</v>
      </c>
      <c r="CL579" t="s">
        <v>541</v>
      </c>
      <c r="CM579" t="s">
        <v>198</v>
      </c>
      <c r="CO579" t="s">
        <v>1688</v>
      </c>
      <c r="CR579" t="b">
        <v>1</v>
      </c>
      <c r="CT579">
        <v>1.0</v>
      </c>
      <c r="CU579">
        <v>1.0</v>
      </c>
      <c r="CX579" t="s">
        <v>5696</v>
      </c>
      <c r="CZ579" s="5">
        <v>44845.77724537037</v>
      </c>
      <c r="DA579" t="s">
        <v>11818</v>
      </c>
    </row>
    <row r="580">
      <c r="A580" t="s">
        <v>98</v>
      </c>
      <c r="D580" t="s">
        <v>11819</v>
      </c>
      <c r="E580" t="s">
        <v>11820</v>
      </c>
      <c r="F580" s="2">
        <v>38873.0</v>
      </c>
      <c r="G580" t="s">
        <v>1360</v>
      </c>
      <c r="I580" s="3" t="str">
        <f>HYPERLINK("https://api.typeform.com/responses/files/69a1440ad7fe53118448263f2dd80db09e68fcb07c6547287928d2f261205b90/win10_black_screen_cursor_100863842_large.webp")</f>
        <v>https://api.typeform.com/responses/files/69a1440ad7fe53118448263f2dd80db09e68fcb07c6547287928d2f261205b90/win10_black_screen_cursor_100863842_large.webp</v>
      </c>
      <c r="J580" t="s">
        <v>11821</v>
      </c>
      <c r="K580" t="b">
        <v>1</v>
      </c>
      <c r="L580" s="4" t="s">
        <v>11822</v>
      </c>
      <c r="M580" t="s">
        <v>11823</v>
      </c>
      <c r="N580" t="s">
        <v>255</v>
      </c>
      <c r="O580" t="s">
        <v>11824</v>
      </c>
      <c r="P580" t="s">
        <v>11825</v>
      </c>
      <c r="Q580" t="s">
        <v>189</v>
      </c>
      <c r="R580" t="s">
        <v>11826</v>
      </c>
      <c r="S580" t="s">
        <v>11823</v>
      </c>
      <c r="T580" s="4" t="s">
        <v>11827</v>
      </c>
      <c r="U580" t="s">
        <v>9978</v>
      </c>
      <c r="V580" t="s">
        <v>9955</v>
      </c>
      <c r="W580" t="s">
        <v>261</v>
      </c>
      <c r="Y580" t="s">
        <v>158</v>
      </c>
      <c r="Z580" t="s">
        <v>262</v>
      </c>
      <c r="AC580" s="3" t="str">
        <f>HYPERLINK("https://api.typeform.com/responses/files/623e1aa961716e7366c76b0f8690a27fb1de5be991c3a4a0c4bc60ca52d8ec87/win10_black_screen_cursor_100863842_large.webp")</f>
        <v>https://api.typeform.com/responses/files/623e1aa961716e7366c76b0f8690a27fb1de5be991c3a4a0c4bc60ca52d8ec87/win10_black_screen_cursor_100863842_large.webp</v>
      </c>
      <c r="AD580" t="s">
        <v>118</v>
      </c>
      <c r="AE580" t="s">
        <v>729</v>
      </c>
      <c r="AF580" t="s">
        <v>197</v>
      </c>
      <c r="AG580">
        <v>2.0</v>
      </c>
      <c r="AH580" t="s">
        <v>679</v>
      </c>
      <c r="AI580" t="s">
        <v>121</v>
      </c>
      <c r="AK580" t="s">
        <v>179</v>
      </c>
      <c r="AL580" t="s">
        <v>967</v>
      </c>
      <c r="AO580" t="s">
        <v>125</v>
      </c>
      <c r="AP580">
        <v>4.0</v>
      </c>
      <c r="AQ580" t="s">
        <v>201</v>
      </c>
      <c r="AR580" t="s">
        <v>679</v>
      </c>
      <c r="AS580" t="b">
        <v>1</v>
      </c>
      <c r="AT580" t="b">
        <v>1</v>
      </c>
      <c r="AV580">
        <v>5.0</v>
      </c>
      <c r="AW580" t="b">
        <v>1</v>
      </c>
      <c r="AX580" t="s">
        <v>1902</v>
      </c>
      <c r="AY580" t="s">
        <v>1451</v>
      </c>
      <c r="AZ580" t="b">
        <v>0</v>
      </c>
      <c r="BA580" t="b">
        <v>0</v>
      </c>
      <c r="BD580" t="s">
        <v>11828</v>
      </c>
      <c r="BH580" t="s">
        <v>132</v>
      </c>
      <c r="BI580">
        <v>2.0</v>
      </c>
      <c r="BJ580" t="s">
        <v>11829</v>
      </c>
      <c r="BK580">
        <v>3.0</v>
      </c>
      <c r="BL580">
        <v>2.0</v>
      </c>
      <c r="BM580" t="s">
        <v>11830</v>
      </c>
      <c r="BN580">
        <v>2.0</v>
      </c>
      <c r="BO580">
        <v>4.0</v>
      </c>
      <c r="BP580" t="s">
        <v>11831</v>
      </c>
      <c r="BQ580" t="s">
        <v>945</v>
      </c>
      <c r="BR580" t="s">
        <v>11832</v>
      </c>
      <c r="BS580" t="s">
        <v>11833</v>
      </c>
      <c r="BU580" t="s">
        <v>179</v>
      </c>
      <c r="BV580" s="3" t="str">
        <f>HYPERLINK("https://api.typeform.com/responses/files/0c418e800146bac07afaf560c6ba4aced4ffcdd358498d8c1596e73516ca0d49/win10_black_screen_cursor_100863842_large.webp")</f>
        <v>https://api.typeform.com/responses/files/0c418e800146bac07afaf560c6ba4aced4ffcdd358498d8c1596e73516ca0d49/win10_black_screen_cursor_100863842_large.webp</v>
      </c>
      <c r="BW580" t="b">
        <v>1</v>
      </c>
      <c r="BX580" t="s">
        <v>1394</v>
      </c>
      <c r="BY580" t="s">
        <v>140</v>
      </c>
      <c r="CA580" t="s">
        <v>1395</v>
      </c>
      <c r="CD580">
        <v>0.0</v>
      </c>
      <c r="CF580" t="b">
        <v>1</v>
      </c>
      <c r="CG580" t="b">
        <v>1</v>
      </c>
      <c r="CH580" t="s">
        <v>168</v>
      </c>
      <c r="CJ580" t="b">
        <v>1</v>
      </c>
      <c r="CK580" t="b">
        <v>1</v>
      </c>
      <c r="CL580" t="s">
        <v>541</v>
      </c>
      <c r="CO580" t="s">
        <v>388</v>
      </c>
      <c r="CR580" t="b">
        <v>1</v>
      </c>
      <c r="CT580">
        <v>2.0</v>
      </c>
      <c r="CU580">
        <v>3.0</v>
      </c>
      <c r="CX580" t="s">
        <v>679</v>
      </c>
      <c r="CZ580" s="5">
        <v>44845.777291666665</v>
      </c>
      <c r="DA580" t="s">
        <v>11834</v>
      </c>
    </row>
    <row r="581">
      <c r="A581" t="s">
        <v>98</v>
      </c>
      <c r="D581" t="s">
        <v>11835</v>
      </c>
      <c r="E581" t="s">
        <v>11836</v>
      </c>
      <c r="F581" s="2">
        <v>39069.0</v>
      </c>
      <c r="G581" t="s">
        <v>1466</v>
      </c>
      <c r="I581" s="3" t="str">
        <f>HYPERLINK("https://api.typeform.com/responses/files/ea7b23f6e8960efd92b029d8eb0f8bb74da72cf7774295e48797cee429364598/image.jpg")</f>
        <v>https://api.typeform.com/responses/files/ea7b23f6e8960efd92b029d8eb0f8bb74da72cf7774295e48797cee429364598/image.jpg</v>
      </c>
      <c r="J581" t="s">
        <v>11837</v>
      </c>
      <c r="K581" t="b">
        <v>1</v>
      </c>
      <c r="L581" s="4" t="s">
        <v>11838</v>
      </c>
      <c r="M581" t="s">
        <v>11839</v>
      </c>
      <c r="N581" t="s">
        <v>105</v>
      </c>
      <c r="O581" t="s">
        <v>990</v>
      </c>
      <c r="P581" t="s">
        <v>11840</v>
      </c>
      <c r="Q581" t="s">
        <v>189</v>
      </c>
      <c r="R581" t="s">
        <v>11841</v>
      </c>
      <c r="S581" t="s">
        <v>11839</v>
      </c>
      <c r="T581" s="4" t="s">
        <v>11842</v>
      </c>
      <c r="U581" t="s">
        <v>9618</v>
      </c>
      <c r="V581" t="s">
        <v>11843</v>
      </c>
      <c r="W581" t="s">
        <v>261</v>
      </c>
      <c r="Y581" t="s">
        <v>158</v>
      </c>
      <c r="Z581" t="s">
        <v>262</v>
      </c>
      <c r="AC581" s="3" t="str">
        <f>HYPERLINK("https://api.typeform.com/responses/files/09e6758eabcf517c19fad0d3ad4a59c9a5f1408c86a4870ed8fd0f696b90878d/image.jpg")</f>
        <v>https://api.typeform.com/responses/files/09e6758eabcf517c19fad0d3ad4a59c9a5f1408c86a4870ed8fd0f696b90878d/image.jpg</v>
      </c>
      <c r="AD581" t="s">
        <v>118</v>
      </c>
      <c r="AE581" t="s">
        <v>729</v>
      </c>
      <c r="AF581" t="s">
        <v>2874</v>
      </c>
      <c r="AG581">
        <v>3.0</v>
      </c>
      <c r="AH581" t="s">
        <v>11844</v>
      </c>
      <c r="AI581" t="s">
        <v>121</v>
      </c>
      <c r="AK581" t="s">
        <v>139</v>
      </c>
      <c r="AL581" t="s">
        <v>1546</v>
      </c>
      <c r="AO581" t="s">
        <v>335</v>
      </c>
      <c r="AP581">
        <v>4.0</v>
      </c>
      <c r="AQ581" t="s">
        <v>5671</v>
      </c>
      <c r="AR581" t="s">
        <v>11845</v>
      </c>
      <c r="AS581" t="b">
        <v>1</v>
      </c>
      <c r="AT581" t="b">
        <v>1</v>
      </c>
      <c r="AV581">
        <v>4.0</v>
      </c>
      <c r="AW581" t="b">
        <v>0</v>
      </c>
      <c r="AZ581" t="b">
        <v>0</v>
      </c>
      <c r="BA581" t="b">
        <v>1</v>
      </c>
      <c r="BB581" t="b">
        <v>0</v>
      </c>
      <c r="BC581" t="s">
        <v>11846</v>
      </c>
      <c r="BH581" t="s">
        <v>132</v>
      </c>
      <c r="BI581">
        <v>3.0</v>
      </c>
      <c r="BJ581" t="s">
        <v>11847</v>
      </c>
      <c r="BK581">
        <v>4.0</v>
      </c>
      <c r="BL581">
        <v>4.0</v>
      </c>
      <c r="BM581" t="s">
        <v>11848</v>
      </c>
      <c r="BN581">
        <v>4.0</v>
      </c>
      <c r="BO581">
        <v>4.0</v>
      </c>
      <c r="BP581" t="s">
        <v>11849</v>
      </c>
      <c r="BQ581" t="s">
        <v>11850</v>
      </c>
      <c r="BR581" t="s">
        <v>11851</v>
      </c>
      <c r="BS581" t="s">
        <v>11852</v>
      </c>
      <c r="BU581" t="s">
        <v>139</v>
      </c>
      <c r="BV581" s="3" t="str">
        <f>HYPERLINK("https://api.typeform.com/responses/files/1296da26515479edf240444142aa74eecc3fc4e61cac18eefc72c7475108efc5/image.jpg")</f>
        <v>https://api.typeform.com/responses/files/1296da26515479edf240444142aa74eecc3fc4e61cac18eefc72c7475108efc5/image.jpg</v>
      </c>
      <c r="BW581" t="b">
        <v>1</v>
      </c>
      <c r="BX581" t="s">
        <v>1394</v>
      </c>
      <c r="BY581" t="s">
        <v>140</v>
      </c>
      <c r="CA581" t="s">
        <v>1395</v>
      </c>
      <c r="CD581">
        <v>0.0</v>
      </c>
      <c r="CF581" t="b">
        <v>1</v>
      </c>
      <c r="CG581" t="b">
        <v>1</v>
      </c>
      <c r="CH581" t="s">
        <v>11853</v>
      </c>
      <c r="CJ581" t="b">
        <v>1</v>
      </c>
      <c r="CK581" t="b">
        <v>1</v>
      </c>
      <c r="CL581" t="s">
        <v>541</v>
      </c>
      <c r="CM581" t="s">
        <v>198</v>
      </c>
      <c r="CO581" t="s">
        <v>2888</v>
      </c>
      <c r="CR581" t="b">
        <v>1</v>
      </c>
      <c r="CT581">
        <v>0.0</v>
      </c>
      <c r="CU581">
        <v>0.0</v>
      </c>
      <c r="CX581" t="s">
        <v>258</v>
      </c>
      <c r="CZ581" s="5">
        <v>44845.7800462963</v>
      </c>
      <c r="DA581" t="s">
        <v>11854</v>
      </c>
    </row>
    <row r="582">
      <c r="A582" t="s">
        <v>98</v>
      </c>
      <c r="D582" t="s">
        <v>11855</v>
      </c>
      <c r="E582" t="s">
        <v>6176</v>
      </c>
      <c r="F582" s="2">
        <v>38990.0</v>
      </c>
      <c r="G582" t="s">
        <v>1466</v>
      </c>
      <c r="I582" s="3" t="str">
        <f>HYPERLINK("https://api.typeform.com/responses/files/ff986801619438ac0ba07197743e5820e12f73ed8f5915f9975e5620f915b80d/Screenshot_2022_03_10_11.07.06_AM.png")</f>
        <v>https://api.typeform.com/responses/files/ff986801619438ac0ba07197743e5820e12f73ed8f5915f9975e5620f915b80d/Screenshot_2022_03_10_11.07.06_AM.png</v>
      </c>
      <c r="J582" t="s">
        <v>11856</v>
      </c>
      <c r="K582" t="b">
        <v>1</v>
      </c>
      <c r="L582" s="4" t="s">
        <v>11857</v>
      </c>
      <c r="M582" t="s">
        <v>11858</v>
      </c>
      <c r="N582" t="s">
        <v>105</v>
      </c>
      <c r="P582" t="s">
        <v>11859</v>
      </c>
      <c r="Q582" t="s">
        <v>189</v>
      </c>
      <c r="R582" t="s">
        <v>11860</v>
      </c>
      <c r="S582" t="s">
        <v>11858</v>
      </c>
      <c r="T582" s="4" t="s">
        <v>11861</v>
      </c>
      <c r="U582" t="s">
        <v>9618</v>
      </c>
      <c r="V582" t="s">
        <v>11862</v>
      </c>
      <c r="W582" t="s">
        <v>261</v>
      </c>
      <c r="Y582" t="s">
        <v>158</v>
      </c>
      <c r="Z582" t="s">
        <v>262</v>
      </c>
      <c r="AC582" s="3" t="str">
        <f>HYPERLINK("https://api.typeform.com/responses/files/9763f6408a9cc0e9738dd5881940b6b2e94b40ab17671f398230914e19423289/Screenshot_2021_12_22_3.20.17_PM.png")</f>
        <v>https://api.typeform.com/responses/files/9763f6408a9cc0e9738dd5881940b6b2e94b40ab17671f398230914e19423289/Screenshot_2021_12_22_3.20.17_PM.png</v>
      </c>
      <c r="AD582" t="s">
        <v>118</v>
      </c>
      <c r="AE582" t="s">
        <v>1220</v>
      </c>
      <c r="AF582" t="s">
        <v>197</v>
      </c>
      <c r="AG582">
        <v>0.0</v>
      </c>
      <c r="AH582" t="s">
        <v>1201</v>
      </c>
      <c r="AI582" t="s">
        <v>121</v>
      </c>
      <c r="AK582" t="s">
        <v>906</v>
      </c>
      <c r="AL582" t="s">
        <v>6339</v>
      </c>
      <c r="AO582" t="s">
        <v>335</v>
      </c>
      <c r="AP582">
        <v>5.0</v>
      </c>
      <c r="AQ582" t="s">
        <v>2240</v>
      </c>
      <c r="AR582" t="s">
        <v>2700</v>
      </c>
      <c r="AS582" t="b">
        <v>1</v>
      </c>
      <c r="AT582" t="b">
        <v>0</v>
      </c>
      <c r="AV582">
        <v>6.0</v>
      </c>
      <c r="AW582" t="b">
        <v>1</v>
      </c>
      <c r="AX582" t="s">
        <v>1902</v>
      </c>
      <c r="AY582" t="s">
        <v>2464</v>
      </c>
      <c r="AZ582" t="b">
        <v>0</v>
      </c>
      <c r="BA582" t="b">
        <v>1</v>
      </c>
      <c r="BB582" t="b">
        <v>0</v>
      </c>
      <c r="BC582" t="s">
        <v>11863</v>
      </c>
      <c r="BH582" t="s">
        <v>132</v>
      </c>
      <c r="BI582">
        <v>5.0</v>
      </c>
      <c r="BJ582" t="s">
        <v>11864</v>
      </c>
      <c r="BK582">
        <v>4.0</v>
      </c>
      <c r="BL582">
        <v>4.0</v>
      </c>
      <c r="BM582" t="s">
        <v>11865</v>
      </c>
      <c r="BN582">
        <v>5.0</v>
      </c>
      <c r="BO582">
        <v>5.0</v>
      </c>
      <c r="BP582" t="s">
        <v>11866</v>
      </c>
      <c r="BQ582" t="s">
        <v>11867</v>
      </c>
      <c r="BR582" t="s">
        <v>11868</v>
      </c>
      <c r="BS582" t="s">
        <v>11869</v>
      </c>
      <c r="BU582" t="s">
        <v>9029</v>
      </c>
      <c r="BV582" s="3" t="str">
        <f>HYPERLINK("https://api.typeform.com/responses/files/4dee83da6f38d47a0217fe08ddcd4488db0cfee7251343cd2c0e75065d59c366/Screenshot_2021_12_22_3.10.55_PM.png")</f>
        <v>https://api.typeform.com/responses/files/4dee83da6f38d47a0217fe08ddcd4488db0cfee7251343cd2c0e75065d59c366/Screenshot_2021_12_22_3.10.55_PM.png</v>
      </c>
      <c r="BW582" t="b">
        <v>1</v>
      </c>
      <c r="BX582" t="s">
        <v>1394</v>
      </c>
      <c r="BY582" t="s">
        <v>140</v>
      </c>
      <c r="CA582" t="s">
        <v>1395</v>
      </c>
      <c r="CD582">
        <v>0.0</v>
      </c>
      <c r="CF582" t="b">
        <v>1</v>
      </c>
      <c r="CG582" t="b">
        <v>0</v>
      </c>
      <c r="CH582" t="s">
        <v>305</v>
      </c>
      <c r="CJ582" t="b">
        <v>0</v>
      </c>
      <c r="CK582" t="b">
        <v>1</v>
      </c>
      <c r="CL582" t="s">
        <v>541</v>
      </c>
      <c r="CM582" t="s">
        <v>541</v>
      </c>
      <c r="CO582" t="s">
        <v>200</v>
      </c>
      <c r="CR582" t="b">
        <v>1</v>
      </c>
      <c r="CT582">
        <v>0.0</v>
      </c>
      <c r="CU582">
        <v>0.0</v>
      </c>
      <c r="CX582" t="s">
        <v>258</v>
      </c>
      <c r="CZ582" s="5">
        <v>44845.78407407407</v>
      </c>
      <c r="DA582" t="s">
        <v>11870</v>
      </c>
    </row>
    <row r="583">
      <c r="A583" t="s">
        <v>98</v>
      </c>
      <c r="D583" t="s">
        <v>11871</v>
      </c>
      <c r="E583" t="s">
        <v>8609</v>
      </c>
      <c r="F583" s="2">
        <v>39062.0</v>
      </c>
      <c r="G583" t="s">
        <v>1360</v>
      </c>
      <c r="I583" s="3" t="str">
        <f>HYPERLINK("https://api.typeform.com/responses/files/d777b3bfd5bf010fae58cfdf2a2bf2d578fc62f6c683c131fd2285e4856a9d60/960x0.jpg")</f>
        <v>https://api.typeform.com/responses/files/d777b3bfd5bf010fae58cfdf2a2bf2d578fc62f6c683c131fd2285e4856a9d60/960x0.jpg</v>
      </c>
      <c r="J583" t="s">
        <v>11872</v>
      </c>
      <c r="K583" t="b">
        <v>1</v>
      </c>
      <c r="L583" s="4" t="s">
        <v>11873</v>
      </c>
      <c r="M583" t="s">
        <v>11874</v>
      </c>
      <c r="N583" t="s">
        <v>255</v>
      </c>
      <c r="O583" t="s">
        <v>11875</v>
      </c>
      <c r="P583" t="s">
        <v>11876</v>
      </c>
      <c r="Q583" t="s">
        <v>189</v>
      </c>
      <c r="R583" t="s">
        <v>11877</v>
      </c>
      <c r="S583" t="s">
        <v>11878</v>
      </c>
      <c r="T583" s="4" t="s">
        <v>11879</v>
      </c>
      <c r="U583" t="s">
        <v>8476</v>
      </c>
      <c r="V583" t="s">
        <v>11482</v>
      </c>
      <c r="W583" t="s">
        <v>261</v>
      </c>
      <c r="Y583" t="s">
        <v>158</v>
      </c>
      <c r="Z583" t="s">
        <v>262</v>
      </c>
      <c r="AC583" s="3" t="str">
        <f>HYPERLINK("https://api.typeform.com/responses/files/9f9d45d6c63e9cd74a6215f19428c29439fc5fa0ecac91c27041f75bcb119abd/960x0.jpg")</f>
        <v>https://api.typeform.com/responses/files/9f9d45d6c63e9cd74a6215f19428c29439fc5fa0ecac91c27041f75bcb119abd/960x0.jpg</v>
      </c>
      <c r="AD583" t="s">
        <v>118</v>
      </c>
      <c r="AE583" t="s">
        <v>781</v>
      </c>
      <c r="AF583" t="s">
        <v>11880</v>
      </c>
      <c r="AG583">
        <v>1.0</v>
      </c>
      <c r="AH583" t="s">
        <v>11881</v>
      </c>
      <c r="AI583" t="s">
        <v>121</v>
      </c>
      <c r="AK583" t="s">
        <v>11882</v>
      </c>
      <c r="AL583" t="s">
        <v>199</v>
      </c>
      <c r="AO583" t="s">
        <v>125</v>
      </c>
      <c r="AP583">
        <v>2.0</v>
      </c>
      <c r="AQ583" t="s">
        <v>201</v>
      </c>
      <c r="AR583" t="s">
        <v>11883</v>
      </c>
      <c r="AS583" t="b">
        <v>1</v>
      </c>
      <c r="AT583" t="b">
        <v>1</v>
      </c>
      <c r="AV583">
        <v>6.0</v>
      </c>
      <c r="AW583" t="b">
        <v>1</v>
      </c>
      <c r="AX583" t="s">
        <v>1902</v>
      </c>
      <c r="AY583" s="4" t="s">
        <v>518</v>
      </c>
      <c r="AZ583" t="b">
        <v>1</v>
      </c>
      <c r="BA583" t="b">
        <v>1</v>
      </c>
      <c r="BB583" t="b">
        <v>0</v>
      </c>
      <c r="BC583" t="s">
        <v>11884</v>
      </c>
      <c r="BH583" t="s">
        <v>132</v>
      </c>
      <c r="BI583">
        <v>4.0</v>
      </c>
      <c r="BJ583" t="s">
        <v>11885</v>
      </c>
      <c r="BK583">
        <v>6.0</v>
      </c>
      <c r="BL583">
        <v>4.0</v>
      </c>
      <c r="BM583" t="s">
        <v>11886</v>
      </c>
      <c r="BN583">
        <v>5.0</v>
      </c>
      <c r="BO583">
        <v>4.0</v>
      </c>
      <c r="BP583" t="s">
        <v>11887</v>
      </c>
      <c r="BQ583" t="s">
        <v>7087</v>
      </c>
      <c r="BR583" t="s">
        <v>11888</v>
      </c>
      <c r="BS583" t="s">
        <v>1201</v>
      </c>
      <c r="BU583" t="s">
        <v>309</v>
      </c>
      <c r="BV583" s="3" t="str">
        <f>HYPERLINK("https://api.typeform.com/responses/files/0a324490fb705b5df1b3a974a11e0b3d9925e29f90f8f735a6749f99dac29d0e/960x0.jpg")</f>
        <v>https://api.typeform.com/responses/files/0a324490fb705b5df1b3a974a11e0b3d9925e29f90f8f735a6749f99dac29d0e/960x0.jpg</v>
      </c>
      <c r="BW583" t="b">
        <v>1</v>
      </c>
      <c r="BX583" t="s">
        <v>1394</v>
      </c>
      <c r="BY583" t="s">
        <v>140</v>
      </c>
      <c r="CA583" t="s">
        <v>1395</v>
      </c>
      <c r="CD583">
        <v>0.0</v>
      </c>
      <c r="CF583" t="b">
        <v>0</v>
      </c>
      <c r="CG583" t="b">
        <v>0</v>
      </c>
      <c r="CH583" t="s">
        <v>1935</v>
      </c>
      <c r="CJ583" t="b">
        <v>1</v>
      </c>
      <c r="CK583" t="b">
        <v>0</v>
      </c>
      <c r="CL583" t="s">
        <v>541</v>
      </c>
      <c r="CO583" t="s">
        <v>1635</v>
      </c>
      <c r="CR583" t="b">
        <v>1</v>
      </c>
      <c r="CT583">
        <v>2.0</v>
      </c>
      <c r="CU583">
        <v>1.0</v>
      </c>
      <c r="CX583" t="s">
        <v>679</v>
      </c>
      <c r="CZ583" s="5">
        <v>44845.78462962963</v>
      </c>
      <c r="DA583" t="s">
        <v>11889</v>
      </c>
    </row>
    <row r="584">
      <c r="A584" t="s">
        <v>98</v>
      </c>
      <c r="D584" t="s">
        <v>11890</v>
      </c>
      <c r="E584" t="s">
        <v>2611</v>
      </c>
      <c r="F584" s="2">
        <v>38408.0</v>
      </c>
      <c r="G584" t="s">
        <v>1466</v>
      </c>
      <c r="I584" s="3" t="str">
        <f>HYPERLINK("https://api.typeform.com/responses/files/f88799c30c7e0672cb1ef8c967df648d155567e7a84450eac56f9dd52a4d1670/C5D46065_489C_42EB_878D_57FC32BF24A8.jpeg")</f>
        <v>https://api.typeform.com/responses/files/f88799c30c7e0672cb1ef8c967df648d155567e7a84450eac56f9dd52a4d1670/C5D46065_489C_42EB_878D_57FC32BF24A8.jpeg</v>
      </c>
      <c r="J584" t="s">
        <v>11891</v>
      </c>
      <c r="K584" t="b">
        <v>1</v>
      </c>
      <c r="L584" s="4" t="s">
        <v>11892</v>
      </c>
      <c r="M584" t="s">
        <v>11893</v>
      </c>
      <c r="N584" t="s">
        <v>105</v>
      </c>
      <c r="P584" t="s">
        <v>5939</v>
      </c>
      <c r="Q584" t="s">
        <v>189</v>
      </c>
      <c r="R584" t="s">
        <v>11894</v>
      </c>
      <c r="S584" t="s">
        <v>11895</v>
      </c>
      <c r="T584" s="4" t="s">
        <v>11896</v>
      </c>
      <c r="U584" t="s">
        <v>9978</v>
      </c>
      <c r="V584" t="s">
        <v>11897</v>
      </c>
      <c r="W584" t="s">
        <v>261</v>
      </c>
      <c r="Y584" t="s">
        <v>158</v>
      </c>
      <c r="Z584" t="s">
        <v>262</v>
      </c>
      <c r="AC584" s="3" t="str">
        <f>HYPERLINK("https://api.typeform.com/responses/files/b7c6dad85a48f811c880dafbafb1e303ed6961535de36d4e9a0c51541c927933/E8DCC7A5_D4A1_4DD3_A709_CA7476BA9AD2.jpeg")</f>
        <v>https://api.typeform.com/responses/files/b7c6dad85a48f811c880dafbafb1e303ed6961535de36d4e9a0c51541c927933/E8DCC7A5_D4A1_4DD3_A709_CA7476BA9AD2.jpeg</v>
      </c>
      <c r="AD584" t="s">
        <v>118</v>
      </c>
      <c r="AE584" t="s">
        <v>1220</v>
      </c>
      <c r="AF584" t="s">
        <v>4374</v>
      </c>
      <c r="AG584">
        <v>0.0</v>
      </c>
      <c r="AH584" s="4" t="s">
        <v>11898</v>
      </c>
      <c r="AI584" t="s">
        <v>121</v>
      </c>
      <c r="AK584" t="s">
        <v>179</v>
      </c>
      <c r="AL584" t="s">
        <v>967</v>
      </c>
      <c r="AO584" t="s">
        <v>125</v>
      </c>
      <c r="AP584">
        <v>4.0</v>
      </c>
      <c r="AQ584" t="s">
        <v>268</v>
      </c>
      <c r="AR584" t="s">
        <v>11899</v>
      </c>
      <c r="AS584" t="b">
        <v>1</v>
      </c>
      <c r="AT584" t="b">
        <v>0</v>
      </c>
      <c r="AV584">
        <v>5.0</v>
      </c>
      <c r="AW584" t="b">
        <v>0</v>
      </c>
      <c r="AZ584" t="b">
        <v>0</v>
      </c>
      <c r="BA584" t="b">
        <v>0</v>
      </c>
      <c r="BD584" t="s">
        <v>5696</v>
      </c>
      <c r="BH584" t="s">
        <v>132</v>
      </c>
      <c r="BI584">
        <v>4.0</v>
      </c>
      <c r="BJ584" t="s">
        <v>1716</v>
      </c>
      <c r="BK584">
        <v>4.0</v>
      </c>
      <c r="BL584">
        <v>5.0</v>
      </c>
      <c r="BM584" t="s">
        <v>1716</v>
      </c>
      <c r="BN584">
        <v>4.0</v>
      </c>
      <c r="BO584">
        <v>4.0</v>
      </c>
      <c r="BP584" t="s">
        <v>11900</v>
      </c>
      <c r="BQ584" t="s">
        <v>1931</v>
      </c>
      <c r="BR584" t="s">
        <v>11901</v>
      </c>
      <c r="BS584" t="s">
        <v>11902</v>
      </c>
      <c r="BU584" t="s">
        <v>179</v>
      </c>
      <c r="BV584" s="3" t="str">
        <f>HYPERLINK("https://api.typeform.com/responses/files/246430dea08bc77ab93a70587baeda69786dfd0fb66c4a42e9767355a08b5ae5/EA31DC9E_4F4A_4D80_8C2C_8722FB253542.jpeg")</f>
        <v>https://api.typeform.com/responses/files/246430dea08bc77ab93a70587baeda69786dfd0fb66c4a42e9767355a08b5ae5/EA31DC9E_4F4A_4D80_8C2C_8722FB253542.jpeg</v>
      </c>
      <c r="BW584" t="b">
        <v>1</v>
      </c>
      <c r="BX584" t="s">
        <v>1394</v>
      </c>
      <c r="BY584" t="s">
        <v>140</v>
      </c>
      <c r="CA584" t="s">
        <v>1395</v>
      </c>
      <c r="CD584">
        <v>0.0</v>
      </c>
      <c r="CF584" t="b">
        <v>1</v>
      </c>
      <c r="CG584" t="b">
        <v>1</v>
      </c>
      <c r="CH584" t="s">
        <v>168</v>
      </c>
      <c r="CJ584" t="b">
        <v>0</v>
      </c>
      <c r="CK584" t="b">
        <v>0</v>
      </c>
      <c r="CL584" t="s">
        <v>541</v>
      </c>
      <c r="CM584" t="s">
        <v>541</v>
      </c>
      <c r="CO584" t="s">
        <v>1635</v>
      </c>
      <c r="CQ584" t="s">
        <v>541</v>
      </c>
      <c r="CR584" t="b">
        <v>1</v>
      </c>
      <c r="CT584">
        <v>0.0</v>
      </c>
      <c r="CU584">
        <v>0.0</v>
      </c>
      <c r="CX584" t="s">
        <v>575</v>
      </c>
      <c r="CZ584" s="5">
        <v>44845.91914351852</v>
      </c>
      <c r="DA584" t="s">
        <v>11903</v>
      </c>
    </row>
    <row r="585">
      <c r="A585" t="s">
        <v>98</v>
      </c>
      <c r="D585" t="s">
        <v>11904</v>
      </c>
      <c r="E585" t="s">
        <v>11905</v>
      </c>
      <c r="F585" s="2">
        <v>38827.0</v>
      </c>
      <c r="G585" t="s">
        <v>1360</v>
      </c>
      <c r="I585" s="3" t="str">
        <f>HYPERLINK("https://api.typeform.com/responses/files/22d74fe1c42041e01ba8c5a173b18317e8e3fa4e949edce17046facef32ecc32/image.jpg")</f>
        <v>https://api.typeform.com/responses/files/22d74fe1c42041e01ba8c5a173b18317e8e3fa4e949edce17046facef32ecc32/image.jpg</v>
      </c>
      <c r="J585" t="s">
        <v>11906</v>
      </c>
      <c r="K585" t="b">
        <v>1</v>
      </c>
      <c r="L585" s="4" t="s">
        <v>11751</v>
      </c>
      <c r="M585" t="s">
        <v>11907</v>
      </c>
      <c r="N585" t="s">
        <v>255</v>
      </c>
      <c r="P585" t="s">
        <v>11753</v>
      </c>
      <c r="Q585" t="s">
        <v>189</v>
      </c>
      <c r="R585" t="s">
        <v>11908</v>
      </c>
      <c r="S585" t="s">
        <v>11909</v>
      </c>
      <c r="T585" s="4" t="s">
        <v>11756</v>
      </c>
      <c r="U585" t="s">
        <v>9618</v>
      </c>
      <c r="V585" t="s">
        <v>9229</v>
      </c>
      <c r="W585" t="s">
        <v>261</v>
      </c>
      <c r="Y585" t="s">
        <v>158</v>
      </c>
      <c r="Z585" t="s">
        <v>262</v>
      </c>
      <c r="AC585" s="3" t="str">
        <f>HYPERLINK("https://api.typeform.com/responses/files/1fe6483d4b5c85c512dc194c34674b6d51a08080fc2a380d1bb8035c7a8a17b6/image.jpg")</f>
        <v>https://api.typeform.com/responses/files/1fe6483d4b5c85c512dc194c34674b6d51a08080fc2a380d1bb8035c7a8a17b6/image.jpg</v>
      </c>
      <c r="AD585" t="s">
        <v>118</v>
      </c>
      <c r="AE585" t="s">
        <v>1220</v>
      </c>
      <c r="AF585" t="s">
        <v>11910</v>
      </c>
      <c r="AG585">
        <v>0.0</v>
      </c>
      <c r="AH585" s="4" t="s">
        <v>4262</v>
      </c>
      <c r="AI585" t="s">
        <v>121</v>
      </c>
      <c r="AL585" t="s">
        <v>1043</v>
      </c>
      <c r="AO585" t="s">
        <v>335</v>
      </c>
      <c r="AP585">
        <v>5.0</v>
      </c>
      <c r="AQ585" t="s">
        <v>461</v>
      </c>
      <c r="AR585" t="s">
        <v>11911</v>
      </c>
      <c r="AS585" t="b">
        <v>1</v>
      </c>
      <c r="AT585" t="b">
        <v>0</v>
      </c>
      <c r="AV585">
        <v>5.0</v>
      </c>
      <c r="AW585" t="b">
        <v>1</v>
      </c>
      <c r="AX585" t="s">
        <v>1902</v>
      </c>
      <c r="AY585" s="4" t="s">
        <v>518</v>
      </c>
      <c r="AZ585" t="b">
        <v>0</v>
      </c>
      <c r="BA585" t="b">
        <v>0</v>
      </c>
      <c r="BD585" t="s">
        <v>11912</v>
      </c>
      <c r="BH585" t="s">
        <v>132</v>
      </c>
      <c r="BI585">
        <v>4.0</v>
      </c>
      <c r="BJ585" t="s">
        <v>11913</v>
      </c>
      <c r="BK585">
        <v>4.0</v>
      </c>
      <c r="BL585">
        <v>4.0</v>
      </c>
      <c r="BM585" t="s">
        <v>11914</v>
      </c>
      <c r="BN585">
        <v>3.0</v>
      </c>
      <c r="BO585">
        <v>4.0</v>
      </c>
      <c r="BP585" t="s">
        <v>11915</v>
      </c>
      <c r="BQ585" t="s">
        <v>945</v>
      </c>
      <c r="BR585" t="s">
        <v>11916</v>
      </c>
      <c r="BS585" t="s">
        <v>11917</v>
      </c>
      <c r="BU585" t="s">
        <v>139</v>
      </c>
      <c r="BV585" s="3" t="str">
        <f>HYPERLINK("https://api.typeform.com/responses/files/bc12b2a5b0391db826ed2d389bfd5db123d5e952cdeb38ff828cb5884c6628e3/image.jpg")</f>
        <v>https://api.typeform.com/responses/files/bc12b2a5b0391db826ed2d389bfd5db123d5e952cdeb38ff828cb5884c6628e3/image.jpg</v>
      </c>
      <c r="BW585" t="b">
        <v>1</v>
      </c>
      <c r="BX585" t="s">
        <v>1394</v>
      </c>
      <c r="BY585" t="s">
        <v>140</v>
      </c>
      <c r="CA585" t="s">
        <v>1395</v>
      </c>
      <c r="CD585">
        <v>0.0</v>
      </c>
      <c r="CF585" t="b">
        <v>0</v>
      </c>
      <c r="CG585" t="b">
        <v>0</v>
      </c>
      <c r="CH585" t="s">
        <v>1935</v>
      </c>
      <c r="CJ585" t="b">
        <v>0</v>
      </c>
      <c r="CK585" t="b">
        <v>1</v>
      </c>
      <c r="CL585" t="s">
        <v>541</v>
      </c>
      <c r="CO585" t="s">
        <v>2888</v>
      </c>
      <c r="CR585" t="b">
        <v>1</v>
      </c>
      <c r="CT585">
        <v>0.0</v>
      </c>
      <c r="CU585">
        <v>0.0</v>
      </c>
      <c r="CX585" t="s">
        <v>11748</v>
      </c>
      <c r="CZ585" s="5">
        <v>44845.94179398148</v>
      </c>
      <c r="DA585" t="s">
        <v>11918</v>
      </c>
    </row>
    <row r="586">
      <c r="A586" t="s">
        <v>98</v>
      </c>
      <c r="D586" t="s">
        <v>11919</v>
      </c>
      <c r="E586" t="s">
        <v>11920</v>
      </c>
      <c r="F586" s="2">
        <v>39016.0</v>
      </c>
      <c r="G586" t="s">
        <v>1360</v>
      </c>
      <c r="I586" s="3" t="str">
        <f>HYPERLINK("https://api.typeform.com/responses/files/2504791f05b7ae312d288372d14829c78aa61df252159f183620f06dd73beaba/Photo_on_9_30_22_at_1.19_PM.jpg")</f>
        <v>https://api.typeform.com/responses/files/2504791f05b7ae312d288372d14829c78aa61df252159f183620f06dd73beaba/Photo_on_9_30_22_at_1.19_PM.jpg</v>
      </c>
      <c r="J586" t="s">
        <v>11921</v>
      </c>
      <c r="K586" t="b">
        <v>1</v>
      </c>
      <c r="L586" s="4" t="s">
        <v>11922</v>
      </c>
      <c r="M586" t="s">
        <v>11923</v>
      </c>
      <c r="N586" t="s">
        <v>105</v>
      </c>
      <c r="P586" t="s">
        <v>11924</v>
      </c>
      <c r="Q586" t="s">
        <v>189</v>
      </c>
      <c r="R586" t="s">
        <v>11925</v>
      </c>
      <c r="S586" s="4" t="s">
        <v>11547</v>
      </c>
      <c r="T586" s="4" t="s">
        <v>11926</v>
      </c>
      <c r="U586" t="s">
        <v>8476</v>
      </c>
      <c r="V586" t="s">
        <v>11927</v>
      </c>
      <c r="W586" t="s">
        <v>261</v>
      </c>
      <c r="Y586" t="s">
        <v>158</v>
      </c>
      <c r="Z586" t="s">
        <v>262</v>
      </c>
      <c r="AC586" s="3" t="str">
        <f>HYPERLINK("https://api.typeform.com/responses/files/8ae6af274c47e3a7929018e14d678aee9eea9aeee9c2bea8c7ec4a0ddc0dd64a/Screen_Shot_2022_09_30_at_1.25.10_PM__2_.png")</f>
        <v>https://api.typeform.com/responses/files/8ae6af274c47e3a7929018e14d678aee9eea9aeee9c2bea8c7ec4a0ddc0dd64a/Screen_Shot_2022_09_30_at_1.25.10_PM__2_.png</v>
      </c>
      <c r="AD586" t="s">
        <v>118</v>
      </c>
      <c r="AE586" t="s">
        <v>1220</v>
      </c>
      <c r="AF586" t="s">
        <v>11550</v>
      </c>
      <c r="AG586">
        <v>0.0</v>
      </c>
      <c r="AH586" s="4" t="s">
        <v>4946</v>
      </c>
      <c r="AI586" t="s">
        <v>121</v>
      </c>
      <c r="AK586" t="s">
        <v>11928</v>
      </c>
      <c r="AL586" t="s">
        <v>1043</v>
      </c>
      <c r="AO586" t="s">
        <v>1479</v>
      </c>
      <c r="AP586">
        <v>4.0</v>
      </c>
      <c r="AQ586" t="s">
        <v>126</v>
      </c>
      <c r="AR586" t="s">
        <v>1954</v>
      </c>
      <c r="AS586" t="b">
        <v>0</v>
      </c>
      <c r="AV586">
        <v>5.0</v>
      </c>
      <c r="AW586" t="b">
        <v>1</v>
      </c>
      <c r="AX586" t="s">
        <v>1902</v>
      </c>
      <c r="AY586" s="4" t="s">
        <v>518</v>
      </c>
      <c r="AZ586" t="b">
        <v>0</v>
      </c>
      <c r="BA586" t="b">
        <v>0</v>
      </c>
      <c r="BD586" t="s">
        <v>1954</v>
      </c>
      <c r="BH586" t="s">
        <v>132</v>
      </c>
      <c r="BI586">
        <v>5.0</v>
      </c>
      <c r="BJ586" t="s">
        <v>11929</v>
      </c>
      <c r="BK586">
        <v>5.0</v>
      </c>
      <c r="BL586">
        <v>6.0</v>
      </c>
      <c r="BM586" t="s">
        <v>11930</v>
      </c>
      <c r="BN586">
        <v>6.0</v>
      </c>
      <c r="BO586">
        <v>6.0</v>
      </c>
      <c r="BP586" t="s">
        <v>9125</v>
      </c>
      <c r="BQ586" t="s">
        <v>1050</v>
      </c>
      <c r="BR586" t="s">
        <v>3585</v>
      </c>
      <c r="BS586" t="s">
        <v>3585</v>
      </c>
      <c r="BU586" t="s">
        <v>3585</v>
      </c>
      <c r="BV586" s="3" t="str">
        <f>HYPERLINK("https://api.typeform.com/responses/files/fb3e005bc1d2fd67f79f7cac80aae1ddb556648663f0eadd49b3b7d84408e93b/Screen_Shot_2022_09_30_at_1.25.10_PM__1_.png")</f>
        <v>https://api.typeform.com/responses/files/fb3e005bc1d2fd67f79f7cac80aae1ddb556648663f0eadd49b3b7d84408e93b/Screen_Shot_2022_09_30_at_1.25.10_PM__1_.png</v>
      </c>
      <c r="BW586" t="b">
        <v>1</v>
      </c>
      <c r="BX586" t="s">
        <v>1394</v>
      </c>
      <c r="BY586" t="s">
        <v>140</v>
      </c>
      <c r="CA586" t="s">
        <v>1395</v>
      </c>
      <c r="CD586">
        <v>0.0</v>
      </c>
      <c r="CF586" t="b">
        <v>0</v>
      </c>
      <c r="CG586" t="b">
        <v>0</v>
      </c>
      <c r="CH586" t="s">
        <v>4299</v>
      </c>
      <c r="CJ586" t="b">
        <v>1</v>
      </c>
      <c r="CK586" t="b">
        <v>0</v>
      </c>
      <c r="CL586" t="s">
        <v>541</v>
      </c>
      <c r="CM586" t="s">
        <v>198</v>
      </c>
      <c r="CO586" t="s">
        <v>2888</v>
      </c>
      <c r="CR586" t="b">
        <v>1</v>
      </c>
      <c r="CT586">
        <v>0.0</v>
      </c>
      <c r="CU586">
        <v>0.0</v>
      </c>
      <c r="CX586" t="s">
        <v>3585</v>
      </c>
      <c r="CZ586" s="5">
        <v>44847.073159722226</v>
      </c>
      <c r="DA586" t="s">
        <v>11931</v>
      </c>
    </row>
    <row r="587">
      <c r="A587" t="s">
        <v>98</v>
      </c>
      <c r="D587" t="s">
        <v>11932</v>
      </c>
      <c r="E587" t="s">
        <v>3736</v>
      </c>
      <c r="F587" s="2">
        <v>38893.0</v>
      </c>
      <c r="G587" t="s">
        <v>1360</v>
      </c>
      <c r="I587" s="3" t="str">
        <f>HYPERLINK("https://api.typeform.com/responses/files/7af470da4c0caf507777716e439186ba800dd649e370a332f9bfba0269374456/IMG_8386.HEIC")</f>
        <v>https://api.typeform.com/responses/files/7af470da4c0caf507777716e439186ba800dd649e370a332f9bfba0269374456/IMG_8386.HEIC</v>
      </c>
      <c r="J587" t="s">
        <v>11933</v>
      </c>
      <c r="K587" t="b">
        <v>1</v>
      </c>
      <c r="L587" s="4" t="s">
        <v>11934</v>
      </c>
      <c r="M587" t="s">
        <v>11935</v>
      </c>
      <c r="N587" t="s">
        <v>105</v>
      </c>
      <c r="O587" t="s">
        <v>11936</v>
      </c>
      <c r="P587" t="s">
        <v>11937</v>
      </c>
      <c r="Q587" t="s">
        <v>189</v>
      </c>
      <c r="R587" t="s">
        <v>11938</v>
      </c>
      <c r="S587" t="s">
        <v>11935</v>
      </c>
      <c r="T587" s="4" t="s">
        <v>11939</v>
      </c>
      <c r="U587" t="s">
        <v>9618</v>
      </c>
      <c r="V587" t="s">
        <v>9955</v>
      </c>
      <c r="W587" t="s">
        <v>261</v>
      </c>
      <c r="Y587" t="s">
        <v>158</v>
      </c>
      <c r="Z587" t="s">
        <v>262</v>
      </c>
      <c r="AC587" s="3" t="str">
        <f>HYPERLINK("https://api.typeform.com/responses/files/db5b91a15f7896ddd4785d51098c60b7c375fe29e35d0d6d0d35ab83e0380e3e/na.png")</f>
        <v>https://api.typeform.com/responses/files/db5b91a15f7896ddd4785d51098c60b7c375fe29e35d0d6d0d35ab83e0380e3e/na.png</v>
      </c>
      <c r="AD587" t="s">
        <v>118</v>
      </c>
      <c r="AE587" t="s">
        <v>1220</v>
      </c>
      <c r="AF587" t="s">
        <v>197</v>
      </c>
      <c r="AG587">
        <v>0.0</v>
      </c>
      <c r="AH587" s="4" t="s">
        <v>2875</v>
      </c>
      <c r="AI587" t="s">
        <v>121</v>
      </c>
      <c r="AK587" t="s">
        <v>179</v>
      </c>
      <c r="AL587" t="s">
        <v>199</v>
      </c>
      <c r="AO587" t="s">
        <v>1479</v>
      </c>
      <c r="AP587">
        <v>4.0</v>
      </c>
      <c r="AQ587" t="s">
        <v>1520</v>
      </c>
      <c r="AR587" t="s">
        <v>11940</v>
      </c>
      <c r="AS587" t="b">
        <v>1</v>
      </c>
      <c r="AT587" t="b">
        <v>1</v>
      </c>
      <c r="AV587">
        <v>5.0</v>
      </c>
      <c r="AW587" t="b">
        <v>1</v>
      </c>
      <c r="AX587" t="s">
        <v>1902</v>
      </c>
      <c r="AY587" s="4" t="s">
        <v>518</v>
      </c>
      <c r="AZ587" t="b">
        <v>1</v>
      </c>
      <c r="BA587" t="b">
        <v>1</v>
      </c>
      <c r="BB587" t="b">
        <v>0</v>
      </c>
      <c r="BC587" t="s">
        <v>11941</v>
      </c>
      <c r="BH587" t="s">
        <v>132</v>
      </c>
      <c r="BI587">
        <v>3.0</v>
      </c>
      <c r="BJ587" s="4" t="s">
        <v>106</v>
      </c>
      <c r="BK587">
        <v>3.0</v>
      </c>
      <c r="BL587">
        <v>4.0</v>
      </c>
      <c r="BM587" t="s">
        <v>11942</v>
      </c>
      <c r="BN587">
        <v>4.0</v>
      </c>
      <c r="BO587">
        <v>4.0</v>
      </c>
      <c r="BP587" t="s">
        <v>11943</v>
      </c>
      <c r="BQ587" t="s">
        <v>11944</v>
      </c>
      <c r="BR587" t="s">
        <v>11945</v>
      </c>
      <c r="BS587" t="s">
        <v>11946</v>
      </c>
      <c r="BU587" t="s">
        <v>11947</v>
      </c>
      <c r="BV587" s="3" t="str">
        <f>HYPERLINK("https://api.typeform.com/responses/files/ec0c927cabd361414c62ae41a433c047c886b6da7696a5bc5da1850b2e10b451/na.png")</f>
        <v>https://api.typeform.com/responses/files/ec0c927cabd361414c62ae41a433c047c886b6da7696a5bc5da1850b2e10b451/na.png</v>
      </c>
      <c r="BW587" t="b">
        <v>1</v>
      </c>
      <c r="BX587" t="s">
        <v>1394</v>
      </c>
      <c r="BY587" t="s">
        <v>140</v>
      </c>
      <c r="CA587" t="s">
        <v>1395</v>
      </c>
      <c r="CD587">
        <v>0.0</v>
      </c>
      <c r="CF587" t="b">
        <v>0</v>
      </c>
      <c r="CG587" t="b">
        <v>1</v>
      </c>
      <c r="CH587" t="s">
        <v>128</v>
      </c>
      <c r="CJ587" t="b">
        <v>1</v>
      </c>
      <c r="CK587" t="b">
        <v>0</v>
      </c>
      <c r="CL587" t="s">
        <v>198</v>
      </c>
      <c r="CO587" t="s">
        <v>1635</v>
      </c>
      <c r="CR587" t="b">
        <v>1</v>
      </c>
      <c r="CT587">
        <v>4.0</v>
      </c>
      <c r="CU587">
        <v>0.0</v>
      </c>
      <c r="CX587" s="4" t="s">
        <v>131</v>
      </c>
      <c r="CZ587" s="5">
        <v>44847.64212962963</v>
      </c>
      <c r="DA587" t="s">
        <v>11948</v>
      </c>
    </row>
    <row r="588">
      <c r="A588" t="s">
        <v>98</v>
      </c>
      <c r="D588" t="s">
        <v>11949</v>
      </c>
      <c r="E588" t="s">
        <v>11950</v>
      </c>
      <c r="F588" s="2">
        <v>38535.0</v>
      </c>
      <c r="G588" t="s">
        <v>1360</v>
      </c>
      <c r="I588" s="3" t="str">
        <f>HYPERLINK("https://api.typeform.com/responses/files/79eb84b54a66c3988ce3d1d232b530ac1ec403a646c8fd8db8492a1f1ad120b9/IMG_20211104_141401.jpg")</f>
        <v>https://api.typeform.com/responses/files/79eb84b54a66c3988ce3d1d232b530ac1ec403a646c8fd8db8492a1f1ad120b9/IMG_20211104_141401.jpg</v>
      </c>
      <c r="J588" t="s">
        <v>11951</v>
      </c>
      <c r="K588" t="b">
        <v>0</v>
      </c>
      <c r="M588" t="s">
        <v>11952</v>
      </c>
      <c r="N588" t="s">
        <v>149</v>
      </c>
      <c r="O588" t="s">
        <v>11953</v>
      </c>
      <c r="P588" t="s">
        <v>11954</v>
      </c>
      <c r="Q588" t="s">
        <v>152</v>
      </c>
      <c r="R588" t="s">
        <v>11955</v>
      </c>
      <c r="S588" t="s">
        <v>11952</v>
      </c>
      <c r="T588" s="4" t="s">
        <v>11956</v>
      </c>
      <c r="U588" t="s">
        <v>3596</v>
      </c>
      <c r="V588" t="s">
        <v>11957</v>
      </c>
      <c r="W588" t="s">
        <v>113</v>
      </c>
      <c r="Y588" t="s">
        <v>158</v>
      </c>
      <c r="Z588" t="s">
        <v>262</v>
      </c>
      <c r="AC588" s="3" t="str">
        <f>HYPERLINK("https://api.typeform.com/responses/files/d82eb5736504d5b27d9d77a31974d72cc9664a00465340daaa7e1df040514f92/Screenshot_2022_10_20_3.35.42_PM.png")</f>
        <v>https://api.typeform.com/responses/files/d82eb5736504d5b27d9d77a31974d72cc9664a00465340daaa7e1df040514f92/Screenshot_2022_10_20_3.35.42_PM.png</v>
      </c>
      <c r="AD588" t="s">
        <v>118</v>
      </c>
      <c r="AE588" t="s">
        <v>729</v>
      </c>
      <c r="AF588" t="s">
        <v>11958</v>
      </c>
      <c r="AG588">
        <v>15.0</v>
      </c>
      <c r="AH588" t="s">
        <v>11959</v>
      </c>
      <c r="AI588" t="s">
        <v>121</v>
      </c>
      <c r="AK588" t="s">
        <v>11960</v>
      </c>
      <c r="AL588" t="s">
        <v>11961</v>
      </c>
      <c r="AO588" t="s">
        <v>125</v>
      </c>
      <c r="AP588">
        <v>4.0</v>
      </c>
      <c r="AQ588" t="s">
        <v>2240</v>
      </c>
      <c r="AR588" t="s">
        <v>303</v>
      </c>
      <c r="AS588" t="b">
        <v>1</v>
      </c>
      <c r="AT588" t="b">
        <v>0</v>
      </c>
      <c r="AV588">
        <v>7.0</v>
      </c>
      <c r="AW588" t="b">
        <v>0</v>
      </c>
      <c r="AZ588" t="b">
        <v>0</v>
      </c>
      <c r="BA588" t="b">
        <v>0</v>
      </c>
      <c r="BD588" t="s">
        <v>11962</v>
      </c>
      <c r="BH588" t="s">
        <v>132</v>
      </c>
      <c r="BI588">
        <v>3.0</v>
      </c>
      <c r="BJ588" t="s">
        <v>11963</v>
      </c>
      <c r="BK588">
        <v>4.0</v>
      </c>
      <c r="BL588">
        <v>3.0</v>
      </c>
      <c r="BM588" t="s">
        <v>11963</v>
      </c>
      <c r="BN588">
        <v>3.0</v>
      </c>
      <c r="BO588">
        <v>5.0</v>
      </c>
      <c r="BP588" t="s">
        <v>11964</v>
      </c>
      <c r="BQ588" t="s">
        <v>9625</v>
      </c>
      <c r="BR588" t="s">
        <v>11965</v>
      </c>
      <c r="BS588" t="s">
        <v>11966</v>
      </c>
      <c r="BU588" t="s">
        <v>11967</v>
      </c>
      <c r="BV588" s="3" t="str">
        <f>HYPERLINK("https://api.typeform.com/responses/files/c7733bc2ae0114d79537d95e29fd6beefd2cfdeefa2c3815eba707a49b666bdf/Kami_Export___yasmin___SPEAKHIRE_Parent.Guardian_Consent_Form.pdf")</f>
        <v>https://api.typeform.com/responses/files/c7733bc2ae0114d79537d95e29fd6beefd2cfdeefa2c3815eba707a49b666bdf/Kami_Export___yasmin___SPEAKHIRE_Parent.Guardian_Consent_Form.pdf</v>
      </c>
      <c r="BW588" t="b">
        <v>1</v>
      </c>
      <c r="BX588" t="s">
        <v>1394</v>
      </c>
      <c r="BY588" t="s">
        <v>140</v>
      </c>
      <c r="CA588" t="s">
        <v>1395</v>
      </c>
      <c r="CD588">
        <v>0.0</v>
      </c>
      <c r="CF588" t="b">
        <v>1</v>
      </c>
      <c r="CG588" t="b">
        <v>0</v>
      </c>
      <c r="CH588" t="s">
        <v>3732</v>
      </c>
      <c r="CJ588" t="b">
        <v>1</v>
      </c>
      <c r="CK588" t="b">
        <v>0</v>
      </c>
      <c r="CL588" t="s">
        <v>163</v>
      </c>
      <c r="CO588" t="s">
        <v>124</v>
      </c>
      <c r="CR588" t="b">
        <v>1</v>
      </c>
      <c r="CT588">
        <v>0.0</v>
      </c>
      <c r="CU588">
        <v>2.0</v>
      </c>
      <c r="CX588" t="s">
        <v>262</v>
      </c>
      <c r="CZ588" s="5">
        <v>44854.855462962965</v>
      </c>
      <c r="DA588" t="s">
        <v>11968</v>
      </c>
    </row>
    <row r="589">
      <c r="A589" t="s">
        <v>98</v>
      </c>
      <c r="D589" t="s">
        <v>11969</v>
      </c>
      <c r="E589" t="s">
        <v>1866</v>
      </c>
      <c r="F589" s="2">
        <v>38939.0</v>
      </c>
      <c r="G589" t="s">
        <v>1466</v>
      </c>
      <c r="I589" s="3" t="str">
        <f>HYPERLINK("https://api.typeform.com/responses/files/671009fa6f7a8df180616529b1ba5215fac2b6914ce2bdae156a7fffd2bedd13/id")</f>
        <v>https://api.typeform.com/responses/files/671009fa6f7a8df180616529b1ba5215fac2b6914ce2bdae156a7fffd2bedd13/id</v>
      </c>
      <c r="J589" t="s">
        <v>11970</v>
      </c>
      <c r="K589" t="b">
        <v>1</v>
      </c>
      <c r="L589" s="4" t="s">
        <v>11971</v>
      </c>
      <c r="M589" t="s">
        <v>11972</v>
      </c>
      <c r="N589" t="s">
        <v>105</v>
      </c>
      <c r="O589" t="s">
        <v>479</v>
      </c>
      <c r="P589" t="s">
        <v>11973</v>
      </c>
      <c r="Q589" t="s">
        <v>189</v>
      </c>
      <c r="R589" t="s">
        <v>11974</v>
      </c>
      <c r="S589" t="s">
        <v>11975</v>
      </c>
      <c r="T589" s="4" t="s">
        <v>11971</v>
      </c>
      <c r="U589" t="s">
        <v>9618</v>
      </c>
      <c r="V589" t="s">
        <v>11976</v>
      </c>
      <c r="W589" t="s">
        <v>261</v>
      </c>
      <c r="Y589" t="s">
        <v>158</v>
      </c>
      <c r="Z589" t="s">
        <v>262</v>
      </c>
      <c r="AC589" s="3" t="str">
        <f>HYPERLINK("https://api.typeform.com/responses/files/d4a5cbd596e943460e8a19854514d5fe8016621f4b5474cacbc0b28293d662f0/JL_Transcript.pdf")</f>
        <v>https://api.typeform.com/responses/files/d4a5cbd596e943460e8a19854514d5fe8016621f4b5474cacbc0b28293d662f0/JL_Transcript.pdf</v>
      </c>
      <c r="AD589" t="s">
        <v>118</v>
      </c>
      <c r="AE589" t="s">
        <v>1220</v>
      </c>
      <c r="AF589" t="s">
        <v>197</v>
      </c>
      <c r="AG589">
        <v>0.0</v>
      </c>
      <c r="AH589" s="4" t="s">
        <v>2875</v>
      </c>
      <c r="AI589" t="s">
        <v>121</v>
      </c>
      <c r="AK589" t="s">
        <v>11977</v>
      </c>
      <c r="AL589" t="s">
        <v>11978</v>
      </c>
      <c r="AO589" t="s">
        <v>125</v>
      </c>
      <c r="AP589">
        <v>6.0</v>
      </c>
      <c r="AQ589" t="s">
        <v>5671</v>
      </c>
      <c r="AR589" t="s">
        <v>11979</v>
      </c>
      <c r="AS589" t="b">
        <v>1</v>
      </c>
      <c r="AT589" t="b">
        <v>0</v>
      </c>
      <c r="AV589">
        <v>6.0</v>
      </c>
      <c r="AW589" t="b">
        <v>1</v>
      </c>
      <c r="AX589" t="s">
        <v>2797</v>
      </c>
      <c r="AY589" t="s">
        <v>1451</v>
      </c>
      <c r="AZ589" t="b">
        <v>0</v>
      </c>
      <c r="BA589" t="b">
        <v>1</v>
      </c>
      <c r="BB589" t="b">
        <v>0</v>
      </c>
      <c r="BC589" t="s">
        <v>11980</v>
      </c>
      <c r="BH589" t="s">
        <v>132</v>
      </c>
      <c r="BI589">
        <v>3.0</v>
      </c>
      <c r="BJ589" t="s">
        <v>679</v>
      </c>
      <c r="BK589">
        <v>4.0</v>
      </c>
      <c r="BL589">
        <v>5.0</v>
      </c>
      <c r="BM589" t="s">
        <v>11981</v>
      </c>
      <c r="BN589">
        <v>4.0</v>
      </c>
      <c r="BO589">
        <v>4.0</v>
      </c>
      <c r="BP589" t="s">
        <v>11982</v>
      </c>
      <c r="BQ589" t="s">
        <v>1739</v>
      </c>
      <c r="BR589" t="s">
        <v>11983</v>
      </c>
      <c r="BS589" t="s">
        <v>11984</v>
      </c>
      <c r="BU589" t="s">
        <v>179</v>
      </c>
      <c r="BV589" s="3" t="str">
        <f>HYPERLINK("https://api.typeform.com/responses/files/2fbff35bc3025fa8f354755ab2f9845f1d8e0fd3d41df0de78a4be3d6d38baab/Untitled_document__2_.pdf")</f>
        <v>https://api.typeform.com/responses/files/2fbff35bc3025fa8f354755ab2f9845f1d8e0fd3d41df0de78a4be3d6d38baab/Untitled_document__2_.pdf</v>
      </c>
      <c r="BW589" t="b">
        <v>1</v>
      </c>
      <c r="BX589" t="s">
        <v>1394</v>
      </c>
      <c r="BY589" t="s">
        <v>140</v>
      </c>
      <c r="CA589" t="s">
        <v>1395</v>
      </c>
      <c r="CD589">
        <v>0.0</v>
      </c>
      <c r="CF589" t="b">
        <v>0</v>
      </c>
      <c r="CG589" t="b">
        <v>0</v>
      </c>
      <c r="CH589" t="s">
        <v>2474</v>
      </c>
      <c r="CJ589" t="b">
        <v>1</v>
      </c>
      <c r="CK589" t="b">
        <v>0</v>
      </c>
      <c r="CL589" t="s">
        <v>541</v>
      </c>
      <c r="CO589" t="s">
        <v>11985</v>
      </c>
      <c r="CR589" t="b">
        <v>1</v>
      </c>
      <c r="CT589">
        <v>3.0</v>
      </c>
      <c r="CU589">
        <v>6.0</v>
      </c>
      <c r="CX589" s="4" t="s">
        <v>11986</v>
      </c>
      <c r="CZ589" s="5">
        <v>44859.62359953704</v>
      </c>
      <c r="DA589" t="s">
        <v>11987</v>
      </c>
    </row>
    <row r="590">
      <c r="A590" t="s">
        <v>98</v>
      </c>
      <c r="D590" t="s">
        <v>11988</v>
      </c>
      <c r="E590" t="s">
        <v>5240</v>
      </c>
      <c r="F590" s="2">
        <v>38938.0</v>
      </c>
      <c r="G590" t="s">
        <v>1466</v>
      </c>
      <c r="I590" s="3" t="str">
        <f>HYPERLINK("https://api.typeform.com/responses/files/b1808d8a0bcce5d1c77ea11e19dd6a34c4f6e941db93ab0e5abf1c7f3e9debcc/image.jpg")</f>
        <v>https://api.typeform.com/responses/files/b1808d8a0bcce5d1c77ea11e19dd6a34c4f6e941db93ab0e5abf1c7f3e9debcc/image.jpg</v>
      </c>
      <c r="J590" t="s">
        <v>11989</v>
      </c>
      <c r="K590" t="b">
        <v>1</v>
      </c>
      <c r="L590" s="4" t="s">
        <v>11990</v>
      </c>
      <c r="M590" t="s">
        <v>11991</v>
      </c>
      <c r="N590" t="s">
        <v>105</v>
      </c>
      <c r="P590" t="s">
        <v>8896</v>
      </c>
      <c r="Q590" t="s">
        <v>189</v>
      </c>
      <c r="R590" t="s">
        <v>11989</v>
      </c>
      <c r="S590" t="s">
        <v>11991</v>
      </c>
      <c r="T590" s="4" t="s">
        <v>11990</v>
      </c>
      <c r="U590" t="s">
        <v>9618</v>
      </c>
      <c r="V590" t="s">
        <v>11992</v>
      </c>
      <c r="W590" t="s">
        <v>261</v>
      </c>
      <c r="Y590" t="s">
        <v>158</v>
      </c>
      <c r="Z590" t="s">
        <v>262</v>
      </c>
      <c r="AC590" s="3" t="str">
        <f>HYPERLINK("https://api.typeform.com/responses/files/aa1210d56b1a3654af1be7dd9dad40f5b70c8e6e115031c8ce716c31047a0a4c/image.jpg")</f>
        <v>https://api.typeform.com/responses/files/aa1210d56b1a3654af1be7dd9dad40f5b70c8e6e115031c8ce716c31047a0a4c/image.jpg</v>
      </c>
      <c r="AD590" t="s">
        <v>118</v>
      </c>
      <c r="AE590" t="s">
        <v>1220</v>
      </c>
      <c r="AF590" t="s">
        <v>197</v>
      </c>
      <c r="AG590">
        <v>0.0</v>
      </c>
      <c r="AH590" t="s">
        <v>575</v>
      </c>
      <c r="AI590" t="s">
        <v>121</v>
      </c>
      <c r="AK590" t="s">
        <v>4241</v>
      </c>
      <c r="AL590" t="s">
        <v>1925</v>
      </c>
      <c r="AO590" t="s">
        <v>335</v>
      </c>
      <c r="AP590">
        <v>7.0</v>
      </c>
      <c r="AQ590" t="s">
        <v>201</v>
      </c>
      <c r="AR590" t="s">
        <v>11993</v>
      </c>
      <c r="AS590" t="b">
        <v>1</v>
      </c>
      <c r="AT590" t="b">
        <v>1</v>
      </c>
      <c r="AV590">
        <v>5.0</v>
      </c>
      <c r="AW590" t="b">
        <v>0</v>
      </c>
      <c r="AZ590" t="b">
        <v>0</v>
      </c>
      <c r="BA590" t="b">
        <v>0</v>
      </c>
      <c r="BD590" t="s">
        <v>11994</v>
      </c>
      <c r="BH590" t="s">
        <v>132</v>
      </c>
      <c r="BI590">
        <v>5.0</v>
      </c>
      <c r="BJ590" t="s">
        <v>11995</v>
      </c>
      <c r="BK590">
        <v>4.0</v>
      </c>
      <c r="BL590">
        <v>5.0</v>
      </c>
      <c r="BM590" t="s">
        <v>11996</v>
      </c>
      <c r="BN590">
        <v>4.0</v>
      </c>
      <c r="BO590">
        <v>5.0</v>
      </c>
      <c r="BP590" t="s">
        <v>10914</v>
      </c>
      <c r="BQ590" t="s">
        <v>1353</v>
      </c>
      <c r="BR590" t="s">
        <v>11997</v>
      </c>
      <c r="BS590" t="s">
        <v>11998</v>
      </c>
      <c r="BU590" t="s">
        <v>179</v>
      </c>
      <c r="BV590" s="3" t="str">
        <f>HYPERLINK("https://api.typeform.com/responses/files/9526cb2f95e8719c13d33d2b07f4c66df3dd9314351c9cdf4d5cba185f3a084a/image.jpg")</f>
        <v>https://api.typeform.com/responses/files/9526cb2f95e8719c13d33d2b07f4c66df3dd9314351c9cdf4d5cba185f3a084a/image.jpg</v>
      </c>
      <c r="BW590" t="b">
        <v>1</v>
      </c>
      <c r="BX590" t="s">
        <v>1394</v>
      </c>
      <c r="BY590" t="s">
        <v>140</v>
      </c>
      <c r="CA590" t="s">
        <v>1395</v>
      </c>
      <c r="CD590">
        <v>0.0</v>
      </c>
      <c r="CF590" t="b">
        <v>1</v>
      </c>
      <c r="CG590" t="b">
        <v>1</v>
      </c>
      <c r="CH590" t="s">
        <v>168</v>
      </c>
      <c r="CJ590" t="b">
        <v>1</v>
      </c>
      <c r="CK590" t="b">
        <v>0</v>
      </c>
      <c r="CL590" t="s">
        <v>198</v>
      </c>
      <c r="CO590" t="s">
        <v>1248</v>
      </c>
      <c r="CQ590" t="s">
        <v>198</v>
      </c>
      <c r="CR590" t="b">
        <v>1</v>
      </c>
      <c r="CT590">
        <v>0.0</v>
      </c>
      <c r="CU590">
        <v>5.0</v>
      </c>
      <c r="CX590" s="4" t="s">
        <v>5699</v>
      </c>
      <c r="CZ590" s="5">
        <v>44859.64226851852</v>
      </c>
      <c r="DA590" t="s">
        <v>11999</v>
      </c>
    </row>
    <row r="591">
      <c r="A591" t="s">
        <v>98</v>
      </c>
      <c r="D591" t="s">
        <v>12000</v>
      </c>
      <c r="E591" t="s">
        <v>5756</v>
      </c>
      <c r="F591" s="2">
        <v>38830.0</v>
      </c>
      <c r="G591" t="s">
        <v>1466</v>
      </c>
      <c r="I591" s="3" t="str">
        <f>HYPERLINK("https://api.typeform.com/responses/files/70f9dceeb25190af708b08257a9de70cc1d60b8f9a622fb32ed0394c735701d3/pic.jpg")</f>
        <v>https://api.typeform.com/responses/files/70f9dceeb25190af708b08257a9de70cc1d60b8f9a622fb32ed0394c735701d3/pic.jpg</v>
      </c>
      <c r="J591" t="s">
        <v>12001</v>
      </c>
      <c r="K591" t="b">
        <v>1</v>
      </c>
      <c r="L591" s="4" t="s">
        <v>12002</v>
      </c>
      <c r="M591" t="s">
        <v>12003</v>
      </c>
      <c r="N591" t="s">
        <v>255</v>
      </c>
      <c r="O591" t="s">
        <v>990</v>
      </c>
      <c r="P591" t="s">
        <v>12004</v>
      </c>
      <c r="Q591" t="s">
        <v>189</v>
      </c>
      <c r="R591" t="s">
        <v>12005</v>
      </c>
      <c r="S591" t="s">
        <v>12006</v>
      </c>
      <c r="T591" s="4" t="s">
        <v>12007</v>
      </c>
      <c r="U591" t="s">
        <v>9618</v>
      </c>
      <c r="V591" t="s">
        <v>12008</v>
      </c>
      <c r="W591" t="s">
        <v>261</v>
      </c>
      <c r="Y591" t="s">
        <v>158</v>
      </c>
      <c r="Z591" t="s">
        <v>262</v>
      </c>
      <c r="AC591" s="3" t="str">
        <f>HYPERLINK("https://api.typeform.com/responses/files/56f62e50ffd3a8fc99aaa5ffddd8a6f412857d7f9f7bbe6a4327ecc54be2871d/pic.jpg")</f>
        <v>https://api.typeform.com/responses/files/56f62e50ffd3a8fc99aaa5ffddd8a6f412857d7f9f7bbe6a4327ecc54be2871d/pic.jpg</v>
      </c>
      <c r="AD591" t="s">
        <v>118</v>
      </c>
      <c r="AE591" t="s">
        <v>1220</v>
      </c>
      <c r="AF591" t="s">
        <v>197</v>
      </c>
      <c r="AG591">
        <v>1.0</v>
      </c>
      <c r="AH591" s="4" t="s">
        <v>4230</v>
      </c>
      <c r="AI591" t="s">
        <v>121</v>
      </c>
      <c r="AK591" t="s">
        <v>12009</v>
      </c>
      <c r="AL591" t="s">
        <v>199</v>
      </c>
      <c r="AO591" t="s">
        <v>125</v>
      </c>
      <c r="AP591">
        <v>5.0</v>
      </c>
      <c r="AQ591" t="s">
        <v>1520</v>
      </c>
      <c r="AR591" t="s">
        <v>1951</v>
      </c>
      <c r="AS591" t="b">
        <v>1</v>
      </c>
      <c r="AT591" t="b">
        <v>1</v>
      </c>
      <c r="AV591">
        <v>5.0</v>
      </c>
      <c r="AW591" t="b">
        <v>0</v>
      </c>
      <c r="AZ591" t="b">
        <v>1</v>
      </c>
      <c r="BA591" t="b">
        <v>1</v>
      </c>
      <c r="BB591" t="b">
        <v>0</v>
      </c>
      <c r="BC591" t="s">
        <v>12010</v>
      </c>
      <c r="BH591" t="s">
        <v>132</v>
      </c>
      <c r="BI591">
        <v>2.0</v>
      </c>
      <c r="BJ591" t="s">
        <v>12011</v>
      </c>
      <c r="BK591">
        <v>4.0</v>
      </c>
      <c r="BL591">
        <v>4.0</v>
      </c>
      <c r="BM591" t="s">
        <v>12012</v>
      </c>
      <c r="BN591">
        <v>3.0</v>
      </c>
      <c r="BO591">
        <v>3.0</v>
      </c>
      <c r="BP591" t="s">
        <v>12013</v>
      </c>
      <c r="BQ591" t="s">
        <v>1606</v>
      </c>
      <c r="BR591" t="s">
        <v>12014</v>
      </c>
      <c r="BS591" t="s">
        <v>12015</v>
      </c>
      <c r="BU591" t="s">
        <v>139</v>
      </c>
      <c r="BV591" s="3" t="str">
        <f>HYPERLINK("https://api.typeform.com/responses/files/a422f351f0bcd3f157e2734b981a6ce4afe72811e63126bcbf332b845415dd4f/pic.jpg")</f>
        <v>https://api.typeform.com/responses/files/a422f351f0bcd3f157e2734b981a6ce4afe72811e63126bcbf332b845415dd4f/pic.jpg</v>
      </c>
      <c r="BW591" t="b">
        <v>1</v>
      </c>
      <c r="BX591" t="s">
        <v>1394</v>
      </c>
      <c r="BY591" t="s">
        <v>140</v>
      </c>
      <c r="CA591" t="s">
        <v>1395</v>
      </c>
      <c r="CD591">
        <v>0.0</v>
      </c>
      <c r="CF591" t="b">
        <v>0</v>
      </c>
      <c r="CG591" t="b">
        <v>0</v>
      </c>
      <c r="CH591" t="s">
        <v>1935</v>
      </c>
      <c r="CJ591" t="b">
        <v>1</v>
      </c>
      <c r="CK591" t="b">
        <v>0</v>
      </c>
      <c r="CL591" t="s">
        <v>541</v>
      </c>
      <c r="CO591" t="s">
        <v>200</v>
      </c>
      <c r="CQ591" t="s">
        <v>198</v>
      </c>
      <c r="CR591" t="b">
        <v>1</v>
      </c>
      <c r="CT591">
        <v>4.0</v>
      </c>
      <c r="CU591">
        <v>0.0</v>
      </c>
      <c r="CX591" s="4" t="s">
        <v>465</v>
      </c>
      <c r="CZ591" s="5">
        <v>44859.64630787037</v>
      </c>
      <c r="DA591" t="s">
        <v>12016</v>
      </c>
    </row>
    <row r="592">
      <c r="A592" t="s">
        <v>98</v>
      </c>
      <c r="D592" t="s">
        <v>12017</v>
      </c>
      <c r="E592" t="s">
        <v>12018</v>
      </c>
      <c r="F592" s="2">
        <v>39040.0</v>
      </c>
      <c r="G592" t="s">
        <v>1466</v>
      </c>
      <c r="I592" s="3" t="str">
        <f>HYPERLINK("https://api.typeform.com/responses/files/31f87f45cc1bdd2319b68c0b6fe7b844fec044cabd742f29abf7d92654506438/IMG_20221025_111318.jpg")</f>
        <v>https://api.typeform.com/responses/files/31f87f45cc1bdd2319b68c0b6fe7b844fec044cabd742f29abf7d92654506438/IMG_20221025_111318.jpg</v>
      </c>
      <c r="J592" t="s">
        <v>12019</v>
      </c>
      <c r="K592" t="b">
        <v>1</v>
      </c>
      <c r="L592" s="4" t="s">
        <v>12020</v>
      </c>
      <c r="M592" t="s">
        <v>12021</v>
      </c>
      <c r="N592" t="s">
        <v>255</v>
      </c>
      <c r="P592" t="s">
        <v>12022</v>
      </c>
      <c r="Q592" t="s">
        <v>189</v>
      </c>
      <c r="R592" t="s">
        <v>12023</v>
      </c>
      <c r="S592" t="s">
        <v>12024</v>
      </c>
      <c r="T592" s="4" t="s">
        <v>12025</v>
      </c>
      <c r="U592" t="s">
        <v>9618</v>
      </c>
      <c r="V592" t="s">
        <v>12021</v>
      </c>
      <c r="W592" t="s">
        <v>261</v>
      </c>
      <c r="Y592" t="s">
        <v>158</v>
      </c>
      <c r="Z592" t="s">
        <v>262</v>
      </c>
      <c r="AC592" s="3" t="str">
        <f>HYPERLINK("https://api.typeform.com/responses/files/bf1762f70f388337f1ed8f07af675233a0f6b3de02fac70b5ab5762171fdd6a9/IMG_20221025_111318.jpg")</f>
        <v>https://api.typeform.com/responses/files/bf1762f70f388337f1ed8f07af675233a0f6b3de02fac70b5ab5762171fdd6a9/IMG_20221025_111318.jpg</v>
      </c>
      <c r="AD592" t="s">
        <v>118</v>
      </c>
      <c r="AE592" t="s">
        <v>1220</v>
      </c>
      <c r="AF592" t="s">
        <v>12026</v>
      </c>
      <c r="AG592">
        <v>0.0</v>
      </c>
      <c r="AH592" s="4" t="s">
        <v>4230</v>
      </c>
      <c r="AI592" t="s">
        <v>121</v>
      </c>
      <c r="AK592" t="s">
        <v>1182</v>
      </c>
      <c r="AL592" t="s">
        <v>967</v>
      </c>
      <c r="AO592" t="s">
        <v>486</v>
      </c>
      <c r="AP592">
        <v>4.0</v>
      </c>
      <c r="AQ592" t="s">
        <v>303</v>
      </c>
      <c r="AR592" t="s">
        <v>11428</v>
      </c>
      <c r="AS592" t="b">
        <v>1</v>
      </c>
      <c r="AT592" t="b">
        <v>0</v>
      </c>
      <c r="AV592">
        <v>4.0</v>
      </c>
      <c r="AW592" t="b">
        <v>0</v>
      </c>
      <c r="AZ592" t="b">
        <v>0</v>
      </c>
      <c r="BA592" t="b">
        <v>1</v>
      </c>
      <c r="BB592" t="b">
        <v>1</v>
      </c>
      <c r="BC592" t="s">
        <v>12027</v>
      </c>
      <c r="BH592" t="s">
        <v>132</v>
      </c>
      <c r="BI592">
        <v>6.0</v>
      </c>
      <c r="BJ592" t="s">
        <v>12028</v>
      </c>
      <c r="BK592">
        <v>4.0</v>
      </c>
      <c r="BL592">
        <v>4.0</v>
      </c>
      <c r="BM592" t="s">
        <v>12029</v>
      </c>
      <c r="BN592">
        <v>5.0</v>
      </c>
      <c r="BO592">
        <v>5.0</v>
      </c>
      <c r="BP592" t="s">
        <v>12030</v>
      </c>
      <c r="BQ592" t="s">
        <v>8344</v>
      </c>
      <c r="BR592" t="s">
        <v>12031</v>
      </c>
      <c r="BS592" t="s">
        <v>12032</v>
      </c>
      <c r="BU592" t="s">
        <v>1182</v>
      </c>
      <c r="BV592" s="3" t="str">
        <f>HYPERLINK("https://api.typeform.com/responses/files/63d83575747ca0fe4fabdc82a6fa33581c590fad5e4abdfd19be2b4883f17ea7/IMG_20221025_111318.jpg")</f>
        <v>https://api.typeform.com/responses/files/63d83575747ca0fe4fabdc82a6fa33581c590fad5e4abdfd19be2b4883f17ea7/IMG_20221025_111318.jpg</v>
      </c>
      <c r="BW592" t="b">
        <v>1</v>
      </c>
      <c r="BX592" t="s">
        <v>1394</v>
      </c>
      <c r="BY592" t="s">
        <v>140</v>
      </c>
      <c r="CA592" t="s">
        <v>1395</v>
      </c>
      <c r="CD592">
        <v>0.0</v>
      </c>
      <c r="CF592" t="b">
        <v>1</v>
      </c>
      <c r="CG592" t="b">
        <v>1</v>
      </c>
      <c r="CH592" t="s">
        <v>628</v>
      </c>
      <c r="CJ592" t="b">
        <v>1</v>
      </c>
      <c r="CK592" t="b">
        <v>1</v>
      </c>
      <c r="CL592" t="s">
        <v>541</v>
      </c>
      <c r="CO592" t="s">
        <v>1248</v>
      </c>
      <c r="CR592" t="b">
        <v>1</v>
      </c>
      <c r="CT592">
        <v>0.0</v>
      </c>
      <c r="CU592">
        <v>0.0</v>
      </c>
      <c r="CX592" s="4" t="s">
        <v>11311</v>
      </c>
      <c r="CZ592" s="5">
        <v>44859.64957175926</v>
      </c>
      <c r="DA592" t="s">
        <v>12033</v>
      </c>
    </row>
    <row r="593">
      <c r="A593" t="s">
        <v>98</v>
      </c>
      <c r="D593" t="s">
        <v>12034</v>
      </c>
      <c r="E593" t="s">
        <v>12035</v>
      </c>
      <c r="F593" s="2">
        <v>37901.0</v>
      </c>
      <c r="G593" t="s">
        <v>1466</v>
      </c>
      <c r="I593" s="3" t="str">
        <f>HYPERLINK("https://api.typeform.com/responses/files/11380bf59726cb6557df8029f2d61d17c317b95733b7c330ec5edb4e814fe50b/download.png")</f>
        <v>https://api.typeform.com/responses/files/11380bf59726cb6557df8029f2d61d17c317b95733b7c330ec5edb4e814fe50b/download.png</v>
      </c>
      <c r="J593" t="s">
        <v>12036</v>
      </c>
      <c r="K593" t="b">
        <v>0</v>
      </c>
      <c r="M593" t="s">
        <v>12037</v>
      </c>
      <c r="N593" t="s">
        <v>255</v>
      </c>
      <c r="O593" t="s">
        <v>620</v>
      </c>
      <c r="P593" t="s">
        <v>5155</v>
      </c>
      <c r="Q593" t="s">
        <v>189</v>
      </c>
      <c r="R593" t="s">
        <v>12038</v>
      </c>
      <c r="S593" t="s">
        <v>12039</v>
      </c>
      <c r="T593" s="4" t="s">
        <v>12040</v>
      </c>
      <c r="U593" t="s">
        <v>3078</v>
      </c>
      <c r="V593" t="s">
        <v>2381</v>
      </c>
      <c r="W593" t="s">
        <v>261</v>
      </c>
      <c r="Y593" t="s">
        <v>158</v>
      </c>
      <c r="Z593" t="s">
        <v>262</v>
      </c>
      <c r="AC593" s="3" t="str">
        <f>HYPERLINK("https://api.typeform.com/responses/files/4f56c660b5a8773ccdcfeb4adead21dc67cea1f545c9245a0c920a28c9a223b7/download.png")</f>
        <v>https://api.typeform.com/responses/files/4f56c660b5a8773ccdcfeb4adead21dc67cea1f545c9245a0c920a28c9a223b7/download.png</v>
      </c>
      <c r="AD593" t="s">
        <v>118</v>
      </c>
      <c r="AE593" t="s">
        <v>729</v>
      </c>
      <c r="AF593" t="s">
        <v>2029</v>
      </c>
      <c r="AG593">
        <v>7.0</v>
      </c>
      <c r="AH593" s="4" t="s">
        <v>4262</v>
      </c>
      <c r="AI593" t="s">
        <v>162</v>
      </c>
      <c r="AL593" t="s">
        <v>1828</v>
      </c>
      <c r="AO593" t="s">
        <v>125</v>
      </c>
      <c r="AP593">
        <v>7.0</v>
      </c>
      <c r="AQ593" t="s">
        <v>2240</v>
      </c>
      <c r="AR593" t="s">
        <v>12041</v>
      </c>
      <c r="AS593" t="b">
        <v>1</v>
      </c>
      <c r="AT593" t="b">
        <v>0</v>
      </c>
      <c r="AV593">
        <v>6.0</v>
      </c>
      <c r="AW593" t="b">
        <v>0</v>
      </c>
      <c r="AZ593" t="b">
        <v>0</v>
      </c>
      <c r="BA593" t="b">
        <v>0</v>
      </c>
      <c r="BD593" t="s">
        <v>12042</v>
      </c>
      <c r="BH593" t="s">
        <v>132</v>
      </c>
      <c r="BI593">
        <v>6.0</v>
      </c>
      <c r="BJ593" t="s">
        <v>1593</v>
      </c>
      <c r="BK593">
        <v>3.0</v>
      </c>
      <c r="BL593">
        <v>7.0</v>
      </c>
      <c r="BM593" t="s">
        <v>12043</v>
      </c>
      <c r="BN593">
        <v>4.0</v>
      </c>
      <c r="BO593">
        <v>6.0</v>
      </c>
      <c r="BP593" t="s">
        <v>620</v>
      </c>
      <c r="BQ593" t="s">
        <v>4026</v>
      </c>
      <c r="BR593" t="s">
        <v>12044</v>
      </c>
      <c r="BS593" t="s">
        <v>12045</v>
      </c>
      <c r="BU593" t="s">
        <v>12046</v>
      </c>
      <c r="BV593" s="3" t="str">
        <f>HYPERLINK("https://api.typeform.com/responses/files/be55e0910da411231a4fb5be3e976dda99cce2db37ed86ae24f337274f375c2f/download.png")</f>
        <v>https://api.typeform.com/responses/files/be55e0910da411231a4fb5be3e976dda99cce2db37ed86ae24f337274f375c2f/download.png</v>
      </c>
      <c r="BW593" t="b">
        <v>1</v>
      </c>
      <c r="BX593" t="s">
        <v>1394</v>
      </c>
      <c r="BY593" t="s">
        <v>140</v>
      </c>
      <c r="CA593" t="s">
        <v>1395</v>
      </c>
      <c r="CD593">
        <v>0.0</v>
      </c>
      <c r="CF593" t="b">
        <v>0</v>
      </c>
      <c r="CG593" t="b">
        <v>0</v>
      </c>
      <c r="CH593" t="s">
        <v>12047</v>
      </c>
      <c r="CJ593" t="b">
        <v>1</v>
      </c>
      <c r="CK593" t="b">
        <v>0</v>
      </c>
      <c r="CL593" t="s">
        <v>198</v>
      </c>
      <c r="CO593" t="s">
        <v>164</v>
      </c>
      <c r="CR593" t="b">
        <v>1</v>
      </c>
      <c r="CT593">
        <v>0.0</v>
      </c>
      <c r="CU593">
        <v>0.0</v>
      </c>
      <c r="CX593" t="s">
        <v>11582</v>
      </c>
      <c r="CZ593" s="5">
        <v>44859.774201388886</v>
      </c>
      <c r="DA593" t="s">
        <v>12048</v>
      </c>
    </row>
    <row r="594">
      <c r="A594" t="s">
        <v>98</v>
      </c>
      <c r="D594" t="s">
        <v>12049</v>
      </c>
      <c r="E594" t="s">
        <v>12050</v>
      </c>
      <c r="F594" s="2">
        <v>39270.0</v>
      </c>
      <c r="G594" t="s">
        <v>1360</v>
      </c>
      <c r="I594" s="3" t="str">
        <f>HYPERLINK("https://api.typeform.com/responses/files/1994bd4792fc28726104e0c7d63a43920cd5391e03d78078f6411671d7b15b9d/download.png")</f>
        <v>https://api.typeform.com/responses/files/1994bd4792fc28726104e0c7d63a43920cd5391e03d78078f6411671d7b15b9d/download.png</v>
      </c>
      <c r="J594" t="s">
        <v>12051</v>
      </c>
      <c r="K594" t="b">
        <v>1</v>
      </c>
      <c r="L594" s="4" t="s">
        <v>12052</v>
      </c>
      <c r="M594" t="s">
        <v>12053</v>
      </c>
      <c r="N594" t="s">
        <v>105</v>
      </c>
      <c r="P594" t="s">
        <v>12054</v>
      </c>
      <c r="Q594" t="s">
        <v>189</v>
      </c>
      <c r="R594" t="s">
        <v>12055</v>
      </c>
      <c r="S594" t="s">
        <v>12056</v>
      </c>
      <c r="T594" s="4" t="s">
        <v>12052</v>
      </c>
      <c r="U594" t="s">
        <v>2380</v>
      </c>
      <c r="V594" t="s">
        <v>12057</v>
      </c>
      <c r="W594" t="s">
        <v>2290</v>
      </c>
      <c r="Y594" t="s">
        <v>158</v>
      </c>
      <c r="Z594" t="s">
        <v>195</v>
      </c>
      <c r="AC594" s="3" t="str">
        <f>HYPERLINK("https://api.typeform.com/responses/files/d3e2ad6ceb10d0ed50c9a75ca5ab5239f94d91febf304029aabc0fc653346245/download.png")</f>
        <v>https://api.typeform.com/responses/files/d3e2ad6ceb10d0ed50c9a75ca5ab5239f94d91febf304029aabc0fc653346245/download.png</v>
      </c>
      <c r="AD594" t="s">
        <v>118</v>
      </c>
      <c r="AE594" t="s">
        <v>1780</v>
      </c>
      <c r="AI594" t="s">
        <v>121</v>
      </c>
      <c r="AL594" t="s">
        <v>621</v>
      </c>
      <c r="AO594" t="s">
        <v>1479</v>
      </c>
      <c r="AP594">
        <v>4.0</v>
      </c>
      <c r="AQ594" t="s">
        <v>1520</v>
      </c>
      <c r="AR594" t="s">
        <v>12058</v>
      </c>
      <c r="AS594" t="b">
        <v>1</v>
      </c>
      <c r="AT594" t="b">
        <v>0</v>
      </c>
      <c r="AV594">
        <v>2.0</v>
      </c>
      <c r="AW594" t="b">
        <v>1</v>
      </c>
      <c r="AX594" s="4" t="s">
        <v>130</v>
      </c>
      <c r="AY594" s="4" t="s">
        <v>170</v>
      </c>
      <c r="AZ594" t="b">
        <v>0</v>
      </c>
      <c r="BA594" t="b">
        <v>1</v>
      </c>
      <c r="BB594" t="b">
        <v>0</v>
      </c>
      <c r="BC594" t="s">
        <v>12059</v>
      </c>
      <c r="BH594" t="s">
        <v>132</v>
      </c>
      <c r="BI594">
        <v>1.0</v>
      </c>
      <c r="BJ594" t="s">
        <v>12060</v>
      </c>
      <c r="BK594">
        <v>3.0</v>
      </c>
      <c r="BL594">
        <v>4.0</v>
      </c>
      <c r="BM594" t="s">
        <v>12061</v>
      </c>
      <c r="BN594">
        <v>3.0</v>
      </c>
      <c r="BO594">
        <v>3.0</v>
      </c>
      <c r="BP594" t="s">
        <v>12062</v>
      </c>
      <c r="BQ594" t="s">
        <v>12063</v>
      </c>
      <c r="BR594" t="s">
        <v>12064</v>
      </c>
      <c r="BS594" t="s">
        <v>12065</v>
      </c>
      <c r="BU594" t="s">
        <v>12066</v>
      </c>
      <c r="BV594" s="3" t="str">
        <f>HYPERLINK("https://api.typeform.com/responses/files/0f30d8a0bfd471f567bcbe6c834ef9105c972078530c522925a5bf59be8807fd/download.png")</f>
        <v>https://api.typeform.com/responses/files/0f30d8a0bfd471f567bcbe6c834ef9105c972078530c522925a5bf59be8807fd/download.png</v>
      </c>
      <c r="BW594" t="b">
        <v>1</v>
      </c>
      <c r="BX594" t="s">
        <v>1394</v>
      </c>
      <c r="BY594" t="s">
        <v>140</v>
      </c>
      <c r="CA594" t="s">
        <v>1395</v>
      </c>
      <c r="CD594">
        <v>0.0</v>
      </c>
      <c r="CF594" t="b">
        <v>0</v>
      </c>
      <c r="CG594" t="b">
        <v>1</v>
      </c>
      <c r="CH594" t="s">
        <v>168</v>
      </c>
      <c r="CJ594" t="b">
        <v>0</v>
      </c>
      <c r="CK594" t="b">
        <v>1</v>
      </c>
      <c r="CL594" t="s">
        <v>541</v>
      </c>
      <c r="CO594" t="s">
        <v>200</v>
      </c>
      <c r="CR594" t="b">
        <v>1</v>
      </c>
      <c r="CT594">
        <v>0.0</v>
      </c>
      <c r="CU594">
        <v>5.0</v>
      </c>
      <c r="CX594" t="s">
        <v>620</v>
      </c>
      <c r="CZ594" s="5">
        <v>44859.78060185185</v>
      </c>
      <c r="DA594" t="s">
        <v>12067</v>
      </c>
    </row>
    <row r="595">
      <c r="A595" t="s">
        <v>98</v>
      </c>
      <c r="D595" t="s">
        <v>12068</v>
      </c>
      <c r="E595" t="s">
        <v>12069</v>
      </c>
      <c r="F595" s="2">
        <v>39298.0</v>
      </c>
      <c r="G595" t="s">
        <v>1466</v>
      </c>
      <c r="I595" s="3" t="str">
        <f>HYPERLINK("https://api.typeform.com/responses/files/01e172a7facf40d96e4e703b52c59d2f01d3a0c0b86220f2951b59d341426eda/Untitled_document.docx")</f>
        <v>https://api.typeform.com/responses/files/01e172a7facf40d96e4e703b52c59d2f01d3a0c0b86220f2951b59d341426eda/Untitled_document.docx</v>
      </c>
      <c r="J595" t="s">
        <v>12070</v>
      </c>
      <c r="K595" t="b">
        <v>0</v>
      </c>
      <c r="M595" t="s">
        <v>12071</v>
      </c>
      <c r="N595" t="s">
        <v>255</v>
      </c>
      <c r="P595" t="s">
        <v>12072</v>
      </c>
      <c r="Q595" t="s">
        <v>292</v>
      </c>
      <c r="R595" t="s">
        <v>12073</v>
      </c>
      <c r="S595" t="s">
        <v>12074</v>
      </c>
      <c r="T595" s="4" t="s">
        <v>12075</v>
      </c>
      <c r="U595" t="s">
        <v>12076</v>
      </c>
      <c r="V595" t="s">
        <v>12077</v>
      </c>
      <c r="W595" t="s">
        <v>261</v>
      </c>
      <c r="Y595" t="s">
        <v>158</v>
      </c>
      <c r="Z595" t="s">
        <v>195</v>
      </c>
      <c r="AC595" s="3" t="str">
        <f>HYPERLINK("https://api.typeform.com/responses/files/43d812fed7c3f60d769d96f50deee4704193bc08e407db887381429294a1d56a/Untitled_document.docx")</f>
        <v>https://api.typeform.com/responses/files/43d812fed7c3f60d769d96f50deee4704193bc08e407db887381429294a1d56a/Untitled_document.docx</v>
      </c>
      <c r="AD595" t="s">
        <v>118</v>
      </c>
      <c r="AE595" t="s">
        <v>781</v>
      </c>
      <c r="AF595" t="s">
        <v>7803</v>
      </c>
      <c r="AG595">
        <v>0.0</v>
      </c>
      <c r="AH595" t="s">
        <v>9352</v>
      </c>
      <c r="AI595" t="s">
        <v>205</v>
      </c>
      <c r="AK595" t="s">
        <v>139</v>
      </c>
      <c r="AL595" t="s">
        <v>2490</v>
      </c>
      <c r="AO595" t="s">
        <v>486</v>
      </c>
      <c r="AP595">
        <v>1.0</v>
      </c>
      <c r="AQ595" t="s">
        <v>5630</v>
      </c>
      <c r="AR595" t="s">
        <v>12078</v>
      </c>
      <c r="AS595" t="b">
        <v>1</v>
      </c>
      <c r="AT595" t="b">
        <v>0</v>
      </c>
      <c r="AV595">
        <v>6.0</v>
      </c>
      <c r="AW595" t="b">
        <v>1</v>
      </c>
      <c r="AX595" t="s">
        <v>2797</v>
      </c>
      <c r="AY595" s="4" t="s">
        <v>518</v>
      </c>
      <c r="AZ595" t="b">
        <v>0</v>
      </c>
      <c r="BA595" t="b">
        <v>0</v>
      </c>
      <c r="BD595" t="s">
        <v>12078</v>
      </c>
      <c r="BH595" t="s">
        <v>132</v>
      </c>
      <c r="BI595">
        <v>4.0</v>
      </c>
      <c r="BJ595" t="s">
        <v>12079</v>
      </c>
      <c r="BK595">
        <v>3.0</v>
      </c>
      <c r="BL595">
        <v>4.0</v>
      </c>
      <c r="BM595" t="s">
        <v>12080</v>
      </c>
      <c r="BN595">
        <v>5.0</v>
      </c>
      <c r="BO595">
        <v>7.0</v>
      </c>
      <c r="BP595" t="s">
        <v>12081</v>
      </c>
      <c r="BQ595" t="s">
        <v>3464</v>
      </c>
      <c r="BR595" t="s">
        <v>12082</v>
      </c>
      <c r="BS595" t="s">
        <v>12083</v>
      </c>
      <c r="BU595" t="s">
        <v>12084</v>
      </c>
      <c r="BV595" s="3" t="str">
        <f>HYPERLINK("https://api.typeform.com/responses/files/bda62cdc0565c613b71277e7f4a4ecdd4217823cab784b42410eacdfbd88555e/Untitled_document.docx")</f>
        <v>https://api.typeform.com/responses/files/bda62cdc0565c613b71277e7f4a4ecdd4217823cab784b42410eacdfbd88555e/Untitled_document.docx</v>
      </c>
      <c r="BW595" t="b">
        <v>1</v>
      </c>
      <c r="BX595" t="s">
        <v>1394</v>
      </c>
      <c r="BY595" t="s">
        <v>140</v>
      </c>
      <c r="CA595" t="s">
        <v>1395</v>
      </c>
      <c r="CD595">
        <v>0.0</v>
      </c>
      <c r="CF595" t="b">
        <v>1</v>
      </c>
      <c r="CG595" t="b">
        <v>1</v>
      </c>
      <c r="CH595" t="s">
        <v>1557</v>
      </c>
      <c r="CJ595" t="b">
        <v>1</v>
      </c>
      <c r="CK595" t="b">
        <v>1</v>
      </c>
      <c r="CL595" t="s">
        <v>387</v>
      </c>
      <c r="CM595" t="s">
        <v>265</v>
      </c>
      <c r="CO595" t="s">
        <v>12085</v>
      </c>
      <c r="CR595" t="b">
        <v>1</v>
      </c>
      <c r="CT595">
        <v>1.0</v>
      </c>
      <c r="CU595">
        <v>0.0</v>
      </c>
      <c r="CX595" t="s">
        <v>1417</v>
      </c>
      <c r="CZ595" s="5">
        <v>44859.788148148145</v>
      </c>
      <c r="DA595" t="s">
        <v>12086</v>
      </c>
    </row>
    <row r="596">
      <c r="A596" t="s">
        <v>98</v>
      </c>
      <c r="D596" t="s">
        <v>12087</v>
      </c>
      <c r="E596" t="s">
        <v>12088</v>
      </c>
      <c r="F596" s="2">
        <v>38490.0</v>
      </c>
      <c r="G596" t="s">
        <v>1360</v>
      </c>
      <c r="I596" s="3" t="str">
        <f>HYPERLINK("https://api.typeform.com/responses/files/d48653d6c802599b95a7a7df67c66ec378327d949325c0417ba7a0d5fd456787/imgres.htm")</f>
        <v>https://api.typeform.com/responses/files/d48653d6c802599b95a7a7df67c66ec378327d949325c0417ba7a0d5fd456787/imgres.htm</v>
      </c>
      <c r="J596" t="s">
        <v>12089</v>
      </c>
      <c r="K596" t="b">
        <v>1</v>
      </c>
      <c r="L596" s="4" t="s">
        <v>12090</v>
      </c>
      <c r="M596" t="s">
        <v>12091</v>
      </c>
      <c r="N596" t="s">
        <v>255</v>
      </c>
      <c r="P596" t="s">
        <v>12092</v>
      </c>
      <c r="Q596" t="s">
        <v>152</v>
      </c>
      <c r="R596" t="s">
        <v>12093</v>
      </c>
      <c r="S596" t="s">
        <v>12094</v>
      </c>
      <c r="T596" s="4" t="s">
        <v>12095</v>
      </c>
      <c r="U596" t="s">
        <v>2981</v>
      </c>
      <c r="V596" t="s">
        <v>12096</v>
      </c>
      <c r="W596" t="s">
        <v>2290</v>
      </c>
      <c r="Y596" t="s">
        <v>158</v>
      </c>
      <c r="Z596" t="s">
        <v>195</v>
      </c>
      <c r="AC596" s="3" t="str">
        <f>HYPERLINK("https://api.typeform.com/responses/files/c80c7edace258e2abb7ecc5475947086403aab669f4c99637500a904a32f51a2/imgres.htm")</f>
        <v>https://api.typeform.com/responses/files/c80c7edace258e2abb7ecc5475947086403aab669f4c99637500a904a32f51a2/imgres.htm</v>
      </c>
      <c r="AD596" t="s">
        <v>758</v>
      </c>
      <c r="AE596" t="s">
        <v>1780</v>
      </c>
      <c r="AI596" t="s">
        <v>121</v>
      </c>
      <c r="AL596" t="s">
        <v>621</v>
      </c>
      <c r="AO596" t="s">
        <v>125</v>
      </c>
      <c r="AP596">
        <v>5.0</v>
      </c>
      <c r="AQ596" t="s">
        <v>303</v>
      </c>
      <c r="AR596" t="s">
        <v>12097</v>
      </c>
      <c r="AS596" t="b">
        <v>0</v>
      </c>
      <c r="AV596">
        <v>7.0</v>
      </c>
      <c r="AW596" t="b">
        <v>0</v>
      </c>
      <c r="AZ596" t="b">
        <v>0</v>
      </c>
      <c r="BA596" t="b">
        <v>0</v>
      </c>
      <c r="BD596" t="s">
        <v>12098</v>
      </c>
      <c r="BH596" t="s">
        <v>132</v>
      </c>
      <c r="BI596">
        <v>1.0</v>
      </c>
      <c r="BJ596" t="s">
        <v>12099</v>
      </c>
      <c r="BK596">
        <v>4.0</v>
      </c>
      <c r="BL596">
        <v>6.0</v>
      </c>
      <c r="BM596" t="s">
        <v>12100</v>
      </c>
      <c r="BN596">
        <v>4.0</v>
      </c>
      <c r="BO596">
        <v>4.0</v>
      </c>
      <c r="BP596" t="s">
        <v>12101</v>
      </c>
      <c r="BQ596" t="s">
        <v>3858</v>
      </c>
      <c r="BR596" t="s">
        <v>12102</v>
      </c>
      <c r="BS596" t="s">
        <v>12103</v>
      </c>
      <c r="BU596" t="s">
        <v>12104</v>
      </c>
      <c r="BV596" s="3" t="str">
        <f>HYPERLINK("https://api.typeform.com/responses/files/9ec5651e4faadb3302bcfa4c9b7acb7e842cbbc0f4bc6e41744e92492813947b/imgres.htm")</f>
        <v>https://api.typeform.com/responses/files/9ec5651e4faadb3302bcfa4c9b7acb7e842cbbc0f4bc6e41744e92492813947b/imgres.htm</v>
      </c>
      <c r="BW596" t="b">
        <v>1</v>
      </c>
      <c r="BX596" t="s">
        <v>1394</v>
      </c>
      <c r="BY596" t="s">
        <v>140</v>
      </c>
      <c r="CA596" t="s">
        <v>1395</v>
      </c>
      <c r="CD596">
        <v>0.0</v>
      </c>
      <c r="CF596" t="b">
        <v>1</v>
      </c>
      <c r="CG596" t="b">
        <v>0</v>
      </c>
      <c r="CH596" t="s">
        <v>12105</v>
      </c>
      <c r="CJ596" t="b">
        <v>1</v>
      </c>
      <c r="CK596" t="b">
        <v>0</v>
      </c>
      <c r="CL596" t="s">
        <v>541</v>
      </c>
      <c r="CM596" t="s">
        <v>541</v>
      </c>
      <c r="CO596" t="s">
        <v>2500</v>
      </c>
      <c r="CQ596" t="s">
        <v>541</v>
      </c>
      <c r="CR596" t="b">
        <v>1</v>
      </c>
      <c r="CT596">
        <v>0.0</v>
      </c>
      <c r="CU596">
        <v>1.0</v>
      </c>
      <c r="CX596" t="s">
        <v>3943</v>
      </c>
      <c r="CZ596" s="5">
        <v>44859.78990740741</v>
      </c>
      <c r="DA596" t="s">
        <v>12106</v>
      </c>
    </row>
    <row r="597">
      <c r="A597" t="s">
        <v>98</v>
      </c>
      <c r="D597" t="s">
        <v>11988</v>
      </c>
      <c r="E597" t="s">
        <v>4131</v>
      </c>
      <c r="F597" s="2">
        <v>38983.0</v>
      </c>
      <c r="G597" t="s">
        <v>1491</v>
      </c>
      <c r="I597" s="3" t="str">
        <f>HYPERLINK("https://api.typeform.com/responses/files/2762b969d992372309df36d56553b06808396c08cf4a0fd63fdc6c7b84d69323/White_flag_of_surrender.svg.png")</f>
        <v>https://api.typeform.com/responses/files/2762b969d992372309df36d56553b06808396c08cf4a0fd63fdc6c7b84d69323/White_flag_of_surrender.svg.png</v>
      </c>
      <c r="J597" t="s">
        <v>12107</v>
      </c>
      <c r="K597" t="b">
        <v>1</v>
      </c>
      <c r="L597" s="4" t="s">
        <v>12108</v>
      </c>
      <c r="M597" t="s">
        <v>12109</v>
      </c>
      <c r="N597" t="s">
        <v>105</v>
      </c>
      <c r="O597" t="s">
        <v>1417</v>
      </c>
      <c r="P597" t="s">
        <v>12110</v>
      </c>
      <c r="Q597" t="s">
        <v>189</v>
      </c>
      <c r="R597" t="s">
        <v>12111</v>
      </c>
      <c r="S597" t="s">
        <v>12112</v>
      </c>
      <c r="T597" s="4" t="s">
        <v>12113</v>
      </c>
      <c r="U597" t="s">
        <v>12114</v>
      </c>
      <c r="V597" t="s">
        <v>12115</v>
      </c>
      <c r="W597" t="s">
        <v>261</v>
      </c>
      <c r="Y597" t="s">
        <v>158</v>
      </c>
      <c r="Z597" t="s">
        <v>262</v>
      </c>
      <c r="AC597" s="3" t="str">
        <f>HYPERLINK("https://api.typeform.com/responses/files/4b155eb436b5f22212973ce35fae7d1e1b435fb8e253df5a0b01af75ff9fde15/White_flag_of_surrender.svg.png")</f>
        <v>https://api.typeform.com/responses/files/4b155eb436b5f22212973ce35fae7d1e1b435fb8e253df5a0b01af75ff9fde15/White_flag_of_surrender.svg.png</v>
      </c>
      <c r="AD597" t="s">
        <v>118</v>
      </c>
      <c r="AE597" t="s">
        <v>1780</v>
      </c>
      <c r="AI597" t="s">
        <v>121</v>
      </c>
      <c r="AK597" t="s">
        <v>677</v>
      </c>
      <c r="AL597" t="s">
        <v>621</v>
      </c>
      <c r="AO597" t="s">
        <v>486</v>
      </c>
      <c r="AP597">
        <v>5.0</v>
      </c>
      <c r="AQ597" t="s">
        <v>268</v>
      </c>
      <c r="AR597" t="s">
        <v>12116</v>
      </c>
      <c r="AS597" t="b">
        <v>1</v>
      </c>
      <c r="AT597" t="b">
        <v>0</v>
      </c>
      <c r="AV597">
        <v>5.0</v>
      </c>
      <c r="AW597" t="b">
        <v>1</v>
      </c>
      <c r="AX597" t="s">
        <v>1902</v>
      </c>
      <c r="AY597" s="4" t="s">
        <v>170</v>
      </c>
      <c r="AZ597" t="b">
        <v>0</v>
      </c>
      <c r="BA597" t="b">
        <v>0</v>
      </c>
      <c r="BD597" t="s">
        <v>12117</v>
      </c>
      <c r="BH597" t="s">
        <v>132</v>
      </c>
      <c r="BI597">
        <v>4.0</v>
      </c>
      <c r="BJ597" t="s">
        <v>12118</v>
      </c>
      <c r="BK597">
        <v>4.0</v>
      </c>
      <c r="BL597">
        <v>4.0</v>
      </c>
      <c r="BM597" t="s">
        <v>620</v>
      </c>
      <c r="BN597">
        <v>7.0</v>
      </c>
      <c r="BO597">
        <v>4.0</v>
      </c>
      <c r="BP597" t="s">
        <v>12119</v>
      </c>
      <c r="BQ597" t="s">
        <v>2390</v>
      </c>
      <c r="BR597" t="s">
        <v>12120</v>
      </c>
      <c r="BS597" t="s">
        <v>12121</v>
      </c>
      <c r="BU597" t="s">
        <v>139</v>
      </c>
      <c r="BV597" s="3" t="str">
        <f>HYPERLINK("https://api.typeform.com/responses/files/e36d1b436978aaa9be7689293d264f651815fbe1fa22551dba4c6f2aacd1d2cd/White_flag_of_surrender.svg.png")</f>
        <v>https://api.typeform.com/responses/files/e36d1b436978aaa9be7689293d264f651815fbe1fa22551dba4c6f2aacd1d2cd/White_flag_of_surrender.svg.png</v>
      </c>
      <c r="BW597" t="b">
        <v>1</v>
      </c>
      <c r="BX597" t="s">
        <v>1394</v>
      </c>
      <c r="BY597" t="s">
        <v>140</v>
      </c>
      <c r="CA597" t="s">
        <v>1395</v>
      </c>
      <c r="CD597">
        <v>0.0</v>
      </c>
      <c r="CF597" t="b">
        <v>1</v>
      </c>
      <c r="CG597" t="b">
        <v>1</v>
      </c>
      <c r="CH597" t="s">
        <v>366</v>
      </c>
      <c r="CJ597" t="b">
        <v>1</v>
      </c>
      <c r="CK597" t="b">
        <v>0</v>
      </c>
      <c r="CL597" t="s">
        <v>541</v>
      </c>
      <c r="CM597" t="s">
        <v>541</v>
      </c>
      <c r="CO597" t="s">
        <v>200</v>
      </c>
      <c r="CQ597" t="s">
        <v>541</v>
      </c>
      <c r="CR597" t="b">
        <v>1</v>
      </c>
      <c r="CT597">
        <v>0.0</v>
      </c>
      <c r="CU597">
        <v>1.0</v>
      </c>
      <c r="CX597" t="s">
        <v>620</v>
      </c>
      <c r="CZ597" s="5">
        <v>44859.79199074074</v>
      </c>
      <c r="DA597" t="s">
        <v>12122</v>
      </c>
    </row>
    <row r="598">
      <c r="A598" t="s">
        <v>98</v>
      </c>
      <c r="D598" t="s">
        <v>12123</v>
      </c>
      <c r="E598" t="s">
        <v>12124</v>
      </c>
      <c r="F598" s="2">
        <v>39410.0</v>
      </c>
      <c r="G598" t="s">
        <v>1466</v>
      </c>
      <c r="I598" s="3" t="str">
        <f>HYPERLINK("https://api.typeform.com/responses/files/6b205b2dbd738b71c3e4ea43bbc2c62039f49731120729329bbb11e1d0642ee3/Untitled_document__1_.docx")</f>
        <v>https://api.typeform.com/responses/files/6b205b2dbd738b71c3e4ea43bbc2c62039f49731120729329bbb11e1d0642ee3/Untitled_document__1_.docx</v>
      </c>
      <c r="J598" t="s">
        <v>12125</v>
      </c>
      <c r="K598" t="b">
        <v>1</v>
      </c>
      <c r="L598" s="4" t="s">
        <v>12126</v>
      </c>
      <c r="M598" t="s">
        <v>12127</v>
      </c>
      <c r="N598" t="s">
        <v>105</v>
      </c>
      <c r="P598" t="s">
        <v>12128</v>
      </c>
      <c r="Q598" t="s">
        <v>189</v>
      </c>
      <c r="R598" t="s">
        <v>12129</v>
      </c>
      <c r="S598" t="s">
        <v>12130</v>
      </c>
      <c r="T598" s="4" t="s">
        <v>12131</v>
      </c>
      <c r="U598" t="s">
        <v>2380</v>
      </c>
      <c r="V598" t="s">
        <v>12132</v>
      </c>
      <c r="W598" t="s">
        <v>261</v>
      </c>
      <c r="Y598" t="s">
        <v>158</v>
      </c>
      <c r="Z598" t="s">
        <v>195</v>
      </c>
      <c r="AC598" s="3" t="str">
        <f>HYPERLINK("https://api.typeform.com/responses/files/d6bb1555ba1658e5dafa86674c6450bb61c40478f24b312cae65caef5cc492ff/Untitled_document__1_.docx")</f>
        <v>https://api.typeform.com/responses/files/d6bb1555ba1658e5dafa86674c6450bb61c40478f24b312cae65caef5cc492ff/Untitled_document__1_.docx</v>
      </c>
      <c r="AD598" t="s">
        <v>118</v>
      </c>
      <c r="AE598" t="s">
        <v>729</v>
      </c>
      <c r="AF598" t="s">
        <v>4000</v>
      </c>
      <c r="AG598">
        <v>6.0</v>
      </c>
      <c r="AH598" t="s">
        <v>12133</v>
      </c>
      <c r="AI598" t="s">
        <v>121</v>
      </c>
      <c r="AK598" t="s">
        <v>12134</v>
      </c>
      <c r="AL598" t="s">
        <v>12135</v>
      </c>
      <c r="AO598" t="s">
        <v>486</v>
      </c>
      <c r="AP598">
        <v>3.0</v>
      </c>
      <c r="AQ598" t="s">
        <v>303</v>
      </c>
      <c r="AR598" t="s">
        <v>12136</v>
      </c>
      <c r="AS598" t="b">
        <v>1</v>
      </c>
      <c r="AT598" t="b">
        <v>0</v>
      </c>
      <c r="AV598">
        <v>4.0</v>
      </c>
      <c r="AW598" t="b">
        <v>1</v>
      </c>
      <c r="AX598" t="s">
        <v>1902</v>
      </c>
      <c r="AY598" s="4" t="s">
        <v>518</v>
      </c>
      <c r="AZ598" t="b">
        <v>0</v>
      </c>
      <c r="BA598" t="b">
        <v>0</v>
      </c>
      <c r="BD598" t="s">
        <v>12137</v>
      </c>
      <c r="BH598" t="s">
        <v>132</v>
      </c>
      <c r="BI598">
        <v>3.0</v>
      </c>
      <c r="BJ598" t="s">
        <v>12138</v>
      </c>
      <c r="BK598">
        <v>5.0</v>
      </c>
      <c r="BL598">
        <v>4.0</v>
      </c>
      <c r="BM598" t="s">
        <v>12139</v>
      </c>
      <c r="BN598">
        <v>2.0</v>
      </c>
      <c r="BO598">
        <v>4.0</v>
      </c>
      <c r="BP598" t="s">
        <v>12140</v>
      </c>
      <c r="BQ598" t="s">
        <v>12141</v>
      </c>
      <c r="BR598" t="s">
        <v>12142</v>
      </c>
      <c r="BS598" t="s">
        <v>12143</v>
      </c>
      <c r="BU598" t="s">
        <v>12144</v>
      </c>
      <c r="BV598" s="3" t="str">
        <f>HYPERLINK("https://api.typeform.com/responses/files/331e8124021eb3125ea8012703e1676c95d49caf62c95b5eae0b5a820f2a9e6a/Untitled_document__1_.docx")</f>
        <v>https://api.typeform.com/responses/files/331e8124021eb3125ea8012703e1676c95d49caf62c95b5eae0b5a820f2a9e6a/Untitled_document__1_.docx</v>
      </c>
      <c r="BW598" t="b">
        <v>1</v>
      </c>
      <c r="BX598" t="s">
        <v>1394</v>
      </c>
      <c r="BY598" t="s">
        <v>140</v>
      </c>
      <c r="CA598" t="s">
        <v>1395</v>
      </c>
      <c r="CD598">
        <v>0.0</v>
      </c>
      <c r="CF598" t="b">
        <v>1</v>
      </c>
      <c r="CG598" t="b">
        <v>1</v>
      </c>
      <c r="CH598" t="s">
        <v>128</v>
      </c>
      <c r="CJ598" t="b">
        <v>0</v>
      </c>
      <c r="CK598" t="b">
        <v>0</v>
      </c>
      <c r="CL598" t="s">
        <v>541</v>
      </c>
      <c r="CM598" t="s">
        <v>300</v>
      </c>
      <c r="CO598" t="s">
        <v>200</v>
      </c>
      <c r="CR598" t="b">
        <v>1</v>
      </c>
      <c r="CT598">
        <v>0.0</v>
      </c>
      <c r="CU598">
        <v>0.0</v>
      </c>
      <c r="CX598" t="s">
        <v>3943</v>
      </c>
      <c r="CZ598" s="5">
        <v>44859.79517361111</v>
      </c>
      <c r="DA598" t="s">
        <v>12145</v>
      </c>
    </row>
    <row r="599">
      <c r="A599" t="s">
        <v>98</v>
      </c>
      <c r="D599" t="s">
        <v>12146</v>
      </c>
      <c r="E599" t="s">
        <v>12147</v>
      </c>
      <c r="F599" s="2">
        <v>38976.0</v>
      </c>
      <c r="G599" t="s">
        <v>1360</v>
      </c>
      <c r="I599" s="3" t="str">
        <f>HYPERLINK("https://api.typeform.com/responses/files/256f8d07ab6d5610d71b884ba060cd55ba2366ca1464b1240d708d2f12404a32/1BA9BDC3_D488_4D1B_B3B8_85AD8610EA5A.jpeg")</f>
        <v>https://api.typeform.com/responses/files/256f8d07ab6d5610d71b884ba060cd55ba2366ca1464b1240d708d2f12404a32/1BA9BDC3_D488_4D1B_B3B8_85AD8610EA5A.jpeg</v>
      </c>
      <c r="J599" t="s">
        <v>12148</v>
      </c>
      <c r="K599" t="b">
        <v>1</v>
      </c>
      <c r="L599" s="4" t="s">
        <v>12149</v>
      </c>
      <c r="M599" s="4" t="s">
        <v>12150</v>
      </c>
      <c r="N599" t="s">
        <v>255</v>
      </c>
      <c r="O599" t="s">
        <v>12151</v>
      </c>
      <c r="P599" t="s">
        <v>12152</v>
      </c>
      <c r="Q599" t="s">
        <v>152</v>
      </c>
      <c r="R599" t="s">
        <v>12153</v>
      </c>
      <c r="S599" s="4" t="s">
        <v>12150</v>
      </c>
      <c r="T599" s="4" t="s">
        <v>12154</v>
      </c>
      <c r="U599" t="s">
        <v>3176</v>
      </c>
      <c r="V599" t="s">
        <v>12155</v>
      </c>
      <c r="W599" t="s">
        <v>2290</v>
      </c>
      <c r="Y599" t="s">
        <v>158</v>
      </c>
      <c r="Z599" t="s">
        <v>262</v>
      </c>
      <c r="AC599" s="3" t="str">
        <f>HYPERLINK("https://api.typeform.com/responses/files/e4b60400567a3e4b2a39e931f1f0f81626ecd265a4d55b5276b3dff5b75b5d6b/Copy_of_Blank.docx")</f>
        <v>https://api.typeform.com/responses/files/e4b60400567a3e4b2a39e931f1f0f81626ecd265a4d55b5276b3dff5b75b5d6b/Copy_of_Blank.docx</v>
      </c>
      <c r="AD599" t="s">
        <v>118</v>
      </c>
      <c r="AE599" t="s">
        <v>729</v>
      </c>
      <c r="AF599" t="s">
        <v>2983</v>
      </c>
      <c r="AG599">
        <v>15.0</v>
      </c>
      <c r="AH599" s="4" t="s">
        <v>4230</v>
      </c>
      <c r="AI599" t="s">
        <v>121</v>
      </c>
      <c r="AL599" t="s">
        <v>621</v>
      </c>
      <c r="AO599" t="s">
        <v>335</v>
      </c>
      <c r="AP599">
        <v>5.0</v>
      </c>
      <c r="AQ599" t="s">
        <v>1520</v>
      </c>
      <c r="AR599" t="s">
        <v>12156</v>
      </c>
      <c r="AS599" t="b">
        <v>1</v>
      </c>
      <c r="AT599" t="b">
        <v>0</v>
      </c>
      <c r="AV599">
        <v>4.0</v>
      </c>
      <c r="AW599" t="b">
        <v>0</v>
      </c>
      <c r="AZ599" t="b">
        <v>0</v>
      </c>
      <c r="BA599" t="b">
        <v>0</v>
      </c>
      <c r="BD599" t="s">
        <v>4160</v>
      </c>
      <c r="BH599" t="s">
        <v>132</v>
      </c>
      <c r="BI599">
        <v>1.0</v>
      </c>
      <c r="BJ599" t="s">
        <v>546</v>
      </c>
      <c r="BK599">
        <v>2.0</v>
      </c>
      <c r="BL599">
        <v>4.0</v>
      </c>
      <c r="BM599" t="s">
        <v>12157</v>
      </c>
      <c r="BN599">
        <v>2.0</v>
      </c>
      <c r="BO599">
        <v>5.0</v>
      </c>
      <c r="BP599" t="s">
        <v>5715</v>
      </c>
      <c r="BQ599" t="s">
        <v>5900</v>
      </c>
      <c r="BR599" t="s">
        <v>12158</v>
      </c>
      <c r="BS599" t="s">
        <v>12159</v>
      </c>
      <c r="BU599" t="s">
        <v>12160</v>
      </c>
      <c r="BV599" s="3" t="str">
        <f>HYPERLINK("https://api.typeform.com/responses/files/eaa2604e89b4abaa82c365d025e06d4194bcedf9122fe9f04c8ec68b0ced65e0/Copy_of_Blank.docx")</f>
        <v>https://api.typeform.com/responses/files/eaa2604e89b4abaa82c365d025e06d4194bcedf9122fe9f04c8ec68b0ced65e0/Copy_of_Blank.docx</v>
      </c>
      <c r="BW599" t="b">
        <v>1</v>
      </c>
      <c r="BX599" t="s">
        <v>1394</v>
      </c>
      <c r="BY599" t="s">
        <v>140</v>
      </c>
      <c r="CA599" t="s">
        <v>1395</v>
      </c>
      <c r="CD599">
        <v>0.0</v>
      </c>
      <c r="CF599" t="b">
        <v>1</v>
      </c>
      <c r="CG599" t="b">
        <v>1</v>
      </c>
      <c r="CH599" t="s">
        <v>168</v>
      </c>
      <c r="CJ599" t="b">
        <v>1</v>
      </c>
      <c r="CK599" t="b">
        <v>1</v>
      </c>
      <c r="CL599" t="s">
        <v>198</v>
      </c>
      <c r="CO599" t="s">
        <v>200</v>
      </c>
      <c r="CR599" t="b">
        <v>1</v>
      </c>
      <c r="CT599">
        <v>0.0</v>
      </c>
      <c r="CU599">
        <v>0.0</v>
      </c>
      <c r="CX599" t="s">
        <v>546</v>
      </c>
      <c r="CZ599" s="5">
        <v>44859.882997685185</v>
      </c>
      <c r="DA599" t="s">
        <v>12161</v>
      </c>
    </row>
    <row r="600">
      <c r="A600" t="s">
        <v>98</v>
      </c>
      <c r="D600" t="s">
        <v>12162</v>
      </c>
      <c r="E600" t="s">
        <v>667</v>
      </c>
      <c r="F600" s="2">
        <v>39040.0</v>
      </c>
      <c r="G600" t="s">
        <v>1360</v>
      </c>
      <c r="I600" s="3" t="str">
        <f>HYPERLINK("https://api.typeform.com/responses/files/8a07d496546b45c5141aa4536ca498dcb9dffbfba4de40d2362e5195fa02266d/IMG_20221025_114106.jpg")</f>
        <v>https://api.typeform.com/responses/files/8a07d496546b45c5141aa4536ca498dcb9dffbfba4de40d2362e5195fa02266d/IMG_20221025_114106.jpg</v>
      </c>
      <c r="J600" t="s">
        <v>12163</v>
      </c>
      <c r="K600" t="b">
        <v>1</v>
      </c>
      <c r="L600" s="4" t="s">
        <v>12164</v>
      </c>
      <c r="M600" t="s">
        <v>12165</v>
      </c>
      <c r="N600" t="s">
        <v>105</v>
      </c>
      <c r="O600" t="s">
        <v>606</v>
      </c>
      <c r="P600" t="s">
        <v>12166</v>
      </c>
      <c r="Q600" t="s">
        <v>152</v>
      </c>
      <c r="R600" t="s">
        <v>12167</v>
      </c>
      <c r="S600" t="s">
        <v>12168</v>
      </c>
      <c r="T600" s="4" t="s">
        <v>12169</v>
      </c>
      <c r="U600" t="s">
        <v>9871</v>
      </c>
      <c r="V600" t="s">
        <v>9229</v>
      </c>
      <c r="W600" t="s">
        <v>261</v>
      </c>
      <c r="Y600" t="s">
        <v>158</v>
      </c>
      <c r="Z600" t="s">
        <v>262</v>
      </c>
      <c r="AC600" s="3" t="str">
        <f>HYPERLINK("https://api.typeform.com/responses/files/48882172d223df48b8f7ff893e825d16a44fd1290a1ae8b9879614c76361adbd/Screenshot_2022_10_26_8.45.57_AM.png")</f>
        <v>https://api.typeform.com/responses/files/48882172d223df48b8f7ff893e825d16a44fd1290a1ae8b9879614c76361adbd/Screenshot_2022_10_26_8.45.57_AM.png</v>
      </c>
      <c r="AD600" t="s">
        <v>118</v>
      </c>
      <c r="AE600" t="s">
        <v>781</v>
      </c>
      <c r="AF600" t="s">
        <v>4374</v>
      </c>
      <c r="AG600">
        <v>0.0</v>
      </c>
      <c r="AH600" t="s">
        <v>3630</v>
      </c>
      <c r="AI600" t="s">
        <v>121</v>
      </c>
      <c r="AK600" t="s">
        <v>12170</v>
      </c>
      <c r="AL600" t="s">
        <v>12171</v>
      </c>
      <c r="AO600" t="s">
        <v>125</v>
      </c>
      <c r="AP600">
        <v>4.0</v>
      </c>
      <c r="AQ600" t="s">
        <v>1520</v>
      </c>
      <c r="AR600" t="s">
        <v>679</v>
      </c>
      <c r="AS600" t="b">
        <v>1</v>
      </c>
      <c r="AT600" t="b">
        <v>1</v>
      </c>
      <c r="AV600">
        <v>4.0</v>
      </c>
      <c r="AW600" t="b">
        <v>1</v>
      </c>
      <c r="AX600" t="s">
        <v>1902</v>
      </c>
      <c r="AY600" t="s">
        <v>2597</v>
      </c>
      <c r="AZ600" t="b">
        <v>1</v>
      </c>
      <c r="BA600" t="b">
        <v>0</v>
      </c>
      <c r="BD600" t="s">
        <v>12172</v>
      </c>
      <c r="BH600" t="s">
        <v>132</v>
      </c>
      <c r="BI600">
        <v>4.0</v>
      </c>
      <c r="BJ600" t="s">
        <v>12173</v>
      </c>
      <c r="BK600">
        <v>4.0</v>
      </c>
      <c r="BL600">
        <v>5.0</v>
      </c>
      <c r="BM600" t="s">
        <v>12174</v>
      </c>
      <c r="BN600">
        <v>4.0</v>
      </c>
      <c r="BO600">
        <v>4.0</v>
      </c>
      <c r="BP600" t="s">
        <v>12175</v>
      </c>
      <c r="BQ600" t="s">
        <v>5321</v>
      </c>
      <c r="BR600" t="s">
        <v>12176</v>
      </c>
      <c r="BS600" t="s">
        <v>12177</v>
      </c>
      <c r="BU600" t="s">
        <v>606</v>
      </c>
      <c r="BV600" s="3" t="str">
        <f>HYPERLINK("https://api.typeform.com/responses/files/cff24badc22ac2306fadcbffdf7a0950a530fa62d9d59debd7efd1d120e124ed/SPEAKHIRE_Parent.Guardian_Consent_Form.pdf")</f>
        <v>https://api.typeform.com/responses/files/cff24badc22ac2306fadcbffdf7a0950a530fa62d9d59debd7efd1d120e124ed/SPEAKHIRE_Parent.Guardian_Consent_Form.pdf</v>
      </c>
      <c r="BW600" t="b">
        <v>1</v>
      </c>
      <c r="BX600" t="s">
        <v>1394</v>
      </c>
      <c r="BY600" t="s">
        <v>140</v>
      </c>
      <c r="CA600" t="s">
        <v>1395</v>
      </c>
      <c r="CD600">
        <v>0.0</v>
      </c>
      <c r="CF600" t="b">
        <v>0</v>
      </c>
      <c r="CG600" t="b">
        <v>0</v>
      </c>
      <c r="CH600" t="s">
        <v>1935</v>
      </c>
      <c r="CJ600" t="b">
        <v>0</v>
      </c>
      <c r="CK600" t="b">
        <v>0</v>
      </c>
      <c r="CL600" t="s">
        <v>541</v>
      </c>
      <c r="CO600" t="s">
        <v>2500</v>
      </c>
      <c r="CQ600" t="s">
        <v>2301</v>
      </c>
      <c r="CR600" t="b">
        <v>1</v>
      </c>
      <c r="CT600">
        <v>0.0</v>
      </c>
      <c r="CU600">
        <v>0.0</v>
      </c>
      <c r="CX600" s="4" t="s">
        <v>1148</v>
      </c>
      <c r="CZ600" s="5">
        <v>44860.60496527778</v>
      </c>
      <c r="DA600" t="s">
        <v>12178</v>
      </c>
    </row>
    <row r="601">
      <c r="A601" t="s">
        <v>98</v>
      </c>
      <c r="D601" t="s">
        <v>12179</v>
      </c>
      <c r="E601" t="s">
        <v>6269</v>
      </c>
      <c r="F601" s="2">
        <v>38765.0</v>
      </c>
      <c r="G601" t="s">
        <v>1466</v>
      </c>
      <c r="I601" s="3" t="str">
        <f>HYPERLINK("https://api.typeform.com/responses/files/3d50a9c56474949361bdcd9cd2f0b6e4cecb215ba31a373eeae5f07a63072063/download.jpg")</f>
        <v>https://api.typeform.com/responses/files/3d50a9c56474949361bdcd9cd2f0b6e4cecb215ba31a373eeae5f07a63072063/download.jpg</v>
      </c>
      <c r="J601" t="s">
        <v>12180</v>
      </c>
      <c r="K601" t="b">
        <v>1</v>
      </c>
      <c r="L601" s="4" t="s">
        <v>12181</v>
      </c>
      <c r="M601" t="s">
        <v>12182</v>
      </c>
      <c r="N601" t="s">
        <v>255</v>
      </c>
      <c r="P601" t="s">
        <v>12183</v>
      </c>
      <c r="Q601" t="s">
        <v>189</v>
      </c>
      <c r="R601" t="s">
        <v>12184</v>
      </c>
      <c r="S601" t="s">
        <v>12185</v>
      </c>
      <c r="T601" s="4" t="s">
        <v>12186</v>
      </c>
      <c r="U601" t="s">
        <v>8154</v>
      </c>
      <c r="V601" t="s">
        <v>12187</v>
      </c>
      <c r="W601" t="s">
        <v>261</v>
      </c>
      <c r="Y601" t="s">
        <v>158</v>
      </c>
      <c r="Z601" t="s">
        <v>262</v>
      </c>
      <c r="AC601" s="3" t="str">
        <f>HYPERLINK("https://api.typeform.com/responses/files/136286edac83e7a5a7180fdb81a2be0e25af0d97ab461440a583e2c5d00f9681/I_have_no_latest_report_card.pdf")</f>
        <v>https://api.typeform.com/responses/files/136286edac83e7a5a7180fdb81a2be0e25af0d97ab461440a583e2c5d00f9681/I_have_no_latest_report_card.pdf</v>
      </c>
      <c r="AD601" t="s">
        <v>118</v>
      </c>
      <c r="AE601" t="s">
        <v>1220</v>
      </c>
      <c r="AF601" t="s">
        <v>2651</v>
      </c>
      <c r="AG601">
        <v>0.0</v>
      </c>
      <c r="AH601" s="4" t="s">
        <v>4262</v>
      </c>
      <c r="AI601" t="s">
        <v>121</v>
      </c>
      <c r="AL601" t="s">
        <v>1546</v>
      </c>
      <c r="AO601" t="s">
        <v>125</v>
      </c>
      <c r="AP601">
        <v>5.0</v>
      </c>
      <c r="AQ601" t="s">
        <v>4222</v>
      </c>
      <c r="AR601" t="s">
        <v>12188</v>
      </c>
      <c r="AS601" t="b">
        <v>1</v>
      </c>
      <c r="AT601" t="b">
        <v>1</v>
      </c>
      <c r="AV601">
        <v>5.0</v>
      </c>
      <c r="AW601" t="b">
        <v>1</v>
      </c>
      <c r="AX601" t="s">
        <v>1902</v>
      </c>
      <c r="AY601" t="s">
        <v>1451</v>
      </c>
      <c r="AZ601" t="b">
        <v>1</v>
      </c>
      <c r="BA601" t="b">
        <v>1</v>
      </c>
      <c r="BB601" t="b">
        <v>0</v>
      </c>
      <c r="BC601" t="s">
        <v>12189</v>
      </c>
      <c r="BH601" t="s">
        <v>132</v>
      </c>
      <c r="BI601">
        <v>5.0</v>
      </c>
      <c r="BJ601" t="s">
        <v>12190</v>
      </c>
      <c r="BK601">
        <v>4.0</v>
      </c>
      <c r="BL601">
        <v>6.0</v>
      </c>
      <c r="BM601" t="s">
        <v>12191</v>
      </c>
      <c r="BN601">
        <v>4.0</v>
      </c>
      <c r="BO601">
        <v>4.0</v>
      </c>
      <c r="BP601" t="s">
        <v>12192</v>
      </c>
      <c r="BQ601" t="s">
        <v>7087</v>
      </c>
      <c r="BR601" t="s">
        <v>12193</v>
      </c>
      <c r="BS601" t="s">
        <v>12194</v>
      </c>
      <c r="BU601" t="s">
        <v>12195</v>
      </c>
      <c r="BV601" s="3" t="str">
        <f>HYPERLINK("https://api.typeform.com/responses/files/e3f3bd85435a7950bf85c85af0af70f05c6be66ba75e6fa614ecc25e8e61c6d9/I_have_no_latest_report_card.pdf")</f>
        <v>https://api.typeform.com/responses/files/e3f3bd85435a7950bf85c85af0af70f05c6be66ba75e6fa614ecc25e8e61c6d9/I_have_no_latest_report_card.pdf</v>
      </c>
      <c r="BW601" t="b">
        <v>1</v>
      </c>
      <c r="BX601" t="s">
        <v>1394</v>
      </c>
      <c r="BY601" t="s">
        <v>140</v>
      </c>
      <c r="CA601" t="s">
        <v>1395</v>
      </c>
      <c r="CD601">
        <v>0.0</v>
      </c>
      <c r="CF601" t="b">
        <v>0</v>
      </c>
      <c r="CG601" t="b">
        <v>0</v>
      </c>
      <c r="CH601" t="s">
        <v>4869</v>
      </c>
      <c r="CJ601" t="b">
        <v>1</v>
      </c>
      <c r="CK601" t="b">
        <v>1</v>
      </c>
      <c r="CL601" t="s">
        <v>541</v>
      </c>
      <c r="CM601" t="s">
        <v>2301</v>
      </c>
      <c r="CO601" t="s">
        <v>2888</v>
      </c>
      <c r="CR601" t="b">
        <v>1</v>
      </c>
      <c r="CT601">
        <v>2.0</v>
      </c>
      <c r="CU601">
        <v>0.0</v>
      </c>
      <c r="CX601" t="s">
        <v>10129</v>
      </c>
      <c r="CZ601" s="5">
        <v>44860.61246527778</v>
      </c>
      <c r="DA601" t="s">
        <v>12196</v>
      </c>
    </row>
    <row r="602">
      <c r="A602" t="s">
        <v>98</v>
      </c>
      <c r="D602" t="s">
        <v>12197</v>
      </c>
      <c r="E602" t="s">
        <v>3564</v>
      </c>
      <c r="F602" s="2">
        <v>38818.0</v>
      </c>
      <c r="G602" t="s">
        <v>1466</v>
      </c>
      <c r="I602" s="3" t="str">
        <f>HYPERLINK("https://api.typeform.com/responses/files/4980c8f3975dd19b7a6ba3f803c97f35413af4c6a0e266a3d61c8686819a52a7/76F343AD_4D04_4E23_8E68_86FE8EE46F58.jpeg")</f>
        <v>https://api.typeform.com/responses/files/4980c8f3975dd19b7a6ba3f803c97f35413af4c6a0e266a3d61c8686819a52a7/76F343AD_4D04_4E23_8E68_86FE8EE46F58.jpeg</v>
      </c>
      <c r="J602" t="s">
        <v>12198</v>
      </c>
      <c r="K602" t="b">
        <v>1</v>
      </c>
      <c r="L602" s="4" t="s">
        <v>12199</v>
      </c>
      <c r="M602" t="s">
        <v>12200</v>
      </c>
      <c r="N602" t="s">
        <v>105</v>
      </c>
      <c r="O602" t="s">
        <v>12201</v>
      </c>
      <c r="P602" t="s">
        <v>12202</v>
      </c>
      <c r="Q602" t="s">
        <v>189</v>
      </c>
      <c r="R602" t="s">
        <v>12203</v>
      </c>
      <c r="S602" t="s">
        <v>12204</v>
      </c>
      <c r="T602" s="4" t="s">
        <v>12205</v>
      </c>
      <c r="U602" t="s">
        <v>9978</v>
      </c>
      <c r="V602" t="s">
        <v>12206</v>
      </c>
      <c r="W602" t="s">
        <v>261</v>
      </c>
      <c r="Y602" t="s">
        <v>158</v>
      </c>
      <c r="Z602" t="s">
        <v>262</v>
      </c>
      <c r="AC602" s="3" t="str">
        <f>HYPERLINK("https://api.typeform.com/responses/files/d2d3b677b22bb6e4ce50cfea99cf2f0e299a205ae22bb37ad8e2c401e44af068/image.jpg")</f>
        <v>https://api.typeform.com/responses/files/d2d3b677b22bb6e4ce50cfea99cf2f0e299a205ae22bb37ad8e2c401e44af068/image.jpg</v>
      </c>
      <c r="AD602" t="s">
        <v>118</v>
      </c>
      <c r="AE602" t="s">
        <v>781</v>
      </c>
      <c r="AF602" t="s">
        <v>197</v>
      </c>
      <c r="AG602">
        <v>0.0</v>
      </c>
      <c r="AH602" s="4" t="s">
        <v>639</v>
      </c>
      <c r="AI602" t="s">
        <v>121</v>
      </c>
      <c r="AK602" t="s">
        <v>4241</v>
      </c>
      <c r="AL602" t="s">
        <v>199</v>
      </c>
      <c r="AO602" t="s">
        <v>486</v>
      </c>
      <c r="AP602">
        <v>5.0</v>
      </c>
      <c r="AQ602" t="s">
        <v>4222</v>
      </c>
      <c r="AR602" t="s">
        <v>3032</v>
      </c>
      <c r="AS602" t="b">
        <v>1</v>
      </c>
      <c r="AT602" t="b">
        <v>0</v>
      </c>
      <c r="AV602">
        <v>6.0</v>
      </c>
      <c r="AW602" t="b">
        <v>1</v>
      </c>
      <c r="AX602" s="4" t="s">
        <v>130</v>
      </c>
      <c r="AY602" s="4" t="s">
        <v>518</v>
      </c>
      <c r="AZ602" t="b">
        <v>0</v>
      </c>
      <c r="BA602" t="b">
        <v>0</v>
      </c>
      <c r="BD602" t="s">
        <v>638</v>
      </c>
      <c r="BH602" t="s">
        <v>132</v>
      </c>
      <c r="BI602">
        <v>5.0</v>
      </c>
      <c r="BJ602" t="s">
        <v>12207</v>
      </c>
      <c r="BK602">
        <v>5.0</v>
      </c>
      <c r="BL602">
        <v>5.0</v>
      </c>
      <c r="BM602" t="s">
        <v>12208</v>
      </c>
      <c r="BN602">
        <v>5.0</v>
      </c>
      <c r="BO602">
        <v>5.0</v>
      </c>
      <c r="BP602" t="s">
        <v>12209</v>
      </c>
      <c r="BQ602" t="s">
        <v>1278</v>
      </c>
      <c r="BR602" t="s">
        <v>12210</v>
      </c>
      <c r="BS602" t="s">
        <v>205</v>
      </c>
      <c r="BU602" t="s">
        <v>179</v>
      </c>
      <c r="BV602" s="3" t="str">
        <f>HYPERLINK("https://api.typeform.com/responses/files/a09cdf963a140f3a0a627276a8312111575185d051c1c568bc268cbfd8d1731c/image.jpg")</f>
        <v>https://api.typeform.com/responses/files/a09cdf963a140f3a0a627276a8312111575185d051c1c568bc268cbfd8d1731c/image.jpg</v>
      </c>
      <c r="BW602" t="b">
        <v>1</v>
      </c>
      <c r="BX602" t="s">
        <v>1394</v>
      </c>
      <c r="BY602" t="s">
        <v>140</v>
      </c>
      <c r="CA602" t="s">
        <v>1395</v>
      </c>
      <c r="CD602">
        <v>0.0</v>
      </c>
      <c r="CF602" t="b">
        <v>0</v>
      </c>
      <c r="CG602" t="b">
        <v>0</v>
      </c>
      <c r="CH602" t="s">
        <v>1420</v>
      </c>
      <c r="CJ602" t="b">
        <v>1</v>
      </c>
      <c r="CK602" t="b">
        <v>0</v>
      </c>
      <c r="CL602" t="s">
        <v>541</v>
      </c>
      <c r="CM602" t="s">
        <v>541</v>
      </c>
      <c r="CO602" t="s">
        <v>12211</v>
      </c>
      <c r="CQ602" t="s">
        <v>541</v>
      </c>
      <c r="CR602" t="b">
        <v>1</v>
      </c>
      <c r="CT602">
        <v>0.0</v>
      </c>
      <c r="CU602">
        <v>0.0</v>
      </c>
      <c r="CX602" t="s">
        <v>205</v>
      </c>
      <c r="CZ602" s="5">
        <v>44860.62719907407</v>
      </c>
      <c r="DA602" t="s">
        <v>12212</v>
      </c>
    </row>
    <row r="603">
      <c r="A603" t="s">
        <v>98</v>
      </c>
      <c r="D603" t="s">
        <v>12213</v>
      </c>
      <c r="E603" t="s">
        <v>3337</v>
      </c>
      <c r="F603" s="2">
        <v>39008.0</v>
      </c>
      <c r="G603" t="s">
        <v>1466</v>
      </c>
      <c r="I603" s="3" t="str">
        <f>HYPERLINK("https://api.typeform.com/responses/files/b1d769b1f2c7902753690d577169d7bf786b052605bf60f2c7692b4175b20bd9/IMG_20221006_110626.jpg")</f>
        <v>https://api.typeform.com/responses/files/b1d769b1f2c7902753690d577169d7bf786b052605bf60f2c7692b4175b20bd9/IMG_20221006_110626.jpg</v>
      </c>
      <c r="J603" t="s">
        <v>12214</v>
      </c>
      <c r="K603" t="b">
        <v>1</v>
      </c>
      <c r="L603" s="4" t="s">
        <v>12215</v>
      </c>
      <c r="M603" t="s">
        <v>12216</v>
      </c>
      <c r="N603" t="s">
        <v>149</v>
      </c>
      <c r="O603" t="s">
        <v>12217</v>
      </c>
      <c r="P603" t="s">
        <v>12218</v>
      </c>
      <c r="Q603" t="s">
        <v>189</v>
      </c>
      <c r="R603" t="s">
        <v>12219</v>
      </c>
      <c r="S603" t="s">
        <v>12216</v>
      </c>
      <c r="T603" s="4" t="s">
        <v>12220</v>
      </c>
      <c r="U603" t="s">
        <v>8154</v>
      </c>
      <c r="V603" t="s">
        <v>9229</v>
      </c>
      <c r="W603" t="s">
        <v>261</v>
      </c>
      <c r="Y603" t="s">
        <v>158</v>
      </c>
      <c r="Z603" t="s">
        <v>262</v>
      </c>
      <c r="AC603" s="3" t="str">
        <f>HYPERLINK("https://api.typeform.com/responses/files/5402b62448d1fb093e0f8fe3df809934d9dc9643f0d2704e752fab0f46f77131/Screenshot_2022_10_26_10.52.17_AM.png")</f>
        <v>https://api.typeform.com/responses/files/5402b62448d1fb093e0f8fe3df809934d9dc9643f0d2704e752fab0f46f77131/Screenshot_2022_10_26_10.52.17_AM.png</v>
      </c>
      <c r="AD603" t="s">
        <v>118</v>
      </c>
      <c r="AE603" t="s">
        <v>729</v>
      </c>
      <c r="AF603" t="s">
        <v>197</v>
      </c>
      <c r="AG603">
        <v>9.0</v>
      </c>
      <c r="AH603" s="4" t="s">
        <v>882</v>
      </c>
      <c r="AI603" t="s">
        <v>162</v>
      </c>
      <c r="AL603" t="s">
        <v>967</v>
      </c>
      <c r="AO603" t="s">
        <v>335</v>
      </c>
      <c r="AP603">
        <v>3.0</v>
      </c>
      <c r="AQ603" t="s">
        <v>2240</v>
      </c>
      <c r="AR603" t="s">
        <v>205</v>
      </c>
      <c r="AS603" t="b">
        <v>1</v>
      </c>
      <c r="AT603" t="b">
        <v>0</v>
      </c>
      <c r="AV603">
        <v>7.0</v>
      </c>
      <c r="AW603" t="b">
        <v>0</v>
      </c>
      <c r="AZ603" t="b">
        <v>0</v>
      </c>
      <c r="BA603" t="b">
        <v>0</v>
      </c>
      <c r="BD603" t="s">
        <v>12221</v>
      </c>
      <c r="BH603" t="s">
        <v>132</v>
      </c>
      <c r="BI603">
        <v>6.0</v>
      </c>
      <c r="BJ603" t="s">
        <v>12222</v>
      </c>
      <c r="BK603">
        <v>7.0</v>
      </c>
      <c r="BL603">
        <v>7.0</v>
      </c>
      <c r="BM603" t="s">
        <v>12223</v>
      </c>
      <c r="BN603">
        <v>7.0</v>
      </c>
      <c r="BO603">
        <v>4.0</v>
      </c>
      <c r="BP603" t="s">
        <v>12224</v>
      </c>
      <c r="BQ603" t="s">
        <v>12225</v>
      </c>
      <c r="BR603" t="s">
        <v>12226</v>
      </c>
      <c r="BS603" t="s">
        <v>12227</v>
      </c>
      <c r="BU603" t="s">
        <v>12228</v>
      </c>
      <c r="BV603" s="3" t="str">
        <f>HYPERLINK("https://api.typeform.com/responses/files/98746971832080860eab5f590f77c7ea83b80aa44632e6bf88642cd6212b6fc9/Screenshot_2022_10_26_1.55.56_PM.png")</f>
        <v>https://api.typeform.com/responses/files/98746971832080860eab5f590f77c7ea83b80aa44632e6bf88642cd6212b6fc9/Screenshot_2022_10_26_1.55.56_PM.png</v>
      </c>
      <c r="BW603" t="b">
        <v>1</v>
      </c>
      <c r="BX603" t="s">
        <v>1394</v>
      </c>
      <c r="BY603" t="s">
        <v>140</v>
      </c>
      <c r="CA603" t="s">
        <v>1395</v>
      </c>
      <c r="CD603">
        <v>0.0</v>
      </c>
      <c r="CF603" t="b">
        <v>1</v>
      </c>
      <c r="CG603" t="b">
        <v>1</v>
      </c>
      <c r="CH603" t="s">
        <v>12229</v>
      </c>
      <c r="CJ603" t="b">
        <v>1</v>
      </c>
      <c r="CK603" t="b">
        <v>1</v>
      </c>
      <c r="CL603" t="s">
        <v>198</v>
      </c>
      <c r="CO603" t="s">
        <v>1635</v>
      </c>
      <c r="CR603" t="b">
        <v>1</v>
      </c>
      <c r="CT603">
        <v>0.0</v>
      </c>
      <c r="CU603">
        <v>3.0</v>
      </c>
      <c r="CX603" t="s">
        <v>679</v>
      </c>
      <c r="CZ603" s="5">
        <v>44860.747511574074</v>
      </c>
      <c r="DA603" t="s">
        <v>12230</v>
      </c>
    </row>
    <row r="604">
      <c r="A604" t="s">
        <v>98</v>
      </c>
      <c r="D604" t="s">
        <v>12231</v>
      </c>
      <c r="E604" t="s">
        <v>4274</v>
      </c>
      <c r="F604" s="2">
        <v>39055.0</v>
      </c>
      <c r="G604" t="s">
        <v>1466</v>
      </c>
      <c r="I604" s="3" t="str">
        <f>HYPERLINK("https://api.typeform.com/responses/files/f15ae786ff0b9bacea1800bddbab022e48f496c15f3f69e364cd8a86077b20e6/IMG_20221026_102505.jpg")</f>
        <v>https://api.typeform.com/responses/files/f15ae786ff0b9bacea1800bddbab022e48f496c15f3f69e364cd8a86077b20e6/IMG_20221026_102505.jpg</v>
      </c>
      <c r="J604" t="s">
        <v>12232</v>
      </c>
      <c r="K604" t="b">
        <v>1</v>
      </c>
      <c r="L604" s="4" t="s">
        <v>12233</v>
      </c>
      <c r="M604" t="s">
        <v>12234</v>
      </c>
      <c r="N604" t="s">
        <v>105</v>
      </c>
      <c r="P604" t="s">
        <v>12235</v>
      </c>
      <c r="Q604" t="s">
        <v>189</v>
      </c>
      <c r="R604" t="s">
        <v>12232</v>
      </c>
      <c r="S604" t="s">
        <v>12236</v>
      </c>
      <c r="T604" s="4" t="s">
        <v>12237</v>
      </c>
      <c r="U604" t="s">
        <v>8154</v>
      </c>
      <c r="V604" t="s">
        <v>9229</v>
      </c>
      <c r="W604" t="s">
        <v>261</v>
      </c>
      <c r="Y604" t="s">
        <v>158</v>
      </c>
      <c r="Z604" t="s">
        <v>262</v>
      </c>
      <c r="AC604" s="3" t="str">
        <f>HYPERLINK("https://api.typeform.com/responses/files/5d9c45c574161d2d6f45c379489ec3b794099727ed94aa3d65c89d07665660d5/Screenshot_2022_10_26_10.40.52_AM.png")</f>
        <v>https://api.typeform.com/responses/files/5d9c45c574161d2d6f45c379489ec3b794099727ed94aa3d65c89d07665660d5/Screenshot_2022_10_26_10.40.52_AM.png</v>
      </c>
      <c r="AD604" t="s">
        <v>118</v>
      </c>
      <c r="AE604" t="s">
        <v>1220</v>
      </c>
      <c r="AF604" t="s">
        <v>197</v>
      </c>
      <c r="AG604">
        <v>0.0</v>
      </c>
      <c r="AH604" t="s">
        <v>3457</v>
      </c>
      <c r="AI604" t="s">
        <v>205</v>
      </c>
      <c r="AK604" t="s">
        <v>12238</v>
      </c>
      <c r="AL604" t="s">
        <v>621</v>
      </c>
      <c r="AO604" t="s">
        <v>486</v>
      </c>
      <c r="AP604">
        <v>4.0</v>
      </c>
      <c r="AQ604" t="s">
        <v>2240</v>
      </c>
      <c r="AR604" t="s">
        <v>12239</v>
      </c>
      <c r="AS604" t="b">
        <v>1</v>
      </c>
      <c r="AT604" t="b">
        <v>0</v>
      </c>
      <c r="AV604">
        <v>4.0</v>
      </c>
      <c r="AW604" t="b">
        <v>0</v>
      </c>
      <c r="AZ604" t="b">
        <v>0</v>
      </c>
      <c r="BA604" t="b">
        <v>0</v>
      </c>
      <c r="BD604" t="s">
        <v>12240</v>
      </c>
      <c r="BH604" t="s">
        <v>132</v>
      </c>
      <c r="BI604">
        <v>1.0</v>
      </c>
      <c r="BJ604" t="s">
        <v>243</v>
      </c>
      <c r="BK604">
        <v>2.0</v>
      </c>
      <c r="BL604">
        <v>1.0</v>
      </c>
      <c r="BM604" t="s">
        <v>12241</v>
      </c>
      <c r="BN604">
        <v>1.0</v>
      </c>
      <c r="BO604">
        <v>1.0</v>
      </c>
      <c r="BP604" t="s">
        <v>12242</v>
      </c>
      <c r="BQ604" t="s">
        <v>2390</v>
      </c>
      <c r="BR604" t="s">
        <v>12243</v>
      </c>
      <c r="BS604" t="s">
        <v>12244</v>
      </c>
      <c r="BU604" t="s">
        <v>12245</v>
      </c>
      <c r="BV604" s="3" t="str">
        <f>HYPERLINK("https://api.typeform.com/responses/files/47622387c29580ada4eddc271327837ea3e12aa1eb0ad714f1b26a64d56823a2/IMG_9335.jpg")</f>
        <v>https://api.typeform.com/responses/files/47622387c29580ada4eddc271327837ea3e12aa1eb0ad714f1b26a64d56823a2/IMG_9335.jpg</v>
      </c>
      <c r="BW604" t="b">
        <v>1</v>
      </c>
      <c r="BX604" t="s">
        <v>1394</v>
      </c>
      <c r="BY604" t="s">
        <v>140</v>
      </c>
      <c r="CA604" t="s">
        <v>1395</v>
      </c>
      <c r="CD604">
        <v>0.0</v>
      </c>
      <c r="CF604" t="b">
        <v>0</v>
      </c>
      <c r="CG604" t="b">
        <v>0</v>
      </c>
      <c r="CH604" t="s">
        <v>168</v>
      </c>
      <c r="CJ604" t="b">
        <v>0</v>
      </c>
      <c r="CK604" t="b">
        <v>0</v>
      </c>
      <c r="CL604" t="s">
        <v>541</v>
      </c>
      <c r="CO604" t="s">
        <v>388</v>
      </c>
      <c r="CR604" t="b">
        <v>1</v>
      </c>
      <c r="CT604">
        <v>0.0</v>
      </c>
      <c r="CU604">
        <v>0.0</v>
      </c>
      <c r="CX604" t="s">
        <v>243</v>
      </c>
      <c r="CZ604" s="5">
        <v>44861.00951388889</v>
      </c>
      <c r="DA604" t="s">
        <v>12246</v>
      </c>
    </row>
    <row r="605">
      <c r="A605" t="s">
        <v>98</v>
      </c>
      <c r="D605" t="s">
        <v>12247</v>
      </c>
      <c r="E605" t="s">
        <v>718</v>
      </c>
      <c r="F605" s="2">
        <v>38710.0</v>
      </c>
      <c r="G605" t="s">
        <v>1360</v>
      </c>
      <c r="I605" s="3" t="str">
        <f>HYPERLINK("https://api.typeform.com/responses/files/b4c8cd3eae61c564c1b50206b2c1ccccff86d750a600bdeca6d77a5541c438cb/Snapchat_202025560.jpg")</f>
        <v>https://api.typeform.com/responses/files/b4c8cd3eae61c564c1b50206b2c1ccccff86d750a600bdeca6d77a5541c438cb/Snapchat_202025560.jpg</v>
      </c>
      <c r="J605" t="s">
        <v>12248</v>
      </c>
      <c r="K605" t="b">
        <v>1</v>
      </c>
      <c r="L605" s="4" t="s">
        <v>12249</v>
      </c>
      <c r="M605" s="4" t="s">
        <v>12250</v>
      </c>
      <c r="N605" t="s">
        <v>255</v>
      </c>
      <c r="P605" t="s">
        <v>12251</v>
      </c>
      <c r="Q605" t="s">
        <v>189</v>
      </c>
      <c r="R605" t="s">
        <v>12252</v>
      </c>
      <c r="S605" t="s">
        <v>12253</v>
      </c>
      <c r="T605" s="4" t="s">
        <v>12254</v>
      </c>
      <c r="U605" t="s">
        <v>3176</v>
      </c>
      <c r="V605" t="s">
        <v>2381</v>
      </c>
      <c r="W605" t="s">
        <v>2290</v>
      </c>
      <c r="Y605" t="s">
        <v>158</v>
      </c>
      <c r="Z605" t="s">
        <v>262</v>
      </c>
      <c r="AC605" s="3" t="str">
        <f>HYPERLINK("https://api.typeform.com/responses/files/1e7d50ddffb692ca04bacb79e55cc39df2a62933350789ffcb77d616911e8efa/IMG_20221101_WA0008.jpeg")</f>
        <v>https://api.typeform.com/responses/files/1e7d50ddffb692ca04bacb79e55cc39df2a62933350789ffcb77d616911e8efa/IMG_20221101_WA0008.jpeg</v>
      </c>
      <c r="AD605" t="s">
        <v>118</v>
      </c>
      <c r="AE605" t="s">
        <v>729</v>
      </c>
      <c r="AF605" t="s">
        <v>540</v>
      </c>
      <c r="AG605">
        <v>8.0</v>
      </c>
      <c r="AH605" t="s">
        <v>679</v>
      </c>
      <c r="AI605" t="s">
        <v>162</v>
      </c>
      <c r="AK605" t="s">
        <v>12255</v>
      </c>
      <c r="AL605" t="s">
        <v>2435</v>
      </c>
      <c r="AO605" t="s">
        <v>335</v>
      </c>
      <c r="AP605">
        <v>2.0</v>
      </c>
      <c r="AQ605" t="s">
        <v>303</v>
      </c>
      <c r="AR605" t="s">
        <v>12256</v>
      </c>
      <c r="AS605" t="b">
        <v>1</v>
      </c>
      <c r="AT605" t="b">
        <v>1</v>
      </c>
      <c r="AV605">
        <v>4.0</v>
      </c>
      <c r="AW605" t="b">
        <v>0</v>
      </c>
      <c r="AZ605" t="b">
        <v>0</v>
      </c>
      <c r="BA605" t="b">
        <v>0</v>
      </c>
      <c r="BD605" t="s">
        <v>12257</v>
      </c>
      <c r="BH605" t="s">
        <v>132</v>
      </c>
      <c r="BI605">
        <v>4.0</v>
      </c>
      <c r="BJ605" t="s">
        <v>12258</v>
      </c>
      <c r="BK605">
        <v>4.0</v>
      </c>
      <c r="BL605">
        <v>4.0</v>
      </c>
      <c r="BM605" t="s">
        <v>12259</v>
      </c>
      <c r="BN605">
        <v>4.0</v>
      </c>
      <c r="BO605">
        <v>2.0</v>
      </c>
      <c r="BP605" t="s">
        <v>12260</v>
      </c>
      <c r="BQ605" t="s">
        <v>8200</v>
      </c>
      <c r="BR605" t="s">
        <v>12261</v>
      </c>
      <c r="BS605" t="s">
        <v>12262</v>
      </c>
      <c r="BU605" t="s">
        <v>12263</v>
      </c>
      <c r="BV605" s="3" t="str">
        <f>HYPERLINK("https://api.typeform.com/responses/files/8b2436506c39db6ae450cdeb3c8d39be964cbafd842fa1e88cd42a1a2e2ef010/16680245228387914995638269156797.jpg")</f>
        <v>https://api.typeform.com/responses/files/8b2436506c39db6ae450cdeb3c8d39be964cbafd842fa1e88cd42a1a2e2ef010/16680245228387914995638269156797.jpg</v>
      </c>
      <c r="BW605" t="b">
        <v>1</v>
      </c>
      <c r="BX605" t="s">
        <v>1394</v>
      </c>
      <c r="BY605" t="s">
        <v>140</v>
      </c>
      <c r="CA605" t="s">
        <v>1395</v>
      </c>
      <c r="CD605">
        <v>0.0</v>
      </c>
      <c r="CF605" t="b">
        <v>1</v>
      </c>
      <c r="CG605" t="b">
        <v>1</v>
      </c>
      <c r="CH605" t="s">
        <v>628</v>
      </c>
      <c r="CJ605" t="b">
        <v>1</v>
      </c>
      <c r="CK605" t="b">
        <v>1</v>
      </c>
      <c r="CL605" t="s">
        <v>300</v>
      </c>
      <c r="CM605" t="s">
        <v>198</v>
      </c>
      <c r="CO605" t="s">
        <v>12264</v>
      </c>
      <c r="CR605" t="b">
        <v>1</v>
      </c>
      <c r="CT605">
        <v>0.0</v>
      </c>
      <c r="CU605">
        <v>1.0</v>
      </c>
      <c r="CX605" s="4" t="s">
        <v>3042</v>
      </c>
      <c r="CZ605" s="5">
        <v>44874.8762037037</v>
      </c>
      <c r="DA605" t="s">
        <v>12265</v>
      </c>
    </row>
    <row r="606">
      <c r="A606" t="s">
        <v>98</v>
      </c>
      <c r="D606" t="s">
        <v>5792</v>
      </c>
      <c r="E606" t="s">
        <v>12266</v>
      </c>
      <c r="F606" s="2">
        <v>38603.0</v>
      </c>
      <c r="G606" t="s">
        <v>1360</v>
      </c>
      <c r="I606" s="3" t="str">
        <f>HYPERLINK("https://api.typeform.com/responses/files/32b130e8ade51ffec4a3d97c0fd060ed8d653bd382ad5d247d4da5cbf38f3272/0FFD052F_DA8A_4B08_93A6_87AA2272D267.JPG")</f>
        <v>https://api.typeform.com/responses/files/32b130e8ade51ffec4a3d97c0fd060ed8d653bd382ad5d247d4da5cbf38f3272/0FFD052F_DA8A_4B08_93A6_87AA2272D267.JPG</v>
      </c>
      <c r="J606" t="s">
        <v>12267</v>
      </c>
      <c r="K606" t="b">
        <v>1</v>
      </c>
      <c r="L606" s="4" t="s">
        <v>12268</v>
      </c>
      <c r="M606" t="s">
        <v>12269</v>
      </c>
      <c r="N606" t="s">
        <v>255</v>
      </c>
      <c r="O606" t="s">
        <v>606</v>
      </c>
      <c r="P606" t="s">
        <v>12270</v>
      </c>
      <c r="Q606" t="s">
        <v>189</v>
      </c>
      <c r="R606" t="s">
        <v>12271</v>
      </c>
      <c r="S606" t="s">
        <v>12269</v>
      </c>
      <c r="T606" s="4" t="s">
        <v>12272</v>
      </c>
      <c r="U606" t="s">
        <v>9978</v>
      </c>
      <c r="V606" t="s">
        <v>12273</v>
      </c>
      <c r="W606" t="s">
        <v>261</v>
      </c>
      <c r="Y606" t="s">
        <v>158</v>
      </c>
      <c r="Z606" t="s">
        <v>262</v>
      </c>
      <c r="AC606" s="3" t="str">
        <f>HYPERLINK("https://api.typeform.com/responses/files/6955d3deab78ff14cff33bd7a48bd9f3f5b0427fb0ba8131ffb634174423a99a/0FFD052F_DA8A_4B08_93A6_87AA2272D267.JPG")</f>
        <v>https://api.typeform.com/responses/files/6955d3deab78ff14cff33bd7a48bd9f3f5b0427fb0ba8131ffb634174423a99a/0FFD052F_DA8A_4B08_93A6_87AA2272D267.JPG</v>
      </c>
      <c r="AD606" t="s">
        <v>118</v>
      </c>
      <c r="AE606" t="s">
        <v>781</v>
      </c>
      <c r="AF606" t="s">
        <v>197</v>
      </c>
      <c r="AG606">
        <v>0.0</v>
      </c>
      <c r="AH606" s="4" t="s">
        <v>4262</v>
      </c>
      <c r="AI606" t="s">
        <v>121</v>
      </c>
      <c r="AK606" t="s">
        <v>12274</v>
      </c>
      <c r="AL606" t="s">
        <v>967</v>
      </c>
      <c r="AO606" t="s">
        <v>125</v>
      </c>
      <c r="AP606">
        <v>5.0</v>
      </c>
      <c r="AQ606" t="s">
        <v>201</v>
      </c>
      <c r="AR606" t="s">
        <v>12275</v>
      </c>
      <c r="AS606" t="b">
        <v>1</v>
      </c>
      <c r="AT606" t="b">
        <v>1</v>
      </c>
      <c r="AV606">
        <v>6.0</v>
      </c>
      <c r="AW606" t="b">
        <v>1</v>
      </c>
      <c r="AX606" t="s">
        <v>1902</v>
      </c>
      <c r="AY606" s="4" t="s">
        <v>518</v>
      </c>
      <c r="AZ606" t="b">
        <v>1</v>
      </c>
      <c r="BA606" t="b">
        <v>0</v>
      </c>
      <c r="BD606" t="s">
        <v>12276</v>
      </c>
      <c r="BH606" t="s">
        <v>132</v>
      </c>
      <c r="BI606">
        <v>2.0</v>
      </c>
      <c r="BJ606" t="s">
        <v>12277</v>
      </c>
      <c r="BK606">
        <v>5.0</v>
      </c>
      <c r="BL606">
        <v>4.0</v>
      </c>
      <c r="BM606" t="s">
        <v>12278</v>
      </c>
      <c r="BN606">
        <v>4.0</v>
      </c>
      <c r="BO606">
        <v>4.0</v>
      </c>
      <c r="BP606" t="s">
        <v>12279</v>
      </c>
      <c r="BQ606" t="s">
        <v>12280</v>
      </c>
      <c r="BR606" t="s">
        <v>12281</v>
      </c>
      <c r="BS606" t="s">
        <v>12282</v>
      </c>
      <c r="BU606" t="s">
        <v>139</v>
      </c>
      <c r="BV606" s="3" t="str">
        <f>HYPERLINK("https://api.typeform.com/responses/files/522e9c7a7a7a277b8e1a7622d723d6981ab63f77af5c1c5e99d5061912a4b27e/0FFD052F_DA8A_4B08_93A6_87AA2272D267.JPG")</f>
        <v>https://api.typeform.com/responses/files/522e9c7a7a7a277b8e1a7622d723d6981ab63f77af5c1c5e99d5061912a4b27e/0FFD052F_DA8A_4B08_93A6_87AA2272D267.JPG</v>
      </c>
      <c r="BW606" t="b">
        <v>1</v>
      </c>
      <c r="BX606" t="s">
        <v>1394</v>
      </c>
      <c r="BY606" t="s">
        <v>140</v>
      </c>
      <c r="CA606" t="s">
        <v>1395</v>
      </c>
      <c r="CD606">
        <v>0.0</v>
      </c>
      <c r="CF606" t="b">
        <v>0</v>
      </c>
      <c r="CG606" t="b">
        <v>0</v>
      </c>
      <c r="CH606" t="s">
        <v>1935</v>
      </c>
      <c r="CJ606" t="b">
        <v>0</v>
      </c>
      <c r="CK606" t="b">
        <v>0</v>
      </c>
      <c r="CL606" t="s">
        <v>387</v>
      </c>
      <c r="CM606" t="s">
        <v>387</v>
      </c>
      <c r="CO606" t="s">
        <v>2500</v>
      </c>
      <c r="CQ606" t="s">
        <v>2301</v>
      </c>
      <c r="CR606" t="b">
        <v>1</v>
      </c>
      <c r="CT606">
        <v>8.0</v>
      </c>
      <c r="CU606">
        <v>10.0</v>
      </c>
      <c r="CX606" s="4" t="s">
        <v>12283</v>
      </c>
      <c r="CZ606" s="5">
        <v>44880.83484953704</v>
      </c>
      <c r="DA606" t="s">
        <v>12284</v>
      </c>
    </row>
    <row r="607">
      <c r="A607" t="s">
        <v>98</v>
      </c>
      <c r="D607" t="s">
        <v>12285</v>
      </c>
      <c r="E607" t="s">
        <v>12286</v>
      </c>
      <c r="F607" s="2">
        <v>38623.0</v>
      </c>
      <c r="G607" t="s">
        <v>1466</v>
      </c>
      <c r="I607" s="3" t="str">
        <f>HYPERLINK("https://api.typeform.com/responses/files/3105b4b77496aa96b589440915536d25d4c2e754ed5409fc1e5695b63c60ec00/IMG_20221115_143959.jpg")</f>
        <v>https://api.typeform.com/responses/files/3105b4b77496aa96b589440915536d25d4c2e754ed5409fc1e5695b63c60ec00/IMG_20221115_143959.jpg</v>
      </c>
      <c r="J607" t="s">
        <v>12287</v>
      </c>
      <c r="K607" t="b">
        <v>1</v>
      </c>
      <c r="L607" s="4" t="s">
        <v>12288</v>
      </c>
      <c r="M607" t="s">
        <v>12289</v>
      </c>
      <c r="N607" t="s">
        <v>105</v>
      </c>
      <c r="P607" t="s">
        <v>12290</v>
      </c>
      <c r="Q607" t="s">
        <v>189</v>
      </c>
      <c r="R607" t="s">
        <v>12291</v>
      </c>
      <c r="S607" t="s">
        <v>12289</v>
      </c>
      <c r="T607" s="4" t="s">
        <v>12288</v>
      </c>
      <c r="U607" t="s">
        <v>8476</v>
      </c>
      <c r="V607" s="4" t="s">
        <v>12292</v>
      </c>
      <c r="W607" t="s">
        <v>261</v>
      </c>
      <c r="Y607" t="s">
        <v>158</v>
      </c>
      <c r="Z607" t="s">
        <v>262</v>
      </c>
      <c r="AC607" s="3" t="str">
        <f>HYPERLINK("https://api.typeform.com/responses/files/2cb053bdbf5c6bc8cb30cccb969e1cd9b91ce2bd4908323d784979615ed664da/IMG_20221115_143959.jpg")</f>
        <v>https://api.typeform.com/responses/files/2cb053bdbf5c6bc8cb30cccb969e1cd9b91ce2bd4908323d784979615ed664da/IMG_20221115_143959.jpg</v>
      </c>
      <c r="AD607" t="s">
        <v>118</v>
      </c>
      <c r="AE607" t="s">
        <v>729</v>
      </c>
      <c r="AF607" t="s">
        <v>2874</v>
      </c>
      <c r="AG607">
        <v>3.0</v>
      </c>
      <c r="AH607" t="s">
        <v>1951</v>
      </c>
      <c r="AI607" t="s">
        <v>162</v>
      </c>
      <c r="AL607" t="s">
        <v>1043</v>
      </c>
      <c r="AO607" t="s">
        <v>125</v>
      </c>
      <c r="AP607">
        <v>5.0</v>
      </c>
      <c r="AQ607" t="s">
        <v>1520</v>
      </c>
      <c r="AR607" t="s">
        <v>12293</v>
      </c>
      <c r="AS607" t="b">
        <v>1</v>
      </c>
      <c r="AT607" t="b">
        <v>0</v>
      </c>
      <c r="AV607">
        <v>5.0</v>
      </c>
      <c r="AW607" t="b">
        <v>0</v>
      </c>
      <c r="AZ607" t="b">
        <v>0</v>
      </c>
      <c r="BA607" t="b">
        <v>1</v>
      </c>
      <c r="BB607" t="b">
        <v>0</v>
      </c>
      <c r="BC607" t="s">
        <v>1951</v>
      </c>
      <c r="BH607" t="s">
        <v>132</v>
      </c>
      <c r="BI607">
        <v>4.0</v>
      </c>
      <c r="BJ607" t="s">
        <v>12294</v>
      </c>
      <c r="BK607">
        <v>5.0</v>
      </c>
      <c r="BL607">
        <v>4.0</v>
      </c>
      <c r="BM607" t="s">
        <v>12295</v>
      </c>
      <c r="BN607">
        <v>4.0</v>
      </c>
      <c r="BO607">
        <v>4.0</v>
      </c>
      <c r="BP607" t="s">
        <v>12296</v>
      </c>
      <c r="BQ607" t="s">
        <v>1050</v>
      </c>
      <c r="BR607" t="s">
        <v>12297</v>
      </c>
      <c r="BS607" t="s">
        <v>12298</v>
      </c>
      <c r="BU607" t="s">
        <v>139</v>
      </c>
      <c r="BV607" s="3" t="str">
        <f>HYPERLINK("https://api.typeform.com/responses/files/7c005681ec51016015e1cf96c7d7493cde6abea52be02aee4b8f7f7f78c24a91/IMG_20221115_143959.jpg")</f>
        <v>https://api.typeform.com/responses/files/7c005681ec51016015e1cf96c7d7493cde6abea52be02aee4b8f7f7f78c24a91/IMG_20221115_143959.jpg</v>
      </c>
      <c r="BW607" t="b">
        <v>1</v>
      </c>
      <c r="BX607" t="s">
        <v>1394</v>
      </c>
      <c r="BY607" t="s">
        <v>140</v>
      </c>
      <c r="CA607" t="s">
        <v>1395</v>
      </c>
      <c r="CD607">
        <v>0.0</v>
      </c>
      <c r="CF607" t="b">
        <v>0</v>
      </c>
      <c r="CG607" t="b">
        <v>0</v>
      </c>
      <c r="CH607" t="s">
        <v>1935</v>
      </c>
      <c r="CJ607" t="b">
        <v>0</v>
      </c>
      <c r="CK607" t="b">
        <v>0</v>
      </c>
      <c r="CL607" t="s">
        <v>1462</v>
      </c>
      <c r="CM607" t="s">
        <v>2301</v>
      </c>
      <c r="CO607" t="s">
        <v>2500</v>
      </c>
      <c r="CR607" t="b">
        <v>1</v>
      </c>
      <c r="CT607">
        <v>0.0</v>
      </c>
      <c r="CU607">
        <v>2.0</v>
      </c>
      <c r="CX607" s="4" t="s">
        <v>12299</v>
      </c>
      <c r="CZ607" s="5">
        <v>44880.835173611114</v>
      </c>
      <c r="DA607" t="s">
        <v>12300</v>
      </c>
    </row>
    <row r="608">
      <c r="A608" t="s">
        <v>98</v>
      </c>
      <c r="D608" t="s">
        <v>12301</v>
      </c>
      <c r="E608" t="s">
        <v>4131</v>
      </c>
      <c r="F608" s="2">
        <v>38854.0</v>
      </c>
      <c r="G608" t="s">
        <v>1360</v>
      </c>
      <c r="I608" s="3" t="str">
        <f>HYPERLINK("https://api.typeform.com/responses/files/e48f0b02d3be1fffd9ce9f1cb5d20f1022c7fbcd84aeb7d56d07fdeb17411070/CB44A006_A616_4215_93EB_9C376F3B565A.jpeg")</f>
        <v>https://api.typeform.com/responses/files/e48f0b02d3be1fffd9ce9f1cb5d20f1022c7fbcd84aeb7d56d07fdeb17411070/CB44A006_A616_4215_93EB_9C376F3B565A.jpeg</v>
      </c>
      <c r="J608" t="s">
        <v>12302</v>
      </c>
      <c r="K608" t="b">
        <v>1</v>
      </c>
      <c r="L608" s="4" t="s">
        <v>12303</v>
      </c>
      <c r="M608" s="4" t="s">
        <v>12304</v>
      </c>
      <c r="N608" t="s">
        <v>255</v>
      </c>
      <c r="O608" t="s">
        <v>12305</v>
      </c>
      <c r="P608" t="s">
        <v>12306</v>
      </c>
      <c r="Q608" t="s">
        <v>189</v>
      </c>
      <c r="R608" t="s">
        <v>12302</v>
      </c>
      <c r="S608" s="4" t="s">
        <v>12304</v>
      </c>
      <c r="T608" s="4" t="s">
        <v>12307</v>
      </c>
      <c r="U608" t="s">
        <v>9618</v>
      </c>
      <c r="V608" t="s">
        <v>12308</v>
      </c>
      <c r="W608" t="s">
        <v>261</v>
      </c>
      <c r="Y608" t="s">
        <v>158</v>
      </c>
      <c r="Z608" t="s">
        <v>262</v>
      </c>
      <c r="AC608" s="3" t="str">
        <f>HYPERLINK("https://api.typeform.com/responses/files/ee2593fedba3e7415bb855d147e7f88e256a78e26a0f8fbb46c7ef15ccb55280/C953460E_F078_40F7_A28F_02E5E85B3D50.png")</f>
        <v>https://api.typeform.com/responses/files/ee2593fedba3e7415bb855d147e7f88e256a78e26a0f8fbb46c7ef15ccb55280/C953460E_F078_40F7_A28F_02E5E85B3D50.png</v>
      </c>
      <c r="AD608" t="s">
        <v>118</v>
      </c>
      <c r="AE608" t="s">
        <v>781</v>
      </c>
      <c r="AF608" t="s">
        <v>12309</v>
      </c>
      <c r="AG608">
        <v>0.0</v>
      </c>
      <c r="AH608" s="4" t="s">
        <v>1414</v>
      </c>
      <c r="AI608" t="s">
        <v>121</v>
      </c>
      <c r="AK608" t="s">
        <v>179</v>
      </c>
      <c r="AL608" t="s">
        <v>621</v>
      </c>
      <c r="AO608" t="s">
        <v>335</v>
      </c>
      <c r="AP608">
        <v>7.0</v>
      </c>
      <c r="AQ608" t="s">
        <v>2625</v>
      </c>
      <c r="AR608" t="s">
        <v>12310</v>
      </c>
      <c r="AS608" t="b">
        <v>1</v>
      </c>
      <c r="AT608" t="b">
        <v>1</v>
      </c>
      <c r="AV608">
        <v>4.0</v>
      </c>
      <c r="AW608" t="b">
        <v>0</v>
      </c>
      <c r="AZ608" t="b">
        <v>1</v>
      </c>
      <c r="BA608" t="b">
        <v>1</v>
      </c>
      <c r="BB608" t="b">
        <v>1</v>
      </c>
      <c r="BC608" t="s">
        <v>12311</v>
      </c>
      <c r="BH608" t="s">
        <v>132</v>
      </c>
      <c r="BI608">
        <v>7.0</v>
      </c>
      <c r="BJ608" t="s">
        <v>12312</v>
      </c>
      <c r="BK608">
        <v>4.0</v>
      </c>
      <c r="BL608">
        <v>6.0</v>
      </c>
      <c r="BM608" t="s">
        <v>2004</v>
      </c>
      <c r="BN608">
        <v>4.0</v>
      </c>
      <c r="BO608">
        <v>2.0</v>
      </c>
      <c r="BP608" t="s">
        <v>12313</v>
      </c>
      <c r="BQ608" t="s">
        <v>7087</v>
      </c>
      <c r="BR608" t="s">
        <v>12314</v>
      </c>
      <c r="BS608" t="s">
        <v>12315</v>
      </c>
      <c r="BU608" t="s">
        <v>12316</v>
      </c>
      <c r="BV608" s="3" t="str">
        <f>HYPERLINK("https://api.typeform.com/responses/files/1088d0788c79ddd1b4b845ed636ccf8cbcaff47eed9a6ec9b2ec286c98aafad3/AAF4CD38_7E1E_455D_9ABA_902C8C953ABA.jpeg")</f>
        <v>https://api.typeform.com/responses/files/1088d0788c79ddd1b4b845ed636ccf8cbcaff47eed9a6ec9b2ec286c98aafad3/AAF4CD38_7E1E_455D_9ABA_902C8C953ABA.jpeg</v>
      </c>
      <c r="BW608" t="b">
        <v>1</v>
      </c>
      <c r="BX608" t="s">
        <v>1394</v>
      </c>
      <c r="BY608" t="s">
        <v>140</v>
      </c>
      <c r="CA608" t="s">
        <v>1395</v>
      </c>
      <c r="CD608">
        <v>0.0</v>
      </c>
      <c r="CF608" t="b">
        <v>0</v>
      </c>
      <c r="CG608" t="b">
        <v>0</v>
      </c>
      <c r="CH608" t="s">
        <v>128</v>
      </c>
      <c r="CJ608" t="b">
        <v>1</v>
      </c>
      <c r="CK608" t="b">
        <v>0</v>
      </c>
      <c r="CL608" t="s">
        <v>387</v>
      </c>
      <c r="CM608" t="s">
        <v>541</v>
      </c>
      <c r="CO608" t="s">
        <v>1248</v>
      </c>
      <c r="CQ608" t="s">
        <v>2301</v>
      </c>
      <c r="CR608" t="b">
        <v>1</v>
      </c>
      <c r="CT608">
        <v>2.0</v>
      </c>
      <c r="CU608">
        <v>4.0</v>
      </c>
      <c r="CX608" s="4" t="s">
        <v>11311</v>
      </c>
      <c r="CZ608" s="5">
        <v>44882.669016203705</v>
      </c>
      <c r="DA608" t="s">
        <v>12317</v>
      </c>
    </row>
    <row r="609">
      <c r="A609" t="s">
        <v>98</v>
      </c>
      <c r="D609" t="s">
        <v>12318</v>
      </c>
      <c r="E609" t="s">
        <v>12319</v>
      </c>
      <c r="F609" s="2">
        <v>38800.0</v>
      </c>
      <c r="G609" t="s">
        <v>1466</v>
      </c>
      <c r="I609" s="3" t="str">
        <f>HYPERLINK("https://api.typeform.com/responses/files/5c7401c305718a65838f3cdbfe46b7f70e79e37f02a2ec9a97d251ac3f8af31e/image0.jpeg")</f>
        <v>https://api.typeform.com/responses/files/5c7401c305718a65838f3cdbfe46b7f70e79e37f02a2ec9a97d251ac3f8af31e/image0.jpeg</v>
      </c>
      <c r="J609" t="s">
        <v>12320</v>
      </c>
      <c r="K609" t="b">
        <v>1</v>
      </c>
      <c r="L609" s="4" t="s">
        <v>12321</v>
      </c>
      <c r="M609" t="s">
        <v>12322</v>
      </c>
      <c r="N609" t="s">
        <v>105</v>
      </c>
      <c r="P609" t="s">
        <v>12323</v>
      </c>
      <c r="Q609" t="s">
        <v>152</v>
      </c>
      <c r="R609" t="s">
        <v>12324</v>
      </c>
      <c r="S609" t="s">
        <v>12322</v>
      </c>
      <c r="T609" s="4" t="s">
        <v>12325</v>
      </c>
      <c r="U609" t="s">
        <v>9618</v>
      </c>
      <c r="V609" t="s">
        <v>11393</v>
      </c>
      <c r="W609" t="s">
        <v>261</v>
      </c>
      <c r="Y609" t="s">
        <v>158</v>
      </c>
      <c r="Z609" t="s">
        <v>262</v>
      </c>
      <c r="AC609" s="3" t="str">
        <f>HYPERLINK("https://api.typeform.com/responses/files/7983547f40709f67818cd3f87fb00cc08acdf511373e45b2f78cae284c0d5b5b/image0__1_.jpeg")</f>
        <v>https://api.typeform.com/responses/files/7983547f40709f67818cd3f87fb00cc08acdf511373e45b2f78cae284c0d5b5b/image0__1_.jpeg</v>
      </c>
      <c r="AD609" t="s">
        <v>118</v>
      </c>
      <c r="AE609" t="s">
        <v>1780</v>
      </c>
      <c r="AI609" t="s">
        <v>121</v>
      </c>
      <c r="AK609" t="s">
        <v>12326</v>
      </c>
      <c r="AL609" t="s">
        <v>621</v>
      </c>
      <c r="AO609" t="s">
        <v>125</v>
      </c>
      <c r="AP609">
        <v>1.0</v>
      </c>
      <c r="AQ609" t="s">
        <v>268</v>
      </c>
      <c r="AR609" t="s">
        <v>12327</v>
      </c>
      <c r="AS609" t="b">
        <v>1</v>
      </c>
      <c r="AT609" t="b">
        <v>1</v>
      </c>
      <c r="AV609">
        <v>7.0</v>
      </c>
      <c r="AW609" t="b">
        <v>0</v>
      </c>
      <c r="AZ609" t="b">
        <v>0</v>
      </c>
      <c r="BA609" t="b">
        <v>1</v>
      </c>
      <c r="BB609" t="b">
        <v>0</v>
      </c>
      <c r="BC609" t="s">
        <v>12328</v>
      </c>
      <c r="BH609" t="s">
        <v>132</v>
      </c>
      <c r="BI609">
        <v>4.0</v>
      </c>
      <c r="BJ609" t="s">
        <v>12329</v>
      </c>
      <c r="BK609">
        <v>1.0</v>
      </c>
      <c r="BL609">
        <v>7.0</v>
      </c>
      <c r="BM609" t="s">
        <v>12330</v>
      </c>
      <c r="BN609">
        <v>5.0</v>
      </c>
      <c r="BO609">
        <v>5.0</v>
      </c>
      <c r="BP609" t="s">
        <v>12331</v>
      </c>
      <c r="BQ609" t="s">
        <v>1050</v>
      </c>
      <c r="BR609" t="s">
        <v>12332</v>
      </c>
      <c r="BS609" t="s">
        <v>12333</v>
      </c>
      <c r="BU609" t="s">
        <v>12334</v>
      </c>
      <c r="BV609" s="3" t="str">
        <f>HYPERLINK("https://api.typeform.com/responses/files/1fdd00340f0a62cef28dc17a8d0263277ac3acc2599b9ed37c1f836d9e75cb12/Screenshot_2022_11_17_11.06.18_AM.png")</f>
        <v>https://api.typeform.com/responses/files/1fdd00340f0a62cef28dc17a8d0263277ac3acc2599b9ed37c1f836d9e75cb12/Screenshot_2022_11_17_11.06.18_AM.png</v>
      </c>
      <c r="BW609" t="b">
        <v>1</v>
      </c>
      <c r="BX609" t="s">
        <v>1394</v>
      </c>
      <c r="BY609" t="s">
        <v>140</v>
      </c>
      <c r="CA609" t="s">
        <v>1395</v>
      </c>
      <c r="CD609">
        <v>0.0</v>
      </c>
      <c r="CF609" t="b">
        <v>1</v>
      </c>
      <c r="CG609" t="b">
        <v>0</v>
      </c>
      <c r="CH609" t="s">
        <v>366</v>
      </c>
      <c r="CJ609" t="b">
        <v>1</v>
      </c>
      <c r="CK609" t="b">
        <v>0</v>
      </c>
      <c r="CL609" t="s">
        <v>541</v>
      </c>
      <c r="CM609" t="s">
        <v>198</v>
      </c>
      <c r="CO609" t="s">
        <v>388</v>
      </c>
      <c r="CR609" t="b">
        <v>1</v>
      </c>
      <c r="CT609">
        <v>0.0</v>
      </c>
      <c r="CU609">
        <v>0.0</v>
      </c>
      <c r="CX609" s="4" t="s">
        <v>12335</v>
      </c>
      <c r="CZ609" s="5">
        <v>44882.67145833333</v>
      </c>
      <c r="DA609" t="s">
        <v>12336</v>
      </c>
    </row>
    <row r="610">
      <c r="A610" t="s">
        <v>98</v>
      </c>
      <c r="D610" t="s">
        <v>12337</v>
      </c>
      <c r="E610" t="s">
        <v>12338</v>
      </c>
      <c r="F610" s="2">
        <v>38926.0</v>
      </c>
      <c r="G610" t="s">
        <v>1466</v>
      </c>
      <c r="I610" s="3" t="str">
        <f>HYPERLINK("https://api.typeform.com/responses/files/68d191a1c65ceba7e503061adec7ceb5915d2f449a4791b537a23569d2db216c/20221026_153015.jpg")</f>
        <v>https://api.typeform.com/responses/files/68d191a1c65ceba7e503061adec7ceb5915d2f449a4791b537a23569d2db216c/20221026_153015.jpg</v>
      </c>
      <c r="J610" t="s">
        <v>12339</v>
      </c>
      <c r="K610" t="b">
        <v>1</v>
      </c>
      <c r="L610" s="4" t="s">
        <v>12340</v>
      </c>
      <c r="M610" t="s">
        <v>12341</v>
      </c>
      <c r="N610" t="s">
        <v>255</v>
      </c>
      <c r="O610" t="s">
        <v>4315</v>
      </c>
      <c r="P610" t="s">
        <v>12342</v>
      </c>
      <c r="Q610" t="s">
        <v>189</v>
      </c>
      <c r="R610" t="s">
        <v>12343</v>
      </c>
      <c r="S610" t="s">
        <v>12344</v>
      </c>
      <c r="T610" s="4" t="s">
        <v>12345</v>
      </c>
      <c r="U610" t="s">
        <v>12346</v>
      </c>
      <c r="V610" t="s">
        <v>12347</v>
      </c>
      <c r="W610" t="s">
        <v>261</v>
      </c>
      <c r="Y610" t="s">
        <v>158</v>
      </c>
      <c r="Z610" t="s">
        <v>262</v>
      </c>
      <c r="AC610" s="3" t="str">
        <f>HYPERLINK("https://api.typeform.com/responses/files/5cc99db5dc0d535098e85e13a465ffa3f4a48947b2a600b1fdc07722b99275b3/20221117_104045.jpg")</f>
        <v>https://api.typeform.com/responses/files/5cc99db5dc0d535098e85e13a465ffa3f4a48947b2a600b1fdc07722b99275b3/20221117_104045.jpg</v>
      </c>
      <c r="AD610" t="s">
        <v>118</v>
      </c>
      <c r="AE610" t="s">
        <v>781</v>
      </c>
      <c r="AF610" t="s">
        <v>2651</v>
      </c>
      <c r="AG610">
        <v>0.0</v>
      </c>
      <c r="AH610" s="4" t="s">
        <v>9841</v>
      </c>
      <c r="AI610" t="s">
        <v>121</v>
      </c>
      <c r="AK610" t="s">
        <v>12348</v>
      </c>
      <c r="AL610" t="s">
        <v>199</v>
      </c>
      <c r="AO610" t="s">
        <v>125</v>
      </c>
      <c r="AP610">
        <v>5.0</v>
      </c>
      <c r="AQ610" t="s">
        <v>268</v>
      </c>
      <c r="AR610" t="s">
        <v>12349</v>
      </c>
      <c r="AS610" t="b">
        <v>0</v>
      </c>
      <c r="AV610">
        <v>5.0</v>
      </c>
      <c r="AW610" t="b">
        <v>1</v>
      </c>
      <c r="AX610" t="s">
        <v>1902</v>
      </c>
      <c r="AY610" s="4" t="s">
        <v>518</v>
      </c>
      <c r="AZ610" t="b">
        <v>0</v>
      </c>
      <c r="BA610" t="b">
        <v>0</v>
      </c>
      <c r="BD610" t="s">
        <v>12349</v>
      </c>
      <c r="BH610" t="s">
        <v>132</v>
      </c>
      <c r="BI610">
        <v>4.0</v>
      </c>
      <c r="BJ610" t="s">
        <v>12350</v>
      </c>
      <c r="BK610">
        <v>4.0</v>
      </c>
      <c r="BL610">
        <v>4.0</v>
      </c>
      <c r="BM610" t="s">
        <v>12351</v>
      </c>
      <c r="BN610">
        <v>4.0</v>
      </c>
      <c r="BO610">
        <v>5.0</v>
      </c>
      <c r="BP610" t="s">
        <v>12352</v>
      </c>
      <c r="BQ610" t="s">
        <v>1050</v>
      </c>
      <c r="BR610" t="s">
        <v>12353</v>
      </c>
      <c r="BS610" t="s">
        <v>12354</v>
      </c>
      <c r="BU610" t="s">
        <v>12355</v>
      </c>
      <c r="BV610" s="3" t="str">
        <f>HYPERLINK("https://api.typeform.com/responses/files/13fc785de156b8d858c1351b3ed9928db948b0c66c739edbf3306b520fab7826/20221117_104045.jpg")</f>
        <v>https://api.typeform.com/responses/files/13fc785de156b8d858c1351b3ed9928db948b0c66c739edbf3306b520fab7826/20221117_104045.jpg</v>
      </c>
      <c r="BW610" t="b">
        <v>1</v>
      </c>
      <c r="BX610" t="s">
        <v>1394</v>
      </c>
      <c r="BY610" t="s">
        <v>140</v>
      </c>
      <c r="CA610" t="s">
        <v>1395</v>
      </c>
      <c r="CD610">
        <v>0.0</v>
      </c>
      <c r="CF610" t="b">
        <v>0</v>
      </c>
      <c r="CG610" t="b">
        <v>0</v>
      </c>
      <c r="CH610" t="s">
        <v>1935</v>
      </c>
      <c r="CJ610" t="b">
        <v>0</v>
      </c>
      <c r="CK610" t="b">
        <v>0</v>
      </c>
      <c r="CL610" t="s">
        <v>387</v>
      </c>
      <c r="CM610" t="s">
        <v>541</v>
      </c>
      <c r="CO610" t="s">
        <v>1635</v>
      </c>
      <c r="CR610" t="b">
        <v>1</v>
      </c>
      <c r="CT610">
        <v>2.0</v>
      </c>
      <c r="CU610">
        <v>2.0</v>
      </c>
      <c r="CX610" s="4" t="s">
        <v>12356</v>
      </c>
      <c r="CZ610" s="5">
        <v>44882.67181712963</v>
      </c>
      <c r="DA610" t="s">
        <v>12357</v>
      </c>
    </row>
    <row r="611">
      <c r="A611" t="s">
        <v>98</v>
      </c>
      <c r="D611" t="s">
        <v>12358</v>
      </c>
      <c r="E611" t="s">
        <v>12359</v>
      </c>
      <c r="F611" s="2">
        <v>39415.0</v>
      </c>
      <c r="G611" t="s">
        <v>1466</v>
      </c>
      <c r="I611" s="3" t="str">
        <f>HYPERLINK("https://api.typeform.com/responses/files/abacdabe5481984e7d43c0181bbb934eeed6f3ea7c5b6ae9a44648e1bb2d94ff/sup.jpg")</f>
        <v>https://api.typeform.com/responses/files/abacdabe5481984e7d43c0181bbb934eeed6f3ea7c5b6ae9a44648e1bb2d94ff/sup.jpg</v>
      </c>
      <c r="J611" t="s">
        <v>12360</v>
      </c>
      <c r="K611" t="b">
        <v>1</v>
      </c>
      <c r="L611" s="4" t="s">
        <v>12361</v>
      </c>
      <c r="M611" t="s">
        <v>12362</v>
      </c>
      <c r="N611" t="s">
        <v>105</v>
      </c>
      <c r="P611" t="s">
        <v>12363</v>
      </c>
      <c r="Q611" t="s">
        <v>189</v>
      </c>
      <c r="R611" t="s">
        <v>12364</v>
      </c>
      <c r="S611" t="s">
        <v>12362</v>
      </c>
      <c r="T611" s="4" t="s">
        <v>12365</v>
      </c>
      <c r="U611" t="s">
        <v>3078</v>
      </c>
      <c r="V611" t="s">
        <v>12366</v>
      </c>
      <c r="W611" t="s">
        <v>261</v>
      </c>
      <c r="Y611" t="s">
        <v>158</v>
      </c>
      <c r="Z611" t="s">
        <v>195</v>
      </c>
      <c r="AC611" s="3" t="str">
        <f>HYPERLINK("https://api.typeform.com/responses/files/267e3184b256be6ca7cb3ac46820c9e16d5cd6a551d1518d7196c677c91c40b4/oops.png")</f>
        <v>https://api.typeform.com/responses/files/267e3184b256be6ca7cb3ac46820c9e16d5cd6a551d1518d7196c677c91c40b4/oops.png</v>
      </c>
      <c r="AD611" t="s">
        <v>118</v>
      </c>
      <c r="AE611" t="s">
        <v>1220</v>
      </c>
      <c r="AF611" t="s">
        <v>2983</v>
      </c>
      <c r="AG611">
        <v>14.0</v>
      </c>
      <c r="AH611" s="4" t="s">
        <v>3871</v>
      </c>
      <c r="AI611" t="s">
        <v>121</v>
      </c>
      <c r="AK611" t="s">
        <v>3058</v>
      </c>
      <c r="AL611" t="s">
        <v>621</v>
      </c>
      <c r="AO611" t="s">
        <v>486</v>
      </c>
      <c r="AP611">
        <v>2.0</v>
      </c>
      <c r="AQ611" t="s">
        <v>303</v>
      </c>
      <c r="AR611" t="s">
        <v>2700</v>
      </c>
      <c r="AS611" t="b">
        <v>1</v>
      </c>
      <c r="AT611" t="b">
        <v>0</v>
      </c>
      <c r="AV611">
        <v>5.0</v>
      </c>
      <c r="AW611" t="b">
        <v>1</v>
      </c>
      <c r="AX611" t="s">
        <v>1902</v>
      </c>
      <c r="AY611" s="4" t="s">
        <v>170</v>
      </c>
      <c r="AZ611" t="b">
        <v>1</v>
      </c>
      <c r="BA611" t="b">
        <v>0</v>
      </c>
      <c r="BD611" t="s">
        <v>12367</v>
      </c>
      <c r="BH611" t="s">
        <v>132</v>
      </c>
      <c r="BI611">
        <v>5.0</v>
      </c>
      <c r="BJ611" t="s">
        <v>12368</v>
      </c>
      <c r="BK611">
        <v>3.0</v>
      </c>
      <c r="BL611">
        <v>6.0</v>
      </c>
      <c r="BM611" t="s">
        <v>12369</v>
      </c>
      <c r="BN611">
        <v>5.0</v>
      </c>
      <c r="BO611">
        <v>5.0</v>
      </c>
      <c r="BP611" t="s">
        <v>12370</v>
      </c>
      <c r="BQ611" t="s">
        <v>1931</v>
      </c>
      <c r="BR611" t="s">
        <v>12371</v>
      </c>
      <c r="BS611" t="s">
        <v>12372</v>
      </c>
      <c r="BU611" t="s">
        <v>12373</v>
      </c>
      <c r="BV611" s="3" t="str">
        <f>HYPERLINK("https://api.typeform.com/responses/files/b57c8a36c6f3fcf588a8a71cc0319c9de0ceb64649b400d7aca67ef12a9a3b0e/oops.png")</f>
        <v>https://api.typeform.com/responses/files/b57c8a36c6f3fcf588a8a71cc0319c9de0ceb64649b400d7aca67ef12a9a3b0e/oops.png</v>
      </c>
      <c r="BW611" t="b">
        <v>1</v>
      </c>
      <c r="BX611" t="s">
        <v>1394</v>
      </c>
      <c r="BY611" t="s">
        <v>140</v>
      </c>
      <c r="CA611" t="s">
        <v>1395</v>
      </c>
      <c r="CD611">
        <v>0.0</v>
      </c>
      <c r="CF611" t="b">
        <v>1</v>
      </c>
      <c r="CG611" t="b">
        <v>1</v>
      </c>
      <c r="CH611" t="s">
        <v>12374</v>
      </c>
      <c r="CJ611" t="b">
        <v>1</v>
      </c>
      <c r="CK611" t="b">
        <v>1</v>
      </c>
      <c r="CL611" t="s">
        <v>198</v>
      </c>
      <c r="CM611" t="s">
        <v>541</v>
      </c>
      <c r="CO611" t="s">
        <v>200</v>
      </c>
      <c r="CR611" t="b">
        <v>1</v>
      </c>
      <c r="CT611">
        <v>1.0</v>
      </c>
      <c r="CU611">
        <v>1.0</v>
      </c>
      <c r="CX611" s="4" t="s">
        <v>12375</v>
      </c>
      <c r="CZ611" s="5">
        <v>44893.86859953704</v>
      </c>
      <c r="DA611" t="s">
        <v>12376</v>
      </c>
    </row>
    <row r="612">
      <c r="A612" t="s">
        <v>98</v>
      </c>
      <c r="D612" t="s">
        <v>12377</v>
      </c>
      <c r="E612" t="s">
        <v>12378</v>
      </c>
      <c r="F612" s="2">
        <v>38996.0</v>
      </c>
      <c r="G612" t="s">
        <v>1466</v>
      </c>
      <c r="I612" s="3" t="str">
        <f>HYPERLINK("https://api.typeform.com/responses/files/df63432f19bdde72e82fd642a2cdb6ab3c3be1336ee1279db13b3e7123801e70/Screen_Shot_2022_12_01_at_11.11.19_AM.png")</f>
        <v>https://api.typeform.com/responses/files/df63432f19bdde72e82fd642a2cdb6ab3c3be1336ee1279db13b3e7123801e70/Screen_Shot_2022_12_01_at_11.11.19_AM.png</v>
      </c>
      <c r="J612" t="s">
        <v>12379</v>
      </c>
      <c r="K612" t="b">
        <v>1</v>
      </c>
      <c r="L612" s="4" t="s">
        <v>12380</v>
      </c>
      <c r="M612" t="s">
        <v>12381</v>
      </c>
      <c r="N612" t="s">
        <v>255</v>
      </c>
      <c r="O612" t="s">
        <v>12382</v>
      </c>
      <c r="P612" t="s">
        <v>12383</v>
      </c>
      <c r="Q612" t="s">
        <v>152</v>
      </c>
      <c r="R612" t="s">
        <v>12384</v>
      </c>
      <c r="S612" t="s">
        <v>12385</v>
      </c>
      <c r="T612" s="4" t="s">
        <v>12386</v>
      </c>
      <c r="U612" t="s">
        <v>8476</v>
      </c>
      <c r="V612" t="s">
        <v>12387</v>
      </c>
      <c r="W612" t="s">
        <v>261</v>
      </c>
      <c r="Y612" t="s">
        <v>158</v>
      </c>
      <c r="Z612" t="s">
        <v>262</v>
      </c>
      <c r="AC612" s="3" t="str">
        <f>HYPERLINK("https://api.typeform.com/responses/files/72ed8f8f7e332289fe4b0766504ca499b23a8ec8043497cf83a0c20d0aa0c267/Screen_Shot_2022_12_01_at_12.34.34_PM.png")</f>
        <v>https://api.typeform.com/responses/files/72ed8f8f7e332289fe4b0766504ca499b23a8ec8043497cf83a0c20d0aa0c267/Screen_Shot_2022_12_01_at_12.34.34_PM.png</v>
      </c>
      <c r="AD612" t="s">
        <v>118</v>
      </c>
      <c r="AE612" t="s">
        <v>781</v>
      </c>
      <c r="AF612" t="s">
        <v>12388</v>
      </c>
      <c r="AG612">
        <v>0.0</v>
      </c>
      <c r="AH612" s="4" t="s">
        <v>4262</v>
      </c>
      <c r="AI612" t="s">
        <v>121</v>
      </c>
      <c r="AK612" t="s">
        <v>139</v>
      </c>
      <c r="AL612" t="s">
        <v>1043</v>
      </c>
      <c r="AO612" t="s">
        <v>335</v>
      </c>
      <c r="AP612">
        <v>6.0</v>
      </c>
      <c r="AQ612" t="s">
        <v>126</v>
      </c>
      <c r="AR612" t="s">
        <v>12389</v>
      </c>
      <c r="AS612" t="b">
        <v>1</v>
      </c>
      <c r="AT612" t="b">
        <v>0</v>
      </c>
      <c r="AV612">
        <v>6.0</v>
      </c>
      <c r="AW612" t="b">
        <v>1</v>
      </c>
      <c r="AX612" t="s">
        <v>1902</v>
      </c>
      <c r="AY612" t="s">
        <v>307</v>
      </c>
      <c r="AZ612" t="b">
        <v>0</v>
      </c>
      <c r="BA612" t="b">
        <v>0</v>
      </c>
      <c r="BD612" t="s">
        <v>1954</v>
      </c>
      <c r="BH612" t="s">
        <v>132</v>
      </c>
      <c r="BI612">
        <v>5.0</v>
      </c>
      <c r="BJ612" t="s">
        <v>12390</v>
      </c>
      <c r="BK612">
        <v>3.0</v>
      </c>
      <c r="BL612">
        <v>5.0</v>
      </c>
      <c r="BM612" t="s">
        <v>12391</v>
      </c>
      <c r="BN612">
        <v>3.0</v>
      </c>
      <c r="BO612">
        <v>6.0</v>
      </c>
      <c r="BP612" t="s">
        <v>12392</v>
      </c>
      <c r="BQ612" t="s">
        <v>977</v>
      </c>
      <c r="BR612" t="s">
        <v>12393</v>
      </c>
      <c r="BS612" t="s">
        <v>12394</v>
      </c>
      <c r="BU612" t="s">
        <v>258</v>
      </c>
      <c r="BV612" s="3" t="str">
        <f>HYPERLINK("https://api.typeform.com/responses/files/28967fca04354ffd2a5a3625073c2f2bb7c241d0cccc5129d7d4ed6a766f51bc/Screen_Shot_2022_12_01_at_12.35.03_PM.png")</f>
        <v>https://api.typeform.com/responses/files/28967fca04354ffd2a5a3625073c2f2bb7c241d0cccc5129d7d4ed6a766f51bc/Screen_Shot_2022_12_01_at_12.35.03_PM.png</v>
      </c>
      <c r="BW612" t="b">
        <v>1</v>
      </c>
      <c r="BX612" t="s">
        <v>1394</v>
      </c>
      <c r="BY612" t="s">
        <v>140</v>
      </c>
      <c r="CA612" t="s">
        <v>1395</v>
      </c>
      <c r="CD612">
        <v>0.0</v>
      </c>
      <c r="CF612" t="b">
        <v>0</v>
      </c>
      <c r="CG612" t="b">
        <v>0</v>
      </c>
      <c r="CH612" t="s">
        <v>11695</v>
      </c>
      <c r="CJ612" t="b">
        <v>0</v>
      </c>
      <c r="CK612" t="b">
        <v>0</v>
      </c>
      <c r="CL612" t="s">
        <v>541</v>
      </c>
      <c r="CM612" t="s">
        <v>541</v>
      </c>
      <c r="CO612" t="s">
        <v>1146</v>
      </c>
      <c r="CQ612" t="s">
        <v>541</v>
      </c>
      <c r="CR612" t="b">
        <v>1</v>
      </c>
      <c r="CT612">
        <v>0.0</v>
      </c>
      <c r="CU612">
        <v>3.0</v>
      </c>
      <c r="CX612" s="4" t="s">
        <v>12395</v>
      </c>
      <c r="CZ612" s="5">
        <v>44896.85736111111</v>
      </c>
      <c r="DA612" t="s">
        <v>12396</v>
      </c>
    </row>
    <row r="613">
      <c r="A613" t="s">
        <v>98</v>
      </c>
      <c r="D613" t="s">
        <v>12397</v>
      </c>
      <c r="E613" t="s">
        <v>5155</v>
      </c>
      <c r="F613" s="2">
        <v>39703.0</v>
      </c>
      <c r="G613" t="s">
        <v>1466</v>
      </c>
      <c r="I613" s="3" t="str">
        <f>HYPERLINK("https://api.typeform.com/responses/files/3b4d2d7e90f78a2b0312ab991a13d5748f0628dc5ae1499c0ab28ce0c13b7d19/alb.jumpro.jpg")</f>
        <v>https://api.typeform.com/responses/files/3b4d2d7e90f78a2b0312ab991a13d5748f0628dc5ae1499c0ab28ce0c13b7d19/alb.jumpro.jpg</v>
      </c>
      <c r="J613" t="s">
        <v>12398</v>
      </c>
      <c r="K613" t="b">
        <v>1</v>
      </c>
      <c r="L613" s="4" t="s">
        <v>12399</v>
      </c>
      <c r="M613" t="s">
        <v>12400</v>
      </c>
      <c r="N613" t="s">
        <v>149</v>
      </c>
      <c r="P613" t="s">
        <v>12401</v>
      </c>
      <c r="Q613" t="s">
        <v>152</v>
      </c>
      <c r="R613" t="s">
        <v>12398</v>
      </c>
      <c r="S613" t="s">
        <v>12402</v>
      </c>
      <c r="T613" s="4" t="s">
        <v>12403</v>
      </c>
      <c r="U613" t="s">
        <v>933</v>
      </c>
      <c r="V613" t="s">
        <v>4303</v>
      </c>
      <c r="W613" t="s">
        <v>113</v>
      </c>
      <c r="Y613" t="s">
        <v>158</v>
      </c>
      <c r="Z613" t="s">
        <v>384</v>
      </c>
      <c r="AC613" s="3" t="str">
        <f>HYPERLINK("https://api.typeform.com/responses/files/349e1e196071c4bfa9cbfdc20f5620727fa6e5bd55cbdd3bde98396058740c15/Yancen_Rodriguez_Mercado_2023_01_09_15_55.pdf")</f>
        <v>https://api.typeform.com/responses/files/349e1e196071c4bfa9cbfdc20f5620727fa6e5bd55cbdd3bde98396058740c15/Yancen_Rodriguez_Mercado_2023_01_09_15_55.pdf</v>
      </c>
      <c r="AD613" t="s">
        <v>118</v>
      </c>
      <c r="AE613" t="s">
        <v>729</v>
      </c>
      <c r="AF613" t="s">
        <v>197</v>
      </c>
      <c r="AG613">
        <v>11.0</v>
      </c>
      <c r="AH613" s="4" t="s">
        <v>273</v>
      </c>
      <c r="AI613" t="s">
        <v>205</v>
      </c>
      <c r="AL613" t="s">
        <v>199</v>
      </c>
      <c r="AO613" t="s">
        <v>125</v>
      </c>
      <c r="AP613">
        <v>4.0</v>
      </c>
      <c r="AQ613" t="s">
        <v>2240</v>
      </c>
      <c r="AR613" t="s">
        <v>12404</v>
      </c>
      <c r="AS613" t="b">
        <v>1</v>
      </c>
      <c r="AT613" t="b">
        <v>0</v>
      </c>
      <c r="AV613">
        <v>6.0</v>
      </c>
      <c r="AW613" t="b">
        <v>0</v>
      </c>
      <c r="AZ613" t="b">
        <v>1</v>
      </c>
      <c r="BA613" t="b">
        <v>0</v>
      </c>
      <c r="BD613" t="s">
        <v>12405</v>
      </c>
      <c r="BH613" t="s">
        <v>132</v>
      </c>
      <c r="BI613">
        <v>1.0</v>
      </c>
      <c r="BJ613" s="4" t="s">
        <v>130</v>
      </c>
      <c r="BK613">
        <v>4.0</v>
      </c>
      <c r="BL613">
        <v>7.0</v>
      </c>
      <c r="BM613" t="s">
        <v>12406</v>
      </c>
      <c r="BN613">
        <v>4.0</v>
      </c>
      <c r="BO613">
        <v>6.0</v>
      </c>
      <c r="BP613" t="s">
        <v>12407</v>
      </c>
      <c r="BQ613" t="s">
        <v>12408</v>
      </c>
      <c r="BR613" t="s">
        <v>12409</v>
      </c>
      <c r="BS613" t="s">
        <v>12410</v>
      </c>
      <c r="BU613" t="s">
        <v>12411</v>
      </c>
      <c r="BV613" s="3" t="str">
        <f>HYPERLINK("https://api.typeform.com/responses/files/9a5a7f206d7620a025e0983a746a3bcb1a52a38b7ebe77e089e1151e1f770789/SPEAKHIRE_Parent.Guardian_Consent_Form__1_.pdf")</f>
        <v>https://api.typeform.com/responses/files/9a5a7f206d7620a025e0983a746a3bcb1a52a38b7ebe77e089e1151e1f770789/SPEAKHIRE_Parent.Guardian_Consent_Form__1_.pdf</v>
      </c>
      <c r="BW613" t="b">
        <v>1</v>
      </c>
      <c r="BX613" t="s">
        <v>1394</v>
      </c>
      <c r="BY613" t="s">
        <v>140</v>
      </c>
      <c r="CA613" t="s">
        <v>1395</v>
      </c>
      <c r="CD613">
        <v>0.0</v>
      </c>
      <c r="CF613" t="b">
        <v>1</v>
      </c>
      <c r="CG613" t="b">
        <v>1</v>
      </c>
      <c r="CH613" t="s">
        <v>705</v>
      </c>
      <c r="CJ613" t="b">
        <v>1</v>
      </c>
      <c r="CK613" t="b">
        <v>1</v>
      </c>
      <c r="CL613" t="s">
        <v>387</v>
      </c>
      <c r="CO613" t="s">
        <v>3041</v>
      </c>
      <c r="CR613" t="b">
        <v>1</v>
      </c>
      <c r="CT613">
        <v>0.0</v>
      </c>
      <c r="CU613">
        <v>0.0</v>
      </c>
      <c r="CX613" s="4" t="s">
        <v>520</v>
      </c>
      <c r="CZ613" s="5">
        <v>44935.6796412037</v>
      </c>
      <c r="DA613" t="s">
        <v>12412</v>
      </c>
    </row>
    <row r="614">
      <c r="A614" t="s">
        <v>98</v>
      </c>
      <c r="D614" t="s">
        <v>12413</v>
      </c>
      <c r="E614" t="s">
        <v>12414</v>
      </c>
      <c r="F614" s="2">
        <v>38489.0</v>
      </c>
      <c r="G614" t="s">
        <v>1466</v>
      </c>
      <c r="I614" s="3" t="str">
        <f>HYPERLINK("https://api.typeform.com/responses/files/66a153ce45bbb502569b2f0d30da00c79943d178eb90427f9ece2bdd4ea8da64/unnamed.jpg")</f>
        <v>https://api.typeform.com/responses/files/66a153ce45bbb502569b2f0d30da00c79943d178eb90427f9ece2bdd4ea8da64/unnamed.jpg</v>
      </c>
      <c r="J614" t="s">
        <v>12415</v>
      </c>
      <c r="K614" t="b">
        <v>1</v>
      </c>
      <c r="L614" s="4" t="s">
        <v>12416</v>
      </c>
      <c r="M614" t="s">
        <v>12417</v>
      </c>
      <c r="N614" t="s">
        <v>255</v>
      </c>
      <c r="P614" t="s">
        <v>12418</v>
      </c>
      <c r="Q614" t="s">
        <v>1510</v>
      </c>
      <c r="R614" t="s">
        <v>12419</v>
      </c>
      <c r="S614" t="s">
        <v>12417</v>
      </c>
      <c r="T614" s="4" t="s">
        <v>12416</v>
      </c>
      <c r="U614" t="s">
        <v>933</v>
      </c>
      <c r="V614" t="s">
        <v>4303</v>
      </c>
      <c r="W614" t="s">
        <v>113</v>
      </c>
      <c r="Y614" t="s">
        <v>158</v>
      </c>
      <c r="Z614" t="s">
        <v>384</v>
      </c>
      <c r="AC614" s="3" t="str">
        <f>HYPERLINK("https://api.typeform.com/responses/files/f6261d7bea1dd2de746937e62ce8945be57396ab8ea5b52120a1944d3264a8ee/Report_for_Kenry_Roque_Aldana_Vallejo_2023_01_09_17_56.pdf")</f>
        <v>https://api.typeform.com/responses/files/f6261d7bea1dd2de746937e62ce8945be57396ab8ea5b52120a1944d3264a8ee/Report_for_Kenry_Roque_Aldana_Vallejo_2023_01_09_17_56.pdf</v>
      </c>
      <c r="AD614" t="s">
        <v>118</v>
      </c>
      <c r="AE614" t="s">
        <v>729</v>
      </c>
      <c r="AF614" t="s">
        <v>12420</v>
      </c>
      <c r="AG614">
        <v>17.0</v>
      </c>
      <c r="AH614" t="s">
        <v>12421</v>
      </c>
      <c r="AI614" t="s">
        <v>386</v>
      </c>
      <c r="AL614" t="s">
        <v>199</v>
      </c>
      <c r="AO614" t="s">
        <v>125</v>
      </c>
      <c r="AP614">
        <v>6.0</v>
      </c>
      <c r="AQ614" t="s">
        <v>126</v>
      </c>
      <c r="AR614" t="s">
        <v>12422</v>
      </c>
      <c r="AS614" t="b">
        <v>1</v>
      </c>
      <c r="AT614" t="b">
        <v>0</v>
      </c>
      <c r="AV614">
        <v>7.0</v>
      </c>
      <c r="AW614" t="b">
        <v>1</v>
      </c>
      <c r="AX614" t="s">
        <v>2797</v>
      </c>
      <c r="AY614" t="s">
        <v>2597</v>
      </c>
      <c r="AZ614" t="b">
        <v>1</v>
      </c>
      <c r="BA614" t="b">
        <v>1</v>
      </c>
      <c r="BB614" t="b">
        <v>1</v>
      </c>
      <c r="BC614" t="s">
        <v>12423</v>
      </c>
      <c r="BH614" t="s">
        <v>974</v>
      </c>
      <c r="BL614">
        <v>5.0</v>
      </c>
      <c r="BM614" t="s">
        <v>12424</v>
      </c>
      <c r="BN614">
        <v>5.0</v>
      </c>
      <c r="BO614">
        <v>4.0</v>
      </c>
      <c r="BP614" t="s">
        <v>12425</v>
      </c>
      <c r="BQ614" t="s">
        <v>1050</v>
      </c>
      <c r="BR614" t="s">
        <v>12426</v>
      </c>
      <c r="BS614" t="s">
        <v>12427</v>
      </c>
      <c r="BU614" t="s">
        <v>12428</v>
      </c>
      <c r="BV614" s="3" t="str">
        <f>HYPERLINK("https://api.typeform.com/responses/files/6153466f1f990664301194024e4fd810470928ebba4f9aca9c65c1955f77bf76/SPEAKHIRE_Parent.Guardian_Consent_Form__1_.pdf")</f>
        <v>https://api.typeform.com/responses/files/6153466f1f990664301194024e4fd810470928ebba4f9aca9c65c1955f77bf76/SPEAKHIRE_Parent.Guardian_Consent_Form__1_.pdf</v>
      </c>
      <c r="BW614" t="b">
        <v>1</v>
      </c>
      <c r="BX614" t="s">
        <v>1394</v>
      </c>
      <c r="BY614" t="s">
        <v>140</v>
      </c>
      <c r="CA614" t="s">
        <v>1395</v>
      </c>
      <c r="CD614">
        <v>0.0</v>
      </c>
      <c r="CF614" t="b">
        <v>1</v>
      </c>
      <c r="CG614" t="b">
        <v>1</v>
      </c>
      <c r="CH614" t="s">
        <v>1935</v>
      </c>
      <c r="CJ614" t="b">
        <v>1</v>
      </c>
      <c r="CK614" t="b">
        <v>1</v>
      </c>
      <c r="CL614" t="s">
        <v>2301</v>
      </c>
      <c r="CO614" t="s">
        <v>2500</v>
      </c>
      <c r="CR614" t="b">
        <v>1</v>
      </c>
      <c r="CT614">
        <v>4.0</v>
      </c>
      <c r="CU614">
        <v>3.0</v>
      </c>
      <c r="CX614" s="4" t="s">
        <v>520</v>
      </c>
      <c r="CZ614" s="5">
        <v>44935.81434027778</v>
      </c>
      <c r="DA614" t="s">
        <v>12429</v>
      </c>
    </row>
    <row r="615">
      <c r="A615" t="s">
        <v>98</v>
      </c>
      <c r="D615" t="s">
        <v>12430</v>
      </c>
      <c r="E615" t="s">
        <v>12431</v>
      </c>
      <c r="F615" s="2">
        <v>39350.0</v>
      </c>
      <c r="G615" t="s">
        <v>1466</v>
      </c>
      <c r="I615" s="3" t="str">
        <f>HYPERLINK("https://api.typeform.com/responses/files/04be2582da9fb44f13d799eb2c5d41f2a7afc856d2723302c3ef870475c86b4a/alb.jumpro.jpg")</f>
        <v>https://api.typeform.com/responses/files/04be2582da9fb44f13d799eb2c5d41f2a7afc856d2723302c3ef870475c86b4a/alb.jumpro.jpg</v>
      </c>
      <c r="J615" t="s">
        <v>12432</v>
      </c>
      <c r="K615" t="b">
        <v>1</v>
      </c>
      <c r="L615" s="4" t="s">
        <v>12433</v>
      </c>
      <c r="M615" t="s">
        <v>12434</v>
      </c>
      <c r="N615" t="s">
        <v>149</v>
      </c>
      <c r="O615" t="s">
        <v>12435</v>
      </c>
      <c r="P615" t="s">
        <v>12436</v>
      </c>
      <c r="Q615" t="s">
        <v>189</v>
      </c>
      <c r="R615" t="s">
        <v>12437</v>
      </c>
      <c r="S615" t="s">
        <v>12438</v>
      </c>
      <c r="T615" s="4" t="s">
        <v>12433</v>
      </c>
      <c r="U615" t="s">
        <v>933</v>
      </c>
      <c r="V615" t="s">
        <v>4303</v>
      </c>
      <c r="W615" t="s">
        <v>113</v>
      </c>
      <c r="Y615" t="s">
        <v>158</v>
      </c>
      <c r="Z615" t="s">
        <v>384</v>
      </c>
      <c r="AC615" s="3" t="str">
        <f>HYPERLINK("https://api.typeform.com/responses/files/edabf2ca6e67e4bfb2919266be302ac3798e4b62d01ac4af3e9d5253b13669f9/Report_for_Julian_Duarte_Orjuela_2023_01_09_17_55.pdf")</f>
        <v>https://api.typeform.com/responses/files/edabf2ca6e67e4bfb2919266be302ac3798e4b62d01ac4af3e9d5253b13669f9/Report_for_Julian_Duarte_Orjuela_2023_01_09_17_55.pdf</v>
      </c>
      <c r="AD615" t="s">
        <v>118</v>
      </c>
      <c r="AE615" t="s">
        <v>729</v>
      </c>
      <c r="AF615" t="s">
        <v>2292</v>
      </c>
      <c r="AG615">
        <v>14.0</v>
      </c>
      <c r="AH615" t="s">
        <v>12421</v>
      </c>
      <c r="AI615" t="s">
        <v>386</v>
      </c>
      <c r="AL615" t="s">
        <v>199</v>
      </c>
      <c r="AO615" t="s">
        <v>125</v>
      </c>
      <c r="AP615">
        <v>7.0</v>
      </c>
      <c r="AQ615" t="s">
        <v>4222</v>
      </c>
      <c r="AR615" t="s">
        <v>12439</v>
      </c>
      <c r="AS615" t="b">
        <v>1</v>
      </c>
      <c r="AT615" t="b">
        <v>0</v>
      </c>
      <c r="AV615">
        <v>5.0</v>
      </c>
      <c r="AW615" t="b">
        <v>1</v>
      </c>
      <c r="AX615" s="4" t="s">
        <v>130</v>
      </c>
      <c r="AY615" t="s">
        <v>1430</v>
      </c>
      <c r="AZ615" t="b">
        <v>0</v>
      </c>
      <c r="BA615" t="b">
        <v>0</v>
      </c>
      <c r="BD615" t="s">
        <v>12440</v>
      </c>
      <c r="BH615" t="s">
        <v>132</v>
      </c>
      <c r="BI615">
        <v>2.0</v>
      </c>
      <c r="BJ615" s="4" t="s">
        <v>130</v>
      </c>
      <c r="BK615">
        <v>4.0</v>
      </c>
      <c r="BL615">
        <v>7.0</v>
      </c>
      <c r="BM615" t="s">
        <v>12441</v>
      </c>
      <c r="BN615">
        <v>3.0</v>
      </c>
      <c r="BO615">
        <v>7.0</v>
      </c>
      <c r="BP615" t="s">
        <v>12442</v>
      </c>
      <c r="BQ615" t="s">
        <v>1050</v>
      </c>
      <c r="BR615" t="s">
        <v>12443</v>
      </c>
      <c r="BS615" t="s">
        <v>12444</v>
      </c>
      <c r="BU615" t="s">
        <v>12445</v>
      </c>
      <c r="BV615" s="3" t="str">
        <f>HYPERLINK("https://api.typeform.com/responses/files/8ad04f2d0761f363e6a7ee7d65e17b6e21da8ccfa3fb75fa21ba54e119f5d2dd/SPEAKHIRE_Parent.Guardian_Consent_Form__1_.pdf")</f>
        <v>https://api.typeform.com/responses/files/8ad04f2d0761f363e6a7ee7d65e17b6e21da8ccfa3fb75fa21ba54e119f5d2dd/SPEAKHIRE_Parent.Guardian_Consent_Form__1_.pdf</v>
      </c>
      <c r="BW615" t="b">
        <v>1</v>
      </c>
      <c r="BX615" t="s">
        <v>1394</v>
      </c>
      <c r="BY615" t="s">
        <v>140</v>
      </c>
      <c r="CA615" t="s">
        <v>1395</v>
      </c>
      <c r="CD615">
        <v>0.0</v>
      </c>
      <c r="CF615" t="b">
        <v>1</v>
      </c>
      <c r="CG615" t="b">
        <v>1</v>
      </c>
      <c r="CH615" t="s">
        <v>168</v>
      </c>
      <c r="CJ615" t="b">
        <v>1</v>
      </c>
      <c r="CK615" t="b">
        <v>1</v>
      </c>
      <c r="CL615" t="s">
        <v>2301</v>
      </c>
      <c r="CO615" t="s">
        <v>1248</v>
      </c>
      <c r="CR615" t="b">
        <v>1</v>
      </c>
      <c r="CT615">
        <v>1.0</v>
      </c>
      <c r="CU615">
        <v>0.0</v>
      </c>
      <c r="CX615" s="4" t="s">
        <v>8979</v>
      </c>
      <c r="CZ615" s="5">
        <v>44935.814375</v>
      </c>
      <c r="DA615" t="s">
        <v>12446</v>
      </c>
    </row>
    <row r="616">
      <c r="A616" t="s">
        <v>98</v>
      </c>
      <c r="D616" t="s">
        <v>12447</v>
      </c>
      <c r="E616" t="s">
        <v>12448</v>
      </c>
      <c r="F616" s="2">
        <v>38802.0</v>
      </c>
      <c r="G616" t="s">
        <v>1360</v>
      </c>
      <c r="I616" s="3" t="str">
        <f>HYPERLINK("https://api.typeform.com/responses/files/3327e512c602d202f2d57714d57b0038c338be8dbbdb63604bc482f6d48ad00d/2BF5476B_FD97_4CF5_8F74_7827A62A3F86.jpeg")</f>
        <v>https://api.typeform.com/responses/files/3327e512c602d202f2d57714d57b0038c338be8dbbdb63604bc482f6d48ad00d/2BF5476B_FD97_4CF5_8F74_7827A62A3F86.jpeg</v>
      </c>
      <c r="J616" t="s">
        <v>12449</v>
      </c>
      <c r="K616" t="b">
        <v>1</v>
      </c>
      <c r="L616" s="4" t="s">
        <v>12450</v>
      </c>
      <c r="M616" t="s">
        <v>12451</v>
      </c>
      <c r="N616" t="s">
        <v>255</v>
      </c>
      <c r="P616" t="s">
        <v>12452</v>
      </c>
      <c r="Q616" t="s">
        <v>189</v>
      </c>
      <c r="R616" t="s">
        <v>12453</v>
      </c>
      <c r="S616" t="s">
        <v>12451</v>
      </c>
      <c r="T616" s="4" t="s">
        <v>12454</v>
      </c>
      <c r="U616" t="s">
        <v>8313</v>
      </c>
      <c r="V616" t="s">
        <v>12455</v>
      </c>
      <c r="W616" t="s">
        <v>261</v>
      </c>
      <c r="Y616" t="s">
        <v>158</v>
      </c>
      <c r="Z616" t="s">
        <v>262</v>
      </c>
      <c r="AC616" s="3" t="str">
        <f>HYPERLINK("https://api.typeform.com/responses/files/ff936cc1aa5b7c5b35b8080288fdc1793087af6e777c4beb472a0fda13d0885c/6F496BFC_C770_4264_96BE_8F6FA39E2AD0.png")</f>
        <v>https://api.typeform.com/responses/files/ff936cc1aa5b7c5b35b8080288fdc1793087af6e777c4beb472a0fda13d0885c/6F496BFC_C770_4264_96BE_8F6FA39E2AD0.png</v>
      </c>
      <c r="AD616" t="s">
        <v>118</v>
      </c>
      <c r="AE616" t="s">
        <v>729</v>
      </c>
      <c r="AF616" t="s">
        <v>6579</v>
      </c>
      <c r="AG616">
        <v>12.0</v>
      </c>
      <c r="AH616" s="4" t="s">
        <v>2875</v>
      </c>
      <c r="AI616" t="s">
        <v>121</v>
      </c>
      <c r="AK616" t="s">
        <v>12456</v>
      </c>
      <c r="AL616" t="s">
        <v>621</v>
      </c>
      <c r="AO616" t="s">
        <v>125</v>
      </c>
      <c r="AP616">
        <v>4.0</v>
      </c>
      <c r="AQ616" t="s">
        <v>303</v>
      </c>
      <c r="AR616" t="s">
        <v>303</v>
      </c>
      <c r="AS616" t="b">
        <v>1</v>
      </c>
      <c r="AT616" t="b">
        <v>1</v>
      </c>
      <c r="AV616">
        <v>6.0</v>
      </c>
      <c r="AW616" t="b">
        <v>0</v>
      </c>
      <c r="AZ616" t="b">
        <v>0</v>
      </c>
      <c r="BA616" t="b">
        <v>1</v>
      </c>
      <c r="BB616" t="b">
        <v>0</v>
      </c>
      <c r="BC616" t="s">
        <v>12457</v>
      </c>
      <c r="BH616" t="s">
        <v>132</v>
      </c>
      <c r="BI616">
        <v>7.0</v>
      </c>
      <c r="BJ616" t="s">
        <v>205</v>
      </c>
      <c r="BK616">
        <v>4.0</v>
      </c>
      <c r="BL616">
        <v>5.0</v>
      </c>
      <c r="BM616" t="s">
        <v>12458</v>
      </c>
      <c r="BN616">
        <v>2.0</v>
      </c>
      <c r="BO616">
        <v>6.0</v>
      </c>
      <c r="BP616" t="s">
        <v>12459</v>
      </c>
      <c r="BQ616" t="s">
        <v>1050</v>
      </c>
      <c r="BR616" t="s">
        <v>12460</v>
      </c>
      <c r="BS616" t="s">
        <v>12461</v>
      </c>
      <c r="BU616" t="s">
        <v>179</v>
      </c>
      <c r="BV616" s="3" t="str">
        <f>HYPERLINK("https://api.typeform.com/responses/files/19c0d9e8b4ebd08daf4086891ce79b467d4ba4898249ba1e8015aa0775d4aab3/A70BD02D_F910_4074_996A_9B0FCAB9A9F8.jpeg")</f>
        <v>https://api.typeform.com/responses/files/19c0d9e8b4ebd08daf4086891ce79b467d4ba4898249ba1e8015aa0775d4aab3/A70BD02D_F910_4074_996A_9B0FCAB9A9F8.jpeg</v>
      </c>
      <c r="BW616" t="b">
        <v>1</v>
      </c>
      <c r="BX616" t="s">
        <v>1394</v>
      </c>
      <c r="BY616" t="s">
        <v>140</v>
      </c>
      <c r="CA616" t="s">
        <v>1395</v>
      </c>
      <c r="CD616">
        <v>0.0</v>
      </c>
      <c r="CF616" t="b">
        <v>1</v>
      </c>
      <c r="CG616" t="b">
        <v>1</v>
      </c>
      <c r="CH616" t="s">
        <v>168</v>
      </c>
      <c r="CJ616" t="b">
        <v>1</v>
      </c>
      <c r="CK616" t="b">
        <v>1</v>
      </c>
      <c r="CL616" t="s">
        <v>300</v>
      </c>
      <c r="CM616" t="s">
        <v>300</v>
      </c>
      <c r="CO616" t="s">
        <v>124</v>
      </c>
      <c r="CQ616" t="s">
        <v>300</v>
      </c>
      <c r="CR616" t="b">
        <v>1</v>
      </c>
      <c r="CT616">
        <v>0.0</v>
      </c>
      <c r="CU616">
        <v>0.0</v>
      </c>
      <c r="CX616" t="s">
        <v>5696</v>
      </c>
      <c r="CZ616" s="5">
        <v>44935.85189814815</v>
      </c>
      <c r="DA616" t="s">
        <v>12462</v>
      </c>
    </row>
    <row r="617">
      <c r="A617" t="s">
        <v>98</v>
      </c>
      <c r="D617" t="s">
        <v>182</v>
      </c>
      <c r="E617" t="s">
        <v>12463</v>
      </c>
      <c r="F617" s="2">
        <v>37830.0</v>
      </c>
      <c r="G617" t="s">
        <v>1360</v>
      </c>
      <c r="I617" s="3" t="str">
        <f>HYPERLINK("https://api.typeform.com/responses/files/35e732e96dec725773d4a57bc17a6f5dd8539cc24defb6900cf03d9d6ae141cf/Screen_Shot_2022_12_22_at_12.09.55_PM.png")</f>
        <v>https://api.typeform.com/responses/files/35e732e96dec725773d4a57bc17a6f5dd8539cc24defb6900cf03d9d6ae141cf/Screen_Shot_2022_12_22_at_12.09.55_PM.png</v>
      </c>
      <c r="J617" t="s">
        <v>12464</v>
      </c>
      <c r="K617" t="b">
        <v>1</v>
      </c>
      <c r="L617" s="4" t="s">
        <v>12465</v>
      </c>
      <c r="M617" t="s">
        <v>12466</v>
      </c>
      <c r="N617" t="s">
        <v>149</v>
      </c>
      <c r="O617" t="s">
        <v>8189</v>
      </c>
      <c r="P617" t="s">
        <v>12467</v>
      </c>
      <c r="Q617" t="s">
        <v>189</v>
      </c>
      <c r="R617" t="s">
        <v>12464</v>
      </c>
      <c r="S617" t="s">
        <v>12468</v>
      </c>
      <c r="T617" s="4" t="s">
        <v>12469</v>
      </c>
      <c r="U617" t="s">
        <v>12470</v>
      </c>
      <c r="V617" t="s">
        <v>10105</v>
      </c>
      <c r="W617" t="s">
        <v>261</v>
      </c>
      <c r="Y617" t="s">
        <v>158</v>
      </c>
      <c r="Z617" t="s">
        <v>262</v>
      </c>
      <c r="AC617" s="3" t="str">
        <f>HYPERLINK("https://api.typeform.com/responses/files/79e90f6cac1b6106b4b76554e59ce010f51e7d252a506478a41b4cf61745b397/Screen_Shot_2022_05_25_at_9.28.27_AM.png")</f>
        <v>https://api.typeform.com/responses/files/79e90f6cac1b6106b4b76554e59ce010f51e7d252a506478a41b4cf61745b397/Screen_Shot_2022_05_25_at_9.28.27_AM.png</v>
      </c>
      <c r="AD617" t="s">
        <v>118</v>
      </c>
      <c r="AE617" t="s">
        <v>3349</v>
      </c>
      <c r="AF617" t="s">
        <v>2651</v>
      </c>
      <c r="AG617">
        <v>17.0</v>
      </c>
      <c r="AH617" t="s">
        <v>3550</v>
      </c>
      <c r="AI617" t="s">
        <v>162</v>
      </c>
      <c r="AK617" t="s">
        <v>12471</v>
      </c>
      <c r="AL617" t="s">
        <v>1043</v>
      </c>
      <c r="AO617" t="s">
        <v>486</v>
      </c>
      <c r="AP617">
        <v>5.0</v>
      </c>
      <c r="AQ617" t="s">
        <v>201</v>
      </c>
      <c r="AR617" t="s">
        <v>4633</v>
      </c>
      <c r="AS617" t="b">
        <v>1</v>
      </c>
      <c r="AT617" t="b">
        <v>1</v>
      </c>
      <c r="AV617">
        <v>7.0</v>
      </c>
      <c r="AW617" t="b">
        <v>0</v>
      </c>
      <c r="AZ617" t="b">
        <v>0</v>
      </c>
      <c r="BA617" t="b">
        <v>0</v>
      </c>
      <c r="BD617" t="s">
        <v>4633</v>
      </c>
      <c r="BH617" t="s">
        <v>132</v>
      </c>
      <c r="BI617">
        <v>1.0</v>
      </c>
      <c r="BJ617" t="s">
        <v>679</v>
      </c>
      <c r="BK617">
        <v>2.0</v>
      </c>
      <c r="BL617">
        <v>3.0</v>
      </c>
      <c r="BM617" t="s">
        <v>12472</v>
      </c>
      <c r="BN617">
        <v>1.0</v>
      </c>
      <c r="BO617">
        <v>1.0</v>
      </c>
      <c r="BP617" t="s">
        <v>12473</v>
      </c>
      <c r="BQ617" t="s">
        <v>12474</v>
      </c>
      <c r="BR617" t="s">
        <v>12475</v>
      </c>
      <c r="BS617" t="s">
        <v>12476</v>
      </c>
      <c r="BU617" t="s">
        <v>606</v>
      </c>
      <c r="BV617" s="3" t="str">
        <f>HYPERLINK("https://api.typeform.com/responses/files/8960212470c9333423af1ed12fc418131ebeba410f6bacaa97100309f025dfe1/Screen_Shot_2022_05_25_at_9.28.27_AM.png")</f>
        <v>https://api.typeform.com/responses/files/8960212470c9333423af1ed12fc418131ebeba410f6bacaa97100309f025dfe1/Screen_Shot_2022_05_25_at_9.28.27_AM.png</v>
      </c>
      <c r="BW617" t="b">
        <v>1</v>
      </c>
      <c r="BX617" t="s">
        <v>1394</v>
      </c>
      <c r="BY617" t="s">
        <v>140</v>
      </c>
      <c r="CA617" t="s">
        <v>1395</v>
      </c>
      <c r="CD617">
        <v>0.0</v>
      </c>
      <c r="CF617" t="b">
        <v>1</v>
      </c>
      <c r="CG617" t="b">
        <v>0</v>
      </c>
      <c r="CH617" t="s">
        <v>1935</v>
      </c>
      <c r="CJ617" t="b">
        <v>1</v>
      </c>
      <c r="CK617" t="b">
        <v>0</v>
      </c>
      <c r="CL617" t="s">
        <v>387</v>
      </c>
      <c r="CM617" t="s">
        <v>387</v>
      </c>
      <c r="CO617" t="s">
        <v>2888</v>
      </c>
      <c r="CQ617" t="s">
        <v>541</v>
      </c>
      <c r="CR617" t="b">
        <v>1</v>
      </c>
      <c r="CT617">
        <v>0.0</v>
      </c>
      <c r="CU617">
        <v>0.0</v>
      </c>
      <c r="CX617" s="4" t="s">
        <v>12477</v>
      </c>
      <c r="CZ617" s="5">
        <v>44935.85947916667</v>
      </c>
      <c r="DA617" t="s">
        <v>12478</v>
      </c>
    </row>
    <row r="618">
      <c r="A618" t="s">
        <v>98</v>
      </c>
      <c r="D618" t="s">
        <v>5043</v>
      </c>
      <c r="E618" t="s">
        <v>12479</v>
      </c>
      <c r="F618" s="2">
        <v>38380.0</v>
      </c>
      <c r="G618" t="s">
        <v>1466</v>
      </c>
      <c r="I618" s="3" t="str">
        <f>HYPERLINK("https://api.typeform.com/responses/files/5ba8f6ce458cb78fb9b4c143e3ee5a1d97c918df9d58ff7e9cfe28a66323745f/A0B5657D_C695_45D3_BF3F_B0CD44DFD136.jpeg")</f>
        <v>https://api.typeform.com/responses/files/5ba8f6ce458cb78fb9b4c143e3ee5a1d97c918df9d58ff7e9cfe28a66323745f/A0B5657D_C695_45D3_BF3F_B0CD44DFD136.jpeg</v>
      </c>
      <c r="J618" t="s">
        <v>12480</v>
      </c>
      <c r="K618" t="b">
        <v>1</v>
      </c>
      <c r="L618" s="4" t="s">
        <v>12481</v>
      </c>
      <c r="M618" t="s">
        <v>12482</v>
      </c>
      <c r="N618" t="s">
        <v>149</v>
      </c>
      <c r="P618" t="s">
        <v>12483</v>
      </c>
      <c r="Q618" t="s">
        <v>189</v>
      </c>
      <c r="R618" t="s">
        <v>12484</v>
      </c>
      <c r="S618" t="s">
        <v>12485</v>
      </c>
      <c r="T618" s="4" t="s">
        <v>12486</v>
      </c>
      <c r="U618" t="s">
        <v>12487</v>
      </c>
      <c r="V618" t="s">
        <v>7401</v>
      </c>
      <c r="W618" t="s">
        <v>261</v>
      </c>
      <c r="Y618" t="s">
        <v>158</v>
      </c>
      <c r="Z618" t="s">
        <v>262</v>
      </c>
      <c r="AC618" s="3" t="str">
        <f>HYPERLINK("https://api.typeform.com/responses/files/80d250b71f015f2b5fc812e30723b3dd5ca473a75ddeb7579db51787dad7a05b/A0B5657D_C695_45D3_BF3F_B0CD44DFD136.jpeg")</f>
        <v>https://api.typeform.com/responses/files/80d250b71f015f2b5fc812e30723b3dd5ca473a75ddeb7579db51787dad7a05b/A0B5657D_C695_45D3_BF3F_B0CD44DFD136.jpeg</v>
      </c>
      <c r="AD618" t="s">
        <v>118</v>
      </c>
      <c r="AE618" t="s">
        <v>729</v>
      </c>
      <c r="AF618" t="s">
        <v>2651</v>
      </c>
      <c r="AG618">
        <v>16.0</v>
      </c>
      <c r="AH618" t="s">
        <v>3623</v>
      </c>
      <c r="AI618" t="s">
        <v>386</v>
      </c>
      <c r="AK618" t="s">
        <v>7289</v>
      </c>
      <c r="AL618" t="s">
        <v>1043</v>
      </c>
      <c r="AO618" t="s">
        <v>335</v>
      </c>
      <c r="AP618">
        <v>7.0</v>
      </c>
      <c r="AQ618" t="s">
        <v>4222</v>
      </c>
      <c r="AR618" t="s">
        <v>678</v>
      </c>
      <c r="AS618" t="b">
        <v>1</v>
      </c>
      <c r="AT618" t="b">
        <v>0</v>
      </c>
      <c r="AV618">
        <v>4.0</v>
      </c>
      <c r="AW618" t="b">
        <v>0</v>
      </c>
      <c r="AZ618" t="b">
        <v>0</v>
      </c>
      <c r="BA618" t="b">
        <v>1</v>
      </c>
      <c r="BB618" t="b">
        <v>0</v>
      </c>
      <c r="BC618" t="s">
        <v>12488</v>
      </c>
      <c r="BH618" t="s">
        <v>132</v>
      </c>
      <c r="BI618">
        <v>3.0</v>
      </c>
      <c r="BJ618" t="s">
        <v>12489</v>
      </c>
      <c r="BK618">
        <v>3.0</v>
      </c>
      <c r="BL618">
        <v>4.0</v>
      </c>
      <c r="BM618" t="s">
        <v>12490</v>
      </c>
      <c r="BN618">
        <v>4.0</v>
      </c>
      <c r="BO618">
        <v>5.0</v>
      </c>
      <c r="BP618" t="s">
        <v>12491</v>
      </c>
      <c r="BQ618" t="s">
        <v>1205</v>
      </c>
      <c r="BR618" t="s">
        <v>12492</v>
      </c>
      <c r="BS618" t="s">
        <v>12493</v>
      </c>
      <c r="BU618" t="s">
        <v>12494</v>
      </c>
      <c r="BV618" s="3" t="str">
        <f>HYPERLINK("https://api.typeform.com/responses/files/2eaa9a74e5b4d6713b7423d16ac3fbe96facb35e01867f840d6525a88faf172e/A0B5657D_C695_45D3_BF3F_B0CD44DFD136.jpeg")</f>
        <v>https://api.typeform.com/responses/files/2eaa9a74e5b4d6713b7423d16ac3fbe96facb35e01867f840d6525a88faf172e/A0B5657D_C695_45D3_BF3F_B0CD44DFD136.jpeg</v>
      </c>
      <c r="BW618" t="b">
        <v>1</v>
      </c>
      <c r="BX618" t="s">
        <v>1394</v>
      </c>
      <c r="BY618" t="s">
        <v>140</v>
      </c>
      <c r="CA618" t="s">
        <v>1395</v>
      </c>
      <c r="CD618">
        <v>0.0</v>
      </c>
      <c r="CF618" t="b">
        <v>0</v>
      </c>
      <c r="CG618" t="b">
        <v>1</v>
      </c>
      <c r="CH618" t="s">
        <v>2553</v>
      </c>
      <c r="CJ618" t="b">
        <v>1</v>
      </c>
      <c r="CK618" t="b">
        <v>1</v>
      </c>
      <c r="CL618" t="s">
        <v>2301</v>
      </c>
      <c r="CO618" t="s">
        <v>200</v>
      </c>
      <c r="CR618" t="b">
        <v>1</v>
      </c>
      <c r="CT618">
        <v>0.0</v>
      </c>
      <c r="CU618">
        <v>0.0</v>
      </c>
      <c r="CX618" t="s">
        <v>679</v>
      </c>
      <c r="CZ618" s="5">
        <v>44935.85975694445</v>
      </c>
      <c r="DA618" t="s">
        <v>12495</v>
      </c>
    </row>
    <row r="619">
      <c r="A619" t="s">
        <v>98</v>
      </c>
      <c r="D619" t="s">
        <v>1535</v>
      </c>
      <c r="E619" t="s">
        <v>3736</v>
      </c>
      <c r="F619" s="2">
        <v>38954.0</v>
      </c>
      <c r="G619" t="s">
        <v>1360</v>
      </c>
      <c r="I619" s="3" t="str">
        <f>HYPERLINK("https://api.typeform.com/responses/files/ca479c33ee981cb88e6488e979a8b4d820782d05d95082819917574f7883375c/Screen_Shot_2022_05_24_at_10.30.28_AM.png")</f>
        <v>https://api.typeform.com/responses/files/ca479c33ee981cb88e6488e979a8b4d820782d05d95082819917574f7883375c/Screen_Shot_2022_05_24_at_10.30.28_AM.png</v>
      </c>
      <c r="J619" t="s">
        <v>12496</v>
      </c>
      <c r="K619" t="b">
        <v>1</v>
      </c>
      <c r="L619" s="4" t="s">
        <v>12497</v>
      </c>
      <c r="M619" t="s">
        <v>12498</v>
      </c>
      <c r="N619" t="s">
        <v>149</v>
      </c>
      <c r="P619" t="s">
        <v>12499</v>
      </c>
      <c r="Q619" t="s">
        <v>189</v>
      </c>
      <c r="R619" t="s">
        <v>12500</v>
      </c>
      <c r="S619" t="s">
        <v>12498</v>
      </c>
      <c r="T619" s="4" t="s">
        <v>12501</v>
      </c>
      <c r="U619" t="s">
        <v>8273</v>
      </c>
      <c r="V619" t="s">
        <v>10162</v>
      </c>
      <c r="W619" t="s">
        <v>261</v>
      </c>
      <c r="Y619" t="s">
        <v>158</v>
      </c>
      <c r="Z619" t="s">
        <v>262</v>
      </c>
      <c r="AC619" s="3" t="str">
        <f>HYPERLINK("https://api.typeform.com/responses/files/96171a9a58c907b68d897e0d61283f1e4b1fe0a16273cf33c0d2d78fd9666af6/Screen_Shot_2022_05_24_at_10.29.57_AM.png")</f>
        <v>https://api.typeform.com/responses/files/96171a9a58c907b68d897e0d61283f1e4b1fe0a16273cf33c0d2d78fd9666af6/Screen_Shot_2022_05_24_at_10.29.57_AM.png</v>
      </c>
      <c r="AD619" t="s">
        <v>118</v>
      </c>
      <c r="AE619" t="s">
        <v>729</v>
      </c>
      <c r="AF619" t="s">
        <v>4374</v>
      </c>
      <c r="AG619">
        <v>12.0</v>
      </c>
      <c r="AH619" s="4" t="s">
        <v>734</v>
      </c>
      <c r="AI619" t="s">
        <v>205</v>
      </c>
      <c r="AL619" t="s">
        <v>9598</v>
      </c>
      <c r="AO619" t="s">
        <v>335</v>
      </c>
      <c r="AP619">
        <v>6.0</v>
      </c>
      <c r="AQ619" t="s">
        <v>6146</v>
      </c>
      <c r="AR619" t="s">
        <v>8317</v>
      </c>
      <c r="AS619" t="b">
        <v>1</v>
      </c>
      <c r="AT619" t="b">
        <v>0</v>
      </c>
      <c r="AV619">
        <v>4.0</v>
      </c>
      <c r="AW619" t="b">
        <v>0</v>
      </c>
      <c r="AZ619" t="b">
        <v>0</v>
      </c>
      <c r="BA619" t="b">
        <v>0</v>
      </c>
      <c r="BD619" t="s">
        <v>12502</v>
      </c>
      <c r="BH619" t="s">
        <v>132</v>
      </c>
      <c r="BI619">
        <v>4.0</v>
      </c>
      <c r="BJ619" t="s">
        <v>12503</v>
      </c>
      <c r="BK619">
        <v>4.0</v>
      </c>
      <c r="BL619">
        <v>5.0</v>
      </c>
      <c r="BM619" t="s">
        <v>12504</v>
      </c>
      <c r="BN619">
        <v>7.0</v>
      </c>
      <c r="BO619">
        <v>7.0</v>
      </c>
      <c r="BP619" t="s">
        <v>12505</v>
      </c>
      <c r="BQ619" t="s">
        <v>12506</v>
      </c>
      <c r="BR619" t="s">
        <v>12507</v>
      </c>
      <c r="BS619" t="s">
        <v>12508</v>
      </c>
      <c r="BU619" t="s">
        <v>12509</v>
      </c>
      <c r="BV619" s="3" t="str">
        <f>HYPERLINK("https://api.typeform.com/responses/files/8d1649a17ad966587f32d77804618f24394afdfc86d211c2135271fe4429e2ca/Screen_Shot_2022_05_24_at_10.29.57_AM.png")</f>
        <v>https://api.typeform.com/responses/files/8d1649a17ad966587f32d77804618f24394afdfc86d211c2135271fe4429e2ca/Screen_Shot_2022_05_24_at_10.29.57_AM.png</v>
      </c>
      <c r="BW619" t="b">
        <v>1</v>
      </c>
      <c r="BX619" t="s">
        <v>1394</v>
      </c>
      <c r="BY619" t="s">
        <v>140</v>
      </c>
      <c r="CA619" t="s">
        <v>1395</v>
      </c>
      <c r="CD619">
        <v>0.0</v>
      </c>
      <c r="CF619" t="b">
        <v>1</v>
      </c>
      <c r="CG619" t="b">
        <v>1</v>
      </c>
      <c r="CH619" t="s">
        <v>12510</v>
      </c>
      <c r="CJ619" t="b">
        <v>0</v>
      </c>
      <c r="CK619" t="b">
        <v>0</v>
      </c>
      <c r="CL619" t="s">
        <v>541</v>
      </c>
      <c r="CM619" t="s">
        <v>541</v>
      </c>
      <c r="CO619" t="s">
        <v>388</v>
      </c>
      <c r="CR619" t="b">
        <v>1</v>
      </c>
      <c r="CT619">
        <v>0.0</v>
      </c>
      <c r="CU619">
        <v>0.0</v>
      </c>
      <c r="CX619" s="4" t="s">
        <v>5699</v>
      </c>
      <c r="CZ619" s="5">
        <v>44935.86258101852</v>
      </c>
      <c r="DA619" t="s">
        <v>12511</v>
      </c>
    </row>
    <row r="620">
      <c r="A620" t="s">
        <v>98</v>
      </c>
      <c r="D620" t="s">
        <v>12512</v>
      </c>
      <c r="E620" t="s">
        <v>12513</v>
      </c>
      <c r="F620" s="2">
        <v>39529.0</v>
      </c>
      <c r="G620" t="s">
        <v>1360</v>
      </c>
      <c r="I620" s="3" t="str">
        <f>HYPERLINK("https://api.typeform.com/responses/files/9a9770a64b09eaf37eca67b77133bb524fdc218c9d9b261029f830af19412983/unnamed.jpg")</f>
        <v>https://api.typeform.com/responses/files/9a9770a64b09eaf37eca67b77133bb524fdc218c9d9b261029f830af19412983/unnamed.jpg</v>
      </c>
      <c r="J620" t="s">
        <v>12514</v>
      </c>
      <c r="K620" t="b">
        <v>1</v>
      </c>
      <c r="L620" s="4" t="s">
        <v>12515</v>
      </c>
      <c r="M620" t="s">
        <v>12516</v>
      </c>
      <c r="N620" t="s">
        <v>149</v>
      </c>
      <c r="P620" t="s">
        <v>12517</v>
      </c>
      <c r="Q620" t="s">
        <v>189</v>
      </c>
      <c r="R620" t="s">
        <v>12518</v>
      </c>
      <c r="S620" t="s">
        <v>12519</v>
      </c>
      <c r="T620" s="4" t="s">
        <v>12515</v>
      </c>
      <c r="U620" t="s">
        <v>1039</v>
      </c>
      <c r="V620" t="s">
        <v>4106</v>
      </c>
      <c r="W620" t="s">
        <v>113</v>
      </c>
      <c r="Y620" t="s">
        <v>158</v>
      </c>
      <c r="Z620" t="s">
        <v>384</v>
      </c>
      <c r="AC620" s="3" t="str">
        <f>HYPERLINK("https://api.typeform.com/responses/files/017e2b6c62a456611ba42af97309ee2a29dd82a8c26dfecd68f6092a2c0eb732/Report_for_Taliana_Valencia_2023_01_10_15_20.pdf")</f>
        <v>https://api.typeform.com/responses/files/017e2b6c62a456611ba42af97309ee2a29dd82a8c26dfecd68f6092a2c0eb732/Report_for_Taliana_Valencia_2023_01_10_15_20.pdf</v>
      </c>
      <c r="AD620" t="s">
        <v>118</v>
      </c>
      <c r="AE620" t="s">
        <v>729</v>
      </c>
      <c r="AF620" t="s">
        <v>4576</v>
      </c>
      <c r="AG620">
        <v>14.0</v>
      </c>
      <c r="AH620" t="s">
        <v>12520</v>
      </c>
      <c r="AI620" t="s">
        <v>386</v>
      </c>
      <c r="AL620" t="s">
        <v>1043</v>
      </c>
      <c r="AO620" t="s">
        <v>125</v>
      </c>
      <c r="AP620">
        <v>5.0</v>
      </c>
      <c r="AQ620" t="s">
        <v>1520</v>
      </c>
      <c r="AR620" t="s">
        <v>8386</v>
      </c>
      <c r="AS620" t="b">
        <v>1</v>
      </c>
      <c r="AT620" t="b">
        <v>0</v>
      </c>
      <c r="AV620">
        <v>5.0</v>
      </c>
      <c r="AW620" t="b">
        <v>0</v>
      </c>
      <c r="AZ620" t="b">
        <v>1</v>
      </c>
      <c r="BA620" t="b">
        <v>0</v>
      </c>
      <c r="BD620" t="s">
        <v>12521</v>
      </c>
      <c r="BH620" t="s">
        <v>132</v>
      </c>
      <c r="BI620">
        <v>2.0</v>
      </c>
      <c r="BJ620" s="4" t="s">
        <v>130</v>
      </c>
      <c r="BK620">
        <v>5.0</v>
      </c>
      <c r="BL620">
        <v>6.0</v>
      </c>
      <c r="BM620" t="s">
        <v>12522</v>
      </c>
      <c r="BN620">
        <v>5.0</v>
      </c>
      <c r="BO620">
        <v>5.0</v>
      </c>
      <c r="BP620" t="s">
        <v>12523</v>
      </c>
      <c r="BQ620" t="s">
        <v>626</v>
      </c>
      <c r="BR620" t="s">
        <v>12524</v>
      </c>
      <c r="BS620" t="s">
        <v>12525</v>
      </c>
      <c r="BU620" t="s">
        <v>12526</v>
      </c>
      <c r="BV620" s="3" t="str">
        <f>HYPERLINK("https://api.typeform.com/responses/files/83f7033c8bb6c896fda76fe1457b7ff324bc87e8303ded9e7bfdb56bbe699389/SPEAKHIRE_Parent.Guardian_Consent_Form__1_.pdf")</f>
        <v>https://api.typeform.com/responses/files/83f7033c8bb6c896fda76fe1457b7ff324bc87e8303ded9e7bfdb56bbe699389/SPEAKHIRE_Parent.Guardian_Consent_Form__1_.pdf</v>
      </c>
      <c r="BW620" t="b">
        <v>1</v>
      </c>
      <c r="BX620" t="s">
        <v>1394</v>
      </c>
      <c r="BY620" t="s">
        <v>140</v>
      </c>
      <c r="CA620" t="s">
        <v>1395</v>
      </c>
      <c r="CD620">
        <v>0.0</v>
      </c>
      <c r="CF620" t="b">
        <v>1</v>
      </c>
      <c r="CG620" t="b">
        <v>1</v>
      </c>
      <c r="CH620" t="s">
        <v>1935</v>
      </c>
      <c r="CJ620" t="b">
        <v>1</v>
      </c>
      <c r="CK620" t="b">
        <v>1</v>
      </c>
      <c r="CL620" t="s">
        <v>2301</v>
      </c>
      <c r="CO620" t="s">
        <v>2888</v>
      </c>
      <c r="CR620" t="b">
        <v>1</v>
      </c>
      <c r="CT620">
        <v>1.0</v>
      </c>
      <c r="CU620">
        <v>0.0</v>
      </c>
      <c r="CX620" s="4" t="s">
        <v>1453</v>
      </c>
      <c r="CZ620" s="5">
        <v>44936.672002314815</v>
      </c>
      <c r="DA620" t="s">
        <v>12527</v>
      </c>
    </row>
    <row r="621">
      <c r="A621" t="s">
        <v>98</v>
      </c>
      <c r="D621" t="s">
        <v>12528</v>
      </c>
      <c r="E621" t="s">
        <v>4274</v>
      </c>
      <c r="F621" s="2">
        <v>38805.0</v>
      </c>
      <c r="G621" t="s">
        <v>1360</v>
      </c>
      <c r="I621" s="3" t="str">
        <f>HYPERLINK("https://api.typeform.com/responses/files/5de8b78ddbcb1e7927872f6188be4d3f485b48d1a9afbbf45dc80e53669f8c6f/unnamed.jpg")</f>
        <v>https://api.typeform.com/responses/files/5de8b78ddbcb1e7927872f6188be4d3f485b48d1a9afbbf45dc80e53669f8c6f/unnamed.jpg</v>
      </c>
      <c r="J621" t="s">
        <v>12529</v>
      </c>
      <c r="K621" t="b">
        <v>1</v>
      </c>
      <c r="L621" s="4" t="s">
        <v>12530</v>
      </c>
      <c r="M621" t="s">
        <v>12531</v>
      </c>
      <c r="N621" t="s">
        <v>149</v>
      </c>
      <c r="P621" t="s">
        <v>12532</v>
      </c>
      <c r="Q621" t="s">
        <v>292</v>
      </c>
      <c r="R621" t="s">
        <v>12533</v>
      </c>
      <c r="S621" t="s">
        <v>12534</v>
      </c>
      <c r="T621" s="4" t="s">
        <v>12530</v>
      </c>
      <c r="U621" t="s">
        <v>933</v>
      </c>
      <c r="V621" t="s">
        <v>4303</v>
      </c>
      <c r="W621" t="s">
        <v>113</v>
      </c>
      <c r="Y621" t="s">
        <v>158</v>
      </c>
      <c r="Z621" t="s">
        <v>195</v>
      </c>
      <c r="AC621" s="3" t="str">
        <f>HYPERLINK("https://api.typeform.com/responses/files/2e5815d8cd0c720027390e543a2c5a422612fcce51b44e23ecc45fdb241e1550/Report_for_Emily_Tavarez_Cepedes_2023_01_10_15_21.pdf")</f>
        <v>https://api.typeform.com/responses/files/2e5815d8cd0c720027390e543a2c5a422612fcce51b44e23ecc45fdb241e1550/Report_for_Emily_Tavarez_Cepedes_2023_01_10_15_21.pdf</v>
      </c>
      <c r="AD621" t="s">
        <v>118</v>
      </c>
      <c r="AE621" t="s">
        <v>729</v>
      </c>
      <c r="AF621" t="s">
        <v>197</v>
      </c>
      <c r="AG621">
        <v>16.0</v>
      </c>
      <c r="AH621" t="s">
        <v>12535</v>
      </c>
      <c r="AI621" t="s">
        <v>162</v>
      </c>
      <c r="AL621" t="s">
        <v>199</v>
      </c>
      <c r="AO621" t="s">
        <v>125</v>
      </c>
      <c r="AP621">
        <v>6.0</v>
      </c>
      <c r="AQ621" t="s">
        <v>1520</v>
      </c>
      <c r="AR621" t="s">
        <v>12536</v>
      </c>
      <c r="AS621" t="b">
        <v>0</v>
      </c>
      <c r="AV621">
        <v>5.0</v>
      </c>
      <c r="AW621" t="b">
        <v>1</v>
      </c>
      <c r="AX621" t="s">
        <v>1902</v>
      </c>
      <c r="AY621" s="4" t="s">
        <v>518</v>
      </c>
      <c r="AZ621" t="b">
        <v>1</v>
      </c>
      <c r="BA621" t="b">
        <v>1</v>
      </c>
      <c r="BB621" t="b">
        <v>0</v>
      </c>
      <c r="BC621" t="s">
        <v>12537</v>
      </c>
      <c r="BH621" t="s">
        <v>132</v>
      </c>
      <c r="BI621">
        <v>2.0</v>
      </c>
      <c r="BJ621" s="4" t="s">
        <v>130</v>
      </c>
      <c r="BK621">
        <v>6.0</v>
      </c>
      <c r="BL621">
        <v>6.0</v>
      </c>
      <c r="BM621" t="s">
        <v>12538</v>
      </c>
      <c r="BN621">
        <v>4.0</v>
      </c>
      <c r="BO621">
        <v>7.0</v>
      </c>
      <c r="BP621" t="s">
        <v>12539</v>
      </c>
      <c r="BQ621" t="s">
        <v>3728</v>
      </c>
      <c r="BR621" t="s">
        <v>12540</v>
      </c>
      <c r="BS621" t="s">
        <v>12541</v>
      </c>
      <c r="BU621" t="s">
        <v>12542</v>
      </c>
      <c r="BV621" s="3" t="str">
        <f>HYPERLINK("https://api.typeform.com/responses/files/24509a57b6367ef7e278a8657596d678af660910f581037b8e840e22c6841eb0/SPEAKHIRE_Parent.Guardian_Consent_Form__1_.pdf")</f>
        <v>https://api.typeform.com/responses/files/24509a57b6367ef7e278a8657596d678af660910f581037b8e840e22c6841eb0/SPEAKHIRE_Parent.Guardian_Consent_Form__1_.pdf</v>
      </c>
      <c r="BW621" t="b">
        <v>1</v>
      </c>
      <c r="BX621" t="s">
        <v>1394</v>
      </c>
      <c r="BY621" t="s">
        <v>140</v>
      </c>
      <c r="CA621" t="s">
        <v>1395</v>
      </c>
      <c r="CD621">
        <v>0.0</v>
      </c>
      <c r="CF621" t="b">
        <v>1</v>
      </c>
      <c r="CG621" t="b">
        <v>1</v>
      </c>
      <c r="CH621" t="s">
        <v>168</v>
      </c>
      <c r="CJ621" t="b">
        <v>1</v>
      </c>
      <c r="CK621" t="b">
        <v>1</v>
      </c>
      <c r="CL621" t="s">
        <v>387</v>
      </c>
      <c r="CO621" t="s">
        <v>200</v>
      </c>
      <c r="CR621" t="b">
        <v>1</v>
      </c>
      <c r="CT621">
        <v>0.0</v>
      </c>
      <c r="CU621">
        <v>1.0</v>
      </c>
      <c r="CX621" s="4" t="s">
        <v>12543</v>
      </c>
      <c r="CZ621" s="5">
        <v>44936.67376157407</v>
      </c>
      <c r="DA621" t="s">
        <v>12544</v>
      </c>
    </row>
    <row r="622">
      <c r="A622" t="s">
        <v>98</v>
      </c>
      <c r="D622" t="s">
        <v>12545</v>
      </c>
      <c r="E622" t="s">
        <v>5155</v>
      </c>
      <c r="F622" s="2">
        <v>39028.0</v>
      </c>
      <c r="G622" t="s">
        <v>1360</v>
      </c>
      <c r="I622" s="3" t="str">
        <f>HYPERLINK("https://api.typeform.com/responses/files/560d68546762f05e21022a673f61b77b6fae79b7019e48c2e80d6c29855d86f3/587137E3_2385_4B10_B271_BA1EB7D58D36.png")</f>
        <v>https://api.typeform.com/responses/files/560d68546762f05e21022a673f61b77b6fae79b7019e48c2e80d6c29855d86f3/587137E3_2385_4B10_B271_BA1EB7D58D36.png</v>
      </c>
      <c r="J622" t="s">
        <v>12546</v>
      </c>
      <c r="K622" t="b">
        <v>1</v>
      </c>
      <c r="L622" s="4" t="s">
        <v>12547</v>
      </c>
      <c r="M622" t="s">
        <v>12548</v>
      </c>
      <c r="N622" t="s">
        <v>149</v>
      </c>
      <c r="P622" t="s">
        <v>12549</v>
      </c>
      <c r="Q622" t="s">
        <v>152</v>
      </c>
      <c r="R622" t="s">
        <v>12550</v>
      </c>
      <c r="S622" s="4" t="s">
        <v>12551</v>
      </c>
      <c r="T622" s="4" t="s">
        <v>12552</v>
      </c>
      <c r="U622" t="s">
        <v>12553</v>
      </c>
      <c r="V622" t="s">
        <v>12554</v>
      </c>
      <c r="W622" t="s">
        <v>261</v>
      </c>
      <c r="Y622" t="s">
        <v>158</v>
      </c>
      <c r="Z622" t="s">
        <v>262</v>
      </c>
      <c r="AC622" s="3" t="str">
        <f>HYPERLINK("https://api.typeform.com/responses/files/d02db003916ad63397c08849e2e2e18850e2c87ca785888afd12b3ffdeedfd60/0C57A5B6_06C1_4DDE_BAF0_70AD226B9043.png")</f>
        <v>https://api.typeform.com/responses/files/d02db003916ad63397c08849e2e2e18850e2c87ca785888afd12b3ffdeedfd60/0C57A5B6_06C1_4DDE_BAF0_70AD226B9043.png</v>
      </c>
      <c r="AD622" t="s">
        <v>118</v>
      </c>
      <c r="AE622" t="s">
        <v>729</v>
      </c>
      <c r="AF622" t="s">
        <v>197</v>
      </c>
      <c r="AG622">
        <v>13.0</v>
      </c>
      <c r="AH622" s="4" t="s">
        <v>130</v>
      </c>
      <c r="AI622" t="s">
        <v>162</v>
      </c>
      <c r="AK622" t="s">
        <v>4241</v>
      </c>
      <c r="AL622" t="s">
        <v>199</v>
      </c>
      <c r="AO622" t="s">
        <v>335</v>
      </c>
      <c r="AP622">
        <v>6.0</v>
      </c>
      <c r="AQ622" t="s">
        <v>1070</v>
      </c>
      <c r="AR622" t="s">
        <v>1829</v>
      </c>
      <c r="AS622" t="b">
        <v>1</v>
      </c>
      <c r="AT622" t="b">
        <v>0</v>
      </c>
      <c r="AV622">
        <v>6.0</v>
      </c>
      <c r="AW622" t="b">
        <v>0</v>
      </c>
      <c r="AZ622" t="b">
        <v>0</v>
      </c>
      <c r="BA622" t="b">
        <v>0</v>
      </c>
      <c r="BD622" t="s">
        <v>1829</v>
      </c>
      <c r="BH622" t="s">
        <v>132</v>
      </c>
      <c r="BI622">
        <v>7.0</v>
      </c>
      <c r="BJ622" t="s">
        <v>12555</v>
      </c>
      <c r="BK622">
        <v>4.0</v>
      </c>
      <c r="BL622">
        <v>5.0</v>
      </c>
      <c r="BM622" t="s">
        <v>5696</v>
      </c>
      <c r="BN622">
        <v>5.0</v>
      </c>
      <c r="BO622">
        <v>5.0</v>
      </c>
      <c r="BP622" t="s">
        <v>12556</v>
      </c>
      <c r="BQ622" t="s">
        <v>6363</v>
      </c>
      <c r="BR622" t="s">
        <v>12557</v>
      </c>
      <c r="BS622" t="s">
        <v>5696</v>
      </c>
      <c r="BU622" t="s">
        <v>12558</v>
      </c>
      <c r="BV622" s="3" t="str">
        <f>HYPERLINK("https://api.typeform.com/responses/files/373435e22b3f07bec25dc88fd74106dcfb7d300f827f3549537728302fcddff7/1E2458F4_56C6_4BB4_A4D5_4999A3180F4B.png")</f>
        <v>https://api.typeform.com/responses/files/373435e22b3f07bec25dc88fd74106dcfb7d300f827f3549537728302fcddff7/1E2458F4_56C6_4BB4_A4D5_4999A3180F4B.png</v>
      </c>
      <c r="BW622" t="b">
        <v>1</v>
      </c>
      <c r="BX622" t="s">
        <v>1394</v>
      </c>
      <c r="BY622" t="s">
        <v>140</v>
      </c>
      <c r="CA622" t="s">
        <v>1395</v>
      </c>
      <c r="CD622">
        <v>0.0</v>
      </c>
      <c r="CF622" t="b">
        <v>0</v>
      </c>
      <c r="CG622" t="b">
        <v>0</v>
      </c>
      <c r="CH622" t="s">
        <v>1420</v>
      </c>
      <c r="CJ622" t="b">
        <v>1</v>
      </c>
      <c r="CK622" t="b">
        <v>0</v>
      </c>
      <c r="CL622" t="s">
        <v>198</v>
      </c>
      <c r="CO622" t="s">
        <v>200</v>
      </c>
      <c r="CR622" t="b">
        <v>1</v>
      </c>
      <c r="CT622">
        <v>0.0</v>
      </c>
      <c r="CU622">
        <v>2.0</v>
      </c>
      <c r="CX622" s="4" t="s">
        <v>941</v>
      </c>
      <c r="CZ622" s="5">
        <v>44938.844814814816</v>
      </c>
      <c r="DA622" t="s">
        <v>12559</v>
      </c>
    </row>
    <row r="623">
      <c r="A623" t="s">
        <v>98</v>
      </c>
      <c r="D623" t="s">
        <v>12560</v>
      </c>
      <c r="E623" t="s">
        <v>3736</v>
      </c>
      <c r="F623" s="2">
        <v>38661.0</v>
      </c>
      <c r="G623" t="s">
        <v>1466</v>
      </c>
      <c r="I623" s="3" t="str">
        <f>HYPERLINK("https://api.typeform.com/responses/files/bf85e9da52b0793d63ca2b17d287f6d774daf4bfb412e4e09e40dd8e6d0081d6/unnamed.jpeg")</f>
        <v>https://api.typeform.com/responses/files/bf85e9da52b0793d63ca2b17d287f6d774daf4bfb412e4e09e40dd8e6d0081d6/unnamed.jpeg</v>
      </c>
      <c r="J623" t="s">
        <v>12561</v>
      </c>
      <c r="K623" t="b">
        <v>1</v>
      </c>
      <c r="L623" s="4" t="s">
        <v>12562</v>
      </c>
      <c r="M623" t="s">
        <v>12563</v>
      </c>
      <c r="N623" t="s">
        <v>255</v>
      </c>
      <c r="O623" t="s">
        <v>990</v>
      </c>
      <c r="P623" t="s">
        <v>12564</v>
      </c>
      <c r="Q623" t="s">
        <v>189</v>
      </c>
      <c r="R623" t="s">
        <v>12565</v>
      </c>
      <c r="S623" t="s">
        <v>12563</v>
      </c>
      <c r="T623" s="4" t="s">
        <v>12566</v>
      </c>
      <c r="U623" t="s">
        <v>8273</v>
      </c>
      <c r="V623" t="s">
        <v>12567</v>
      </c>
      <c r="W623" t="s">
        <v>261</v>
      </c>
      <c r="Y623" t="s">
        <v>158</v>
      </c>
      <c r="Z623" t="s">
        <v>262</v>
      </c>
      <c r="AC623" s="3" t="str">
        <f>HYPERLINK("https://api.typeform.com/responses/files/c3dff68354ae1e3af7626a08d2f1fad1f1a64fe25af31a6327ffb73647cc23f5/unnamed.jpeg")</f>
        <v>https://api.typeform.com/responses/files/c3dff68354ae1e3af7626a08d2f1fad1f1a64fe25af31a6327ffb73647cc23f5/unnamed.jpeg</v>
      </c>
      <c r="AD623" t="s">
        <v>118</v>
      </c>
      <c r="AE623" t="s">
        <v>729</v>
      </c>
      <c r="AF623" t="s">
        <v>2651</v>
      </c>
      <c r="AG623">
        <v>15.0</v>
      </c>
      <c r="AH623" s="4" t="s">
        <v>339</v>
      </c>
      <c r="AI623" t="s">
        <v>205</v>
      </c>
      <c r="AL623" t="s">
        <v>967</v>
      </c>
      <c r="AO623" t="s">
        <v>1479</v>
      </c>
      <c r="AP623">
        <v>4.0</v>
      </c>
      <c r="AQ623" t="s">
        <v>4222</v>
      </c>
      <c r="AR623" t="s">
        <v>678</v>
      </c>
      <c r="AS623" t="b">
        <v>1</v>
      </c>
      <c r="AT623" t="b">
        <v>0</v>
      </c>
      <c r="AV623">
        <v>6.0</v>
      </c>
      <c r="AW623" t="b">
        <v>0</v>
      </c>
      <c r="AZ623" t="b">
        <v>0</v>
      </c>
      <c r="BA623" t="b">
        <v>0</v>
      </c>
      <c r="BD623" t="s">
        <v>12568</v>
      </c>
      <c r="BH623" t="s">
        <v>132</v>
      </c>
      <c r="BI623">
        <v>4.0</v>
      </c>
      <c r="BJ623" t="s">
        <v>5023</v>
      </c>
      <c r="BK623">
        <v>4.0</v>
      </c>
      <c r="BL623">
        <v>6.0</v>
      </c>
      <c r="BM623" t="s">
        <v>4180</v>
      </c>
      <c r="BN623">
        <v>6.0</v>
      </c>
      <c r="BO623">
        <v>6.0</v>
      </c>
      <c r="BP623" t="s">
        <v>5538</v>
      </c>
      <c r="BQ623" t="s">
        <v>1391</v>
      </c>
      <c r="BR623" t="s">
        <v>12569</v>
      </c>
      <c r="BS623" t="s">
        <v>12570</v>
      </c>
      <c r="BU623" t="s">
        <v>139</v>
      </c>
      <c r="BV623" s="3" t="str">
        <f>HYPERLINK("https://api.typeform.com/responses/files/77874f0003b24dae895702659f6734a3e70ecc6497dfc1a882220dbe2331367d/unnamed.jpeg")</f>
        <v>https://api.typeform.com/responses/files/77874f0003b24dae895702659f6734a3e70ecc6497dfc1a882220dbe2331367d/unnamed.jpeg</v>
      </c>
      <c r="BW623" t="b">
        <v>1</v>
      </c>
      <c r="BX623" t="s">
        <v>1394</v>
      </c>
      <c r="BY623" t="s">
        <v>140</v>
      </c>
      <c r="CA623" t="s">
        <v>1395</v>
      </c>
      <c r="CD623">
        <v>0.0</v>
      </c>
      <c r="CF623" t="b">
        <v>1</v>
      </c>
      <c r="CG623" t="b">
        <v>1</v>
      </c>
      <c r="CH623" t="s">
        <v>705</v>
      </c>
      <c r="CJ623" t="b">
        <v>1</v>
      </c>
      <c r="CK623" t="b">
        <v>1</v>
      </c>
      <c r="CL623" t="s">
        <v>2301</v>
      </c>
      <c r="CM623" t="s">
        <v>2301</v>
      </c>
      <c r="CO623" t="s">
        <v>1635</v>
      </c>
      <c r="CR623" t="b">
        <v>1</v>
      </c>
      <c r="CT623">
        <v>2.0</v>
      </c>
      <c r="CU623">
        <v>2.0</v>
      </c>
      <c r="CX623" t="s">
        <v>4637</v>
      </c>
      <c r="CZ623" s="5">
        <v>44938.859131944446</v>
      </c>
      <c r="DA623" t="s">
        <v>12571</v>
      </c>
    </row>
    <row r="624">
      <c r="A624" t="s">
        <v>98</v>
      </c>
      <c r="D624" t="s">
        <v>12572</v>
      </c>
      <c r="E624" t="s">
        <v>12573</v>
      </c>
      <c r="F624" s="2">
        <v>39219.0</v>
      </c>
      <c r="G624" t="s">
        <v>1360</v>
      </c>
      <c r="I624" s="3" t="str">
        <f>HYPERLINK("https://api.typeform.com/responses/files/71344acbabf17c82baa8b59a5bf3af97e76d4f449d5cddda8b0cad8a2e215d1d/unnamed.jpg")</f>
        <v>https://api.typeform.com/responses/files/71344acbabf17c82baa8b59a5bf3af97e76d4f449d5cddda8b0cad8a2e215d1d/unnamed.jpg</v>
      </c>
      <c r="J624" t="s">
        <v>12574</v>
      </c>
      <c r="K624" t="b">
        <v>1</v>
      </c>
      <c r="L624" s="4" t="s">
        <v>12575</v>
      </c>
      <c r="M624" t="s">
        <v>12576</v>
      </c>
      <c r="N624" t="s">
        <v>149</v>
      </c>
      <c r="P624" t="s">
        <v>12577</v>
      </c>
      <c r="Q624" t="s">
        <v>152</v>
      </c>
      <c r="R624" t="s">
        <v>12574</v>
      </c>
      <c r="S624" t="s">
        <v>12576</v>
      </c>
      <c r="T624" s="4" t="s">
        <v>12575</v>
      </c>
      <c r="U624" t="s">
        <v>195</v>
      </c>
      <c r="V624" t="s">
        <v>4337</v>
      </c>
      <c r="W624" t="s">
        <v>113</v>
      </c>
      <c r="Y624" t="s">
        <v>158</v>
      </c>
      <c r="Z624" t="s">
        <v>195</v>
      </c>
      <c r="AC624" s="3" t="str">
        <f>HYPERLINK("https://api.typeform.com/responses/files/eaff05fd58d7228ca3a6ded685e879157b8afc8cfc11b9419b8fee9aeb3a7d65/Report_for_Daniela_Nunez_Sanchez_2023_01_12_20_22.pdf")</f>
        <v>https://api.typeform.com/responses/files/eaff05fd58d7228ca3a6ded685e879157b8afc8cfc11b9419b8fee9aeb3a7d65/Report_for_Daniela_Nunez_Sanchez_2023_01_12_20_22.pdf</v>
      </c>
      <c r="AD624" t="s">
        <v>118</v>
      </c>
      <c r="AE624" t="s">
        <v>729</v>
      </c>
      <c r="AF624" t="s">
        <v>2874</v>
      </c>
      <c r="AG624">
        <v>15.0</v>
      </c>
      <c r="AH624" t="s">
        <v>12520</v>
      </c>
      <c r="AI624" t="s">
        <v>162</v>
      </c>
      <c r="AL624" t="s">
        <v>1546</v>
      </c>
      <c r="AO624" t="s">
        <v>125</v>
      </c>
      <c r="AP624">
        <v>5.0</v>
      </c>
      <c r="AQ624" t="s">
        <v>1070</v>
      </c>
      <c r="AR624" t="s">
        <v>12578</v>
      </c>
      <c r="AS624" t="b">
        <v>1</v>
      </c>
      <c r="AT624" t="b">
        <v>0</v>
      </c>
      <c r="AV624">
        <v>5.0</v>
      </c>
      <c r="AW624" t="b">
        <v>0</v>
      </c>
      <c r="AZ624" t="b">
        <v>0</v>
      </c>
      <c r="BA624" t="b">
        <v>0</v>
      </c>
      <c r="BD624" t="s">
        <v>12579</v>
      </c>
      <c r="BH624" t="s">
        <v>132</v>
      </c>
      <c r="BI624">
        <v>7.0</v>
      </c>
      <c r="BJ624" s="4" t="s">
        <v>130</v>
      </c>
      <c r="BK624">
        <v>7.0</v>
      </c>
      <c r="BL624">
        <v>5.0</v>
      </c>
      <c r="BM624" t="s">
        <v>12580</v>
      </c>
      <c r="BN624">
        <v>2.0</v>
      </c>
      <c r="BO624">
        <v>5.0</v>
      </c>
      <c r="BP624" t="s">
        <v>12581</v>
      </c>
      <c r="BQ624" t="s">
        <v>1050</v>
      </c>
      <c r="BR624" t="s">
        <v>12582</v>
      </c>
      <c r="BS624" t="s">
        <v>12583</v>
      </c>
      <c r="BU624" t="s">
        <v>139</v>
      </c>
      <c r="BV624" s="3" t="str">
        <f>HYPERLINK("https://api.typeform.com/responses/files/b7b004ab9bc0b852b443b41221527209e4d16c4a931bb4f81419fa30fc675134/Preview_attachment_SPEAKHIRE_Parent.Guardian_Consent_Form__1_.pdfSPEAKHIRE_Parent.Guardian_Consent_Form__1_.pdf740_KB.webloc")</f>
        <v>https://api.typeform.com/responses/files/b7b004ab9bc0b852b443b41221527209e4d16c4a931bb4f81419fa30fc675134/Preview_attachment_SPEAKHIRE_Parent.Guardian_Consent_Form__1_.pdfSPEAKHIRE_Parent.Guardian_Consent_Form__1_.pdf740_KB.webloc</v>
      </c>
      <c r="BW624" t="b">
        <v>1</v>
      </c>
      <c r="BX624" t="s">
        <v>1394</v>
      </c>
      <c r="BY624" t="s">
        <v>140</v>
      </c>
      <c r="CA624" t="s">
        <v>1395</v>
      </c>
      <c r="CD624">
        <v>0.0</v>
      </c>
      <c r="CF624" t="b">
        <v>0</v>
      </c>
      <c r="CG624" t="b">
        <v>1</v>
      </c>
      <c r="CH624" t="s">
        <v>1935</v>
      </c>
      <c r="CJ624" t="b">
        <v>1</v>
      </c>
      <c r="CK624" t="b">
        <v>1</v>
      </c>
      <c r="CL624" t="s">
        <v>387</v>
      </c>
      <c r="CO624" t="s">
        <v>2500</v>
      </c>
      <c r="CR624" t="b">
        <v>1</v>
      </c>
      <c r="CT624">
        <v>0.0</v>
      </c>
      <c r="CU624">
        <v>0.0</v>
      </c>
      <c r="CX624" s="4" t="s">
        <v>1453</v>
      </c>
      <c r="CZ624" s="5">
        <v>44938.87630787037</v>
      </c>
      <c r="DA624" t="s">
        <v>12584</v>
      </c>
    </row>
    <row r="625">
      <c r="A625" t="s">
        <v>98</v>
      </c>
      <c r="D625" t="s">
        <v>12585</v>
      </c>
      <c r="E625" t="s">
        <v>6211</v>
      </c>
      <c r="F625" s="2">
        <v>38894.0</v>
      </c>
      <c r="G625" t="s">
        <v>1360</v>
      </c>
      <c r="I625" s="3" t="str">
        <f>HYPERLINK("https://api.typeform.com/responses/files/04c4cb5096cbed3e6794e0f1bceb5cc50d904c7cbb2154ccf6a849a362f14d24/unnamed.jpg")</f>
        <v>https://api.typeform.com/responses/files/04c4cb5096cbed3e6794e0f1bceb5cc50d904c7cbb2154ccf6a849a362f14d24/unnamed.jpg</v>
      </c>
      <c r="J625" t="s">
        <v>12586</v>
      </c>
      <c r="K625" t="b">
        <v>1</v>
      </c>
      <c r="L625" s="4" t="s">
        <v>12587</v>
      </c>
      <c r="M625" t="s">
        <v>12588</v>
      </c>
      <c r="N625" t="s">
        <v>255</v>
      </c>
      <c r="P625" t="s">
        <v>12589</v>
      </c>
      <c r="Q625" t="s">
        <v>152</v>
      </c>
      <c r="R625" t="s">
        <v>12586</v>
      </c>
      <c r="S625" t="s">
        <v>12588</v>
      </c>
      <c r="T625" s="4" t="s">
        <v>12590</v>
      </c>
      <c r="U625" t="s">
        <v>12591</v>
      </c>
      <c r="V625" t="s">
        <v>934</v>
      </c>
      <c r="W625" t="s">
        <v>113</v>
      </c>
      <c r="Y625" t="s">
        <v>158</v>
      </c>
      <c r="Z625" t="s">
        <v>195</v>
      </c>
      <c r="AC625" s="3" t="str">
        <f>HYPERLINK("https://api.typeform.com/responses/files/d29be017315fb309b4b38edc51b92ede32a4e5252fd6d31c81428a6806c33ebf/Report_for_Rosa_Marina_Diaz_Carnero_2023_01_12_20_24.pdf")</f>
        <v>https://api.typeform.com/responses/files/d29be017315fb309b4b38edc51b92ede32a4e5252fd6d31c81428a6806c33ebf/Report_for_Rosa_Marina_Diaz_Carnero_2023_01_12_20_24.pdf</v>
      </c>
      <c r="AD625" t="s">
        <v>118</v>
      </c>
      <c r="AE625" t="s">
        <v>729</v>
      </c>
      <c r="AF625" t="s">
        <v>7426</v>
      </c>
      <c r="AG625">
        <v>3.0</v>
      </c>
      <c r="AH625" s="4" t="s">
        <v>734</v>
      </c>
      <c r="AI625" t="s">
        <v>386</v>
      </c>
      <c r="AK625" t="s">
        <v>139</v>
      </c>
      <c r="AL625" t="s">
        <v>1043</v>
      </c>
      <c r="AO625" t="s">
        <v>335</v>
      </c>
      <c r="AP625">
        <v>5.0</v>
      </c>
      <c r="AQ625" t="s">
        <v>1520</v>
      </c>
      <c r="AR625" t="s">
        <v>12592</v>
      </c>
      <c r="AS625" t="b">
        <v>1</v>
      </c>
      <c r="AT625" t="b">
        <v>1</v>
      </c>
      <c r="AV625">
        <v>5.0</v>
      </c>
      <c r="AW625" t="b">
        <v>0</v>
      </c>
      <c r="AZ625" t="b">
        <v>0</v>
      </c>
      <c r="BA625" t="b">
        <v>0</v>
      </c>
      <c r="BD625" t="s">
        <v>12593</v>
      </c>
      <c r="BH625" t="s">
        <v>132</v>
      </c>
      <c r="BI625">
        <v>6.0</v>
      </c>
      <c r="BJ625" s="4" t="s">
        <v>130</v>
      </c>
      <c r="BK625">
        <v>7.0</v>
      </c>
      <c r="BL625">
        <v>3.0</v>
      </c>
      <c r="BM625" t="s">
        <v>12594</v>
      </c>
      <c r="BN625">
        <v>3.0</v>
      </c>
      <c r="BO625">
        <v>5.0</v>
      </c>
      <c r="BP625" t="s">
        <v>12595</v>
      </c>
      <c r="BQ625" t="s">
        <v>916</v>
      </c>
      <c r="BR625" t="s">
        <v>12596</v>
      </c>
      <c r="BS625" t="s">
        <v>12597</v>
      </c>
      <c r="BU625" t="s">
        <v>139</v>
      </c>
      <c r="BV625" s="3" t="str">
        <f>HYPERLINK("https://api.typeform.com/responses/files/e092a83ed66ebf229f1532533ea8162554c45079eea4caeeb40778208c13551e/Report_for_Rosa_Marina_Diaz_Carnero_2023_01_12_20_24_1.pdf")</f>
        <v>https://api.typeform.com/responses/files/e092a83ed66ebf229f1532533ea8162554c45079eea4caeeb40778208c13551e/Report_for_Rosa_Marina_Diaz_Carnero_2023_01_12_20_24_1.pdf</v>
      </c>
      <c r="BW625" t="b">
        <v>1</v>
      </c>
      <c r="BX625" t="s">
        <v>1394</v>
      </c>
      <c r="BY625" t="s">
        <v>140</v>
      </c>
      <c r="CA625" t="s">
        <v>1395</v>
      </c>
      <c r="CD625">
        <v>0.0</v>
      </c>
      <c r="CF625" t="b">
        <v>1</v>
      </c>
      <c r="CG625" t="b">
        <v>1</v>
      </c>
      <c r="CH625" t="s">
        <v>12598</v>
      </c>
      <c r="CJ625" t="b">
        <v>0</v>
      </c>
      <c r="CK625" t="b">
        <v>1</v>
      </c>
      <c r="CL625" t="s">
        <v>2301</v>
      </c>
      <c r="CM625" t="s">
        <v>2301</v>
      </c>
      <c r="CO625" t="s">
        <v>2500</v>
      </c>
      <c r="CQ625" t="s">
        <v>2301</v>
      </c>
      <c r="CR625" t="b">
        <v>1</v>
      </c>
      <c r="CT625">
        <v>0.0</v>
      </c>
      <c r="CU625">
        <v>1.0</v>
      </c>
      <c r="CX625" s="4" t="s">
        <v>3882</v>
      </c>
      <c r="CZ625" s="5">
        <v>44938.87670138889</v>
      </c>
      <c r="DA625" t="s">
        <v>12599</v>
      </c>
    </row>
    <row r="626">
      <c r="A626" t="s">
        <v>98</v>
      </c>
      <c r="D626" t="s">
        <v>12600</v>
      </c>
      <c r="E626" t="s">
        <v>12601</v>
      </c>
      <c r="F626" s="2">
        <v>39822.0</v>
      </c>
      <c r="G626" t="s">
        <v>1466</v>
      </c>
      <c r="I626" s="3" t="str">
        <f>HYPERLINK("https://api.typeform.com/responses/files/87ad47d582cde3c3807c86cfb54f25624fa0756c744dce83ceceb6f5a0ddfa5d/unnamed_1.jpg")</f>
        <v>https://api.typeform.com/responses/files/87ad47d582cde3c3807c86cfb54f25624fa0756c744dce83ceceb6f5a0ddfa5d/unnamed_1.jpg</v>
      </c>
      <c r="J626" t="s">
        <v>12602</v>
      </c>
      <c r="K626" t="b">
        <v>1</v>
      </c>
      <c r="L626" s="4" t="s">
        <v>12603</v>
      </c>
      <c r="M626" t="s">
        <v>12604</v>
      </c>
      <c r="N626" t="s">
        <v>149</v>
      </c>
      <c r="P626" t="s">
        <v>12605</v>
      </c>
      <c r="Q626" t="s">
        <v>189</v>
      </c>
      <c r="R626" t="s">
        <v>12602</v>
      </c>
      <c r="S626" t="s">
        <v>12604</v>
      </c>
      <c r="T626" s="4" t="s">
        <v>12603</v>
      </c>
      <c r="U626" t="s">
        <v>995</v>
      </c>
      <c r="V626" t="s">
        <v>934</v>
      </c>
      <c r="W626" t="s">
        <v>113</v>
      </c>
      <c r="Y626" t="s">
        <v>158</v>
      </c>
      <c r="Z626" t="s">
        <v>384</v>
      </c>
      <c r="AC626" s="3" t="str">
        <f>HYPERLINK("https://api.typeform.com/responses/files/7fc2b2515253542815c77480c47f7f5360d4d249b377cbb9a460aabf8ee8fd02/Report_for_Miguel_Duarte_2023_01_13_16_20.pdf")</f>
        <v>https://api.typeform.com/responses/files/7fc2b2515253542815c77480c47f7f5360d4d249b377cbb9a460aabf8ee8fd02/Report_for_Miguel_Duarte_2023_01_13_16_20.pdf</v>
      </c>
      <c r="AD626" t="s">
        <v>118</v>
      </c>
      <c r="AE626" t="s">
        <v>729</v>
      </c>
      <c r="AF626" t="s">
        <v>2292</v>
      </c>
      <c r="AG626">
        <v>2.0</v>
      </c>
      <c r="AH626" s="4" t="s">
        <v>273</v>
      </c>
      <c r="AI626" t="s">
        <v>386</v>
      </c>
      <c r="AL626" t="s">
        <v>1043</v>
      </c>
      <c r="AO626" t="s">
        <v>335</v>
      </c>
      <c r="AP626">
        <v>4.0</v>
      </c>
      <c r="AQ626" t="s">
        <v>2240</v>
      </c>
      <c r="AR626" t="s">
        <v>11320</v>
      </c>
      <c r="AS626" t="b">
        <v>1</v>
      </c>
      <c r="AT626" t="b">
        <v>0</v>
      </c>
      <c r="AV626">
        <v>5.0</v>
      </c>
      <c r="AW626" t="b">
        <v>0</v>
      </c>
      <c r="AZ626" t="b">
        <v>1</v>
      </c>
      <c r="BA626" t="b">
        <v>0</v>
      </c>
      <c r="BD626" t="s">
        <v>11320</v>
      </c>
      <c r="BH626" t="s">
        <v>132</v>
      </c>
      <c r="BI626">
        <v>3.0</v>
      </c>
      <c r="BJ626" s="4" t="s">
        <v>130</v>
      </c>
      <c r="BK626">
        <v>3.0</v>
      </c>
      <c r="BL626">
        <v>4.0</v>
      </c>
      <c r="BM626" t="s">
        <v>12606</v>
      </c>
      <c r="BN626">
        <v>3.0</v>
      </c>
      <c r="BO626">
        <v>4.0</v>
      </c>
      <c r="BP626" t="s">
        <v>5933</v>
      </c>
      <c r="BQ626" t="s">
        <v>2964</v>
      </c>
      <c r="BR626" t="s">
        <v>12607</v>
      </c>
      <c r="BS626" t="s">
        <v>12608</v>
      </c>
      <c r="BU626" t="s">
        <v>139</v>
      </c>
      <c r="BV626" s="3" t="str">
        <f>HYPERLINK("https://api.typeform.com/responses/files/e1e922123b5859e3cd36a70b733cad54e5aa996d994dab105fae1b98b4cd15ff/SPEAKHIRE_Parent.Guardian_Consent_Form__1_.pdf")</f>
        <v>https://api.typeform.com/responses/files/e1e922123b5859e3cd36a70b733cad54e5aa996d994dab105fae1b98b4cd15ff/SPEAKHIRE_Parent.Guardian_Consent_Form__1_.pdf</v>
      </c>
      <c r="BW626" t="b">
        <v>1</v>
      </c>
      <c r="BX626" t="s">
        <v>1394</v>
      </c>
      <c r="BY626" t="s">
        <v>140</v>
      </c>
      <c r="CA626" t="s">
        <v>1395</v>
      </c>
      <c r="CD626">
        <v>0.0</v>
      </c>
      <c r="CF626" t="b">
        <v>1</v>
      </c>
      <c r="CG626" t="b">
        <v>1</v>
      </c>
      <c r="CH626" t="s">
        <v>4299</v>
      </c>
      <c r="CJ626" t="b">
        <v>0</v>
      </c>
      <c r="CK626" t="b">
        <v>1</v>
      </c>
      <c r="CL626" t="s">
        <v>2301</v>
      </c>
      <c r="CM626" t="s">
        <v>2301</v>
      </c>
      <c r="CO626" t="s">
        <v>12609</v>
      </c>
      <c r="CQ626" t="s">
        <v>2301</v>
      </c>
      <c r="CR626" t="b">
        <v>1</v>
      </c>
      <c r="CT626">
        <v>0.0</v>
      </c>
      <c r="CU626">
        <v>0.0</v>
      </c>
      <c r="CX626" s="4" t="s">
        <v>3882</v>
      </c>
      <c r="CZ626" s="5">
        <v>44939.70240740741</v>
      </c>
      <c r="DA626" t="s">
        <v>12610</v>
      </c>
    </row>
    <row r="627">
      <c r="A627" t="s">
        <v>98</v>
      </c>
      <c r="D627" t="s">
        <v>12611</v>
      </c>
      <c r="E627" t="s">
        <v>12612</v>
      </c>
      <c r="F627" s="2">
        <v>39377.0</v>
      </c>
      <c r="G627" t="s">
        <v>1360</v>
      </c>
      <c r="I627" s="3" t="str">
        <f>HYPERLINK("https://api.typeform.com/responses/files/b5706a0bb75379e1c92eaea3ee9088dc26a6402edd8c26e2bd5459c39edc1a39/307813051.jpeg")</f>
        <v>https://api.typeform.com/responses/files/b5706a0bb75379e1c92eaea3ee9088dc26a6402edd8c26e2bd5459c39edc1a39/307813051.jpeg</v>
      </c>
      <c r="J627" t="s">
        <v>12613</v>
      </c>
      <c r="K627" t="b">
        <v>0</v>
      </c>
      <c r="M627" t="s">
        <v>12614</v>
      </c>
      <c r="N627" t="s">
        <v>149</v>
      </c>
      <c r="O627" t="s">
        <v>12615</v>
      </c>
      <c r="P627" t="s">
        <v>12616</v>
      </c>
      <c r="Q627" t="s">
        <v>189</v>
      </c>
      <c r="R627" t="s">
        <v>12617</v>
      </c>
      <c r="S627" t="s">
        <v>12618</v>
      </c>
      <c r="T627" s="4" t="s">
        <v>12619</v>
      </c>
      <c r="U627" t="s">
        <v>933</v>
      </c>
      <c r="V627" t="s">
        <v>12620</v>
      </c>
      <c r="W627" t="s">
        <v>113</v>
      </c>
      <c r="Y627" t="s">
        <v>158</v>
      </c>
      <c r="Z627" t="s">
        <v>384</v>
      </c>
      <c r="AC627" s="3" t="str">
        <f>HYPERLINK("https://api.typeform.com/responses/files/3e040df39b07c352d623b4aecaf546d21d0ea94cc9fd8287152369616f23f9de/Report_for_Claudia_Herazo_Romero_2023_01_13_16_17.pdf")</f>
        <v>https://api.typeform.com/responses/files/3e040df39b07c352d623b4aecaf546d21d0ea94cc9fd8287152369616f23f9de/Report_for_Claudia_Herazo_Romero_2023_01_13_16_17.pdf</v>
      </c>
      <c r="AD627" t="s">
        <v>118</v>
      </c>
      <c r="AE627" t="s">
        <v>4219</v>
      </c>
      <c r="AF627" t="s">
        <v>3201</v>
      </c>
      <c r="AG627">
        <v>14.0</v>
      </c>
      <c r="AH627" t="s">
        <v>12621</v>
      </c>
      <c r="AI627" t="s">
        <v>386</v>
      </c>
      <c r="AK627" t="s">
        <v>2624</v>
      </c>
      <c r="AL627" t="s">
        <v>199</v>
      </c>
      <c r="AO627" t="s">
        <v>335</v>
      </c>
      <c r="AP627">
        <v>5.0</v>
      </c>
      <c r="AQ627" t="s">
        <v>201</v>
      </c>
      <c r="AR627" t="s">
        <v>4264</v>
      </c>
      <c r="AS627" t="b">
        <v>1</v>
      </c>
      <c r="AT627" t="b">
        <v>0</v>
      </c>
      <c r="AV627">
        <v>6.0</v>
      </c>
      <c r="AW627" t="b">
        <v>0</v>
      </c>
      <c r="AZ627" t="b">
        <v>1</v>
      </c>
      <c r="BA627" t="b">
        <v>0</v>
      </c>
      <c r="BD627" t="s">
        <v>4264</v>
      </c>
      <c r="BH627" t="s">
        <v>132</v>
      </c>
      <c r="BI627">
        <v>3.0</v>
      </c>
      <c r="BJ627" s="4" t="s">
        <v>130</v>
      </c>
      <c r="BK627">
        <v>6.0</v>
      </c>
      <c r="BL627">
        <v>6.0</v>
      </c>
      <c r="BM627" t="s">
        <v>12622</v>
      </c>
      <c r="BN627">
        <v>2.0</v>
      </c>
      <c r="BO627">
        <v>7.0</v>
      </c>
      <c r="BP627" t="s">
        <v>12623</v>
      </c>
      <c r="BQ627" t="s">
        <v>916</v>
      </c>
      <c r="BR627" t="s">
        <v>12624</v>
      </c>
      <c r="BS627" t="s">
        <v>12625</v>
      </c>
      <c r="BU627" t="s">
        <v>139</v>
      </c>
      <c r="BV627" s="3" t="str">
        <f>HYPERLINK("https://api.typeform.com/responses/files/1449c867f749ebb9257c8c90a362fce8185be0d971b6f46e6eea56022c7ae646/Preview_attachment_SPEAKHIRE_Parent.Guardian_Consent_Form__1_.pdfSPEAKHIRE_Parent.Guardian_Consent_Form__1_.pdf740_KB.webloc")</f>
        <v>https://api.typeform.com/responses/files/1449c867f749ebb9257c8c90a362fce8185be0d971b6f46e6eea56022c7ae646/Preview_attachment_SPEAKHIRE_Parent.Guardian_Consent_Form__1_.pdfSPEAKHIRE_Parent.Guardian_Consent_Form__1_.pdf740_KB.webloc</v>
      </c>
      <c r="BW627" t="b">
        <v>1</v>
      </c>
      <c r="BX627" t="s">
        <v>1394</v>
      </c>
      <c r="BY627" t="s">
        <v>140</v>
      </c>
      <c r="CA627" t="s">
        <v>1395</v>
      </c>
      <c r="CD627">
        <v>0.0</v>
      </c>
      <c r="CF627" t="b">
        <v>1</v>
      </c>
      <c r="CG627" t="b">
        <v>1</v>
      </c>
      <c r="CH627" t="s">
        <v>12626</v>
      </c>
      <c r="CJ627" t="b">
        <v>0</v>
      </c>
      <c r="CK627" t="b">
        <v>1</v>
      </c>
      <c r="CL627" t="s">
        <v>2301</v>
      </c>
      <c r="CO627" t="s">
        <v>200</v>
      </c>
      <c r="CR627" t="b">
        <v>1</v>
      </c>
      <c r="CT627">
        <v>0.0</v>
      </c>
      <c r="CU627">
        <v>1.0</v>
      </c>
      <c r="CX627" s="4" t="s">
        <v>3882</v>
      </c>
      <c r="CZ627" s="5">
        <v>44939.707650462966</v>
      </c>
      <c r="DA627" t="s">
        <v>12627</v>
      </c>
    </row>
    <row r="628">
      <c r="A628" t="s">
        <v>98</v>
      </c>
      <c r="D628" t="s">
        <v>2638</v>
      </c>
      <c r="E628" t="s">
        <v>12628</v>
      </c>
      <c r="F628" s="2">
        <v>39197.0</v>
      </c>
      <c r="G628" t="s">
        <v>1466</v>
      </c>
      <c r="I628" s="3" t="str">
        <f>HYPERLINK("https://api.typeform.com/responses/files/20dc7e9e936d2e3c2b8a77badb5834686107780f54f947a5bbff3a595c0d4bab/alb.jumpro.jpg")</f>
        <v>https://api.typeform.com/responses/files/20dc7e9e936d2e3c2b8a77badb5834686107780f54f947a5bbff3a595c0d4bab/alb.jumpro.jpg</v>
      </c>
      <c r="J628" t="s">
        <v>12629</v>
      </c>
      <c r="K628" t="b">
        <v>1</v>
      </c>
      <c r="L628" s="4" t="s">
        <v>12630</v>
      </c>
      <c r="M628" t="s">
        <v>12631</v>
      </c>
      <c r="N628" t="s">
        <v>149</v>
      </c>
      <c r="O628" t="s">
        <v>12632</v>
      </c>
      <c r="P628" t="s">
        <v>12633</v>
      </c>
      <c r="Q628" t="s">
        <v>189</v>
      </c>
      <c r="R628" t="s">
        <v>12634</v>
      </c>
      <c r="S628" t="s">
        <v>12635</v>
      </c>
      <c r="T628" s="4" t="s">
        <v>12636</v>
      </c>
      <c r="U628" t="s">
        <v>933</v>
      </c>
      <c r="V628" t="s">
        <v>4303</v>
      </c>
      <c r="W628" t="s">
        <v>113</v>
      </c>
      <c r="Y628" t="s">
        <v>158</v>
      </c>
      <c r="Z628" t="s">
        <v>384</v>
      </c>
      <c r="AC628" s="3" t="str">
        <f>HYPERLINK("https://api.typeform.com/responses/files/f3dec7c27f54f478d21097cb5121458f2a19d6ae7b7737a443f5776c0564e6e5/Report_for_Jose_Sanan_Guerrero_2023_01_13_16_16.pdf")</f>
        <v>https://api.typeform.com/responses/files/f3dec7c27f54f478d21097cb5121458f2a19d6ae7b7737a443f5776c0564e6e5/Report_for_Jose_Sanan_Guerrero_2023_01_13_16_16.pdf</v>
      </c>
      <c r="AD628" t="s">
        <v>118</v>
      </c>
      <c r="AE628" t="s">
        <v>729</v>
      </c>
      <c r="AF628" t="s">
        <v>1196</v>
      </c>
      <c r="AG628">
        <v>15.0</v>
      </c>
      <c r="AH628" t="s">
        <v>3550</v>
      </c>
      <c r="AI628" t="s">
        <v>386</v>
      </c>
      <c r="AL628" t="s">
        <v>199</v>
      </c>
      <c r="AO628" t="s">
        <v>335</v>
      </c>
      <c r="AP628">
        <v>5.0</v>
      </c>
      <c r="AQ628" t="s">
        <v>4222</v>
      </c>
      <c r="AR628" t="s">
        <v>3010</v>
      </c>
      <c r="AS628" t="b">
        <v>0</v>
      </c>
      <c r="AV628">
        <v>5.0</v>
      </c>
      <c r="AW628" t="b">
        <v>1</v>
      </c>
      <c r="AX628" t="s">
        <v>1902</v>
      </c>
      <c r="AY628" s="4" t="s">
        <v>518</v>
      </c>
      <c r="AZ628" t="b">
        <v>1</v>
      </c>
      <c r="BA628" t="b">
        <v>0</v>
      </c>
      <c r="BD628" t="s">
        <v>12637</v>
      </c>
      <c r="BH628" t="s">
        <v>132</v>
      </c>
      <c r="BI628">
        <v>2.0</v>
      </c>
      <c r="BJ628" s="4" t="s">
        <v>130</v>
      </c>
      <c r="BK628">
        <v>2.0</v>
      </c>
      <c r="BL628">
        <v>3.0</v>
      </c>
      <c r="BM628" t="s">
        <v>12638</v>
      </c>
      <c r="BN628">
        <v>5.0</v>
      </c>
      <c r="BO628">
        <v>5.0</v>
      </c>
      <c r="BP628" t="s">
        <v>12639</v>
      </c>
      <c r="BQ628" t="s">
        <v>3728</v>
      </c>
      <c r="BR628" t="s">
        <v>12640</v>
      </c>
      <c r="BS628" t="s">
        <v>12641</v>
      </c>
      <c r="BU628" t="s">
        <v>139</v>
      </c>
      <c r="BV628" s="3" t="str">
        <f>HYPERLINK("https://api.typeform.com/responses/files/7d61c8abfb14366bd03c0276a133de857ea13c913d257840542d50bc603e5481/SPEAKHIRE_Parent.Guardian_Consent_Form__1_.pdf")</f>
        <v>https://api.typeform.com/responses/files/7d61c8abfb14366bd03c0276a133de857ea13c913d257840542d50bc603e5481/SPEAKHIRE_Parent.Guardian_Consent_Form__1_.pdf</v>
      </c>
      <c r="BW628" t="b">
        <v>1</v>
      </c>
      <c r="BX628" t="s">
        <v>1394</v>
      </c>
      <c r="BY628" t="s">
        <v>140</v>
      </c>
      <c r="CA628" t="s">
        <v>1395</v>
      </c>
      <c r="CD628">
        <v>0.0</v>
      </c>
      <c r="CF628" t="b">
        <v>1</v>
      </c>
      <c r="CG628" t="b">
        <v>1</v>
      </c>
      <c r="CH628" t="s">
        <v>168</v>
      </c>
      <c r="CJ628" t="b">
        <v>0</v>
      </c>
      <c r="CK628" t="b">
        <v>1</v>
      </c>
      <c r="CL628" t="s">
        <v>387</v>
      </c>
      <c r="CO628" t="s">
        <v>200</v>
      </c>
      <c r="CR628" t="b">
        <v>1</v>
      </c>
      <c r="CT628">
        <v>0.0</v>
      </c>
      <c r="CU628">
        <v>5.0</v>
      </c>
      <c r="CX628" s="4" t="s">
        <v>2447</v>
      </c>
      <c r="CZ628" s="5">
        <v>44939.714537037034</v>
      </c>
      <c r="DA628" t="s">
        <v>12642</v>
      </c>
    </row>
    <row r="629">
      <c r="A629" t="s">
        <v>98</v>
      </c>
      <c r="D629" t="s">
        <v>12643</v>
      </c>
      <c r="E629" t="s">
        <v>12644</v>
      </c>
      <c r="F629" s="2">
        <v>38579.0</v>
      </c>
      <c r="G629" t="s">
        <v>1360</v>
      </c>
      <c r="I629" s="3" t="str">
        <f>HYPERLINK("https://api.typeform.com/responses/files/713685a551fedf1ffcd10506cb917f435453a0166bad8e18781a107fd3100539/alb.jumpro.jpg")</f>
        <v>https://api.typeform.com/responses/files/713685a551fedf1ffcd10506cb917f435453a0166bad8e18781a107fd3100539/alb.jumpro.jpg</v>
      </c>
      <c r="J629" t="s">
        <v>12645</v>
      </c>
      <c r="K629" t="b">
        <v>1</v>
      </c>
      <c r="L629" s="4" t="s">
        <v>12646</v>
      </c>
      <c r="M629" t="s">
        <v>12647</v>
      </c>
      <c r="N629" t="s">
        <v>149</v>
      </c>
      <c r="O629" t="s">
        <v>12648</v>
      </c>
      <c r="P629" t="s">
        <v>12649</v>
      </c>
      <c r="Q629" t="s">
        <v>292</v>
      </c>
      <c r="R629" t="s">
        <v>12650</v>
      </c>
      <c r="S629" t="s">
        <v>12647</v>
      </c>
      <c r="T629" s="4" t="s">
        <v>12651</v>
      </c>
      <c r="U629" t="s">
        <v>933</v>
      </c>
      <c r="V629" t="s">
        <v>934</v>
      </c>
      <c r="W629" t="s">
        <v>113</v>
      </c>
      <c r="Y629" t="s">
        <v>158</v>
      </c>
      <c r="Z629" t="s">
        <v>159</v>
      </c>
      <c r="AC629" s="3" t="str">
        <f>HYPERLINK("https://api.typeform.com/responses/files/9f63d3e33c0cb841235ddfad4955d1f84450b52573d910feffefd640a3b0824b/Report_for_Elvianny_De_Jesus_Gomez_2023_01_13_17_14.pdf")</f>
        <v>https://api.typeform.com/responses/files/9f63d3e33c0cb841235ddfad4955d1f84450b52573d910feffefd640a3b0824b/Report_for_Elvianny_De_Jesus_Gomez_2023_01_13_17_14.pdf</v>
      </c>
      <c r="AD629" t="s">
        <v>118</v>
      </c>
      <c r="AE629" t="s">
        <v>4219</v>
      </c>
      <c r="AF629" t="s">
        <v>9699</v>
      </c>
      <c r="AG629">
        <v>15.0</v>
      </c>
      <c r="AH629" s="4" t="s">
        <v>273</v>
      </c>
      <c r="AI629" t="s">
        <v>205</v>
      </c>
      <c r="AK629" t="s">
        <v>2624</v>
      </c>
      <c r="AL629" t="s">
        <v>199</v>
      </c>
      <c r="AO629" t="s">
        <v>1479</v>
      </c>
      <c r="AP629">
        <v>4.0</v>
      </c>
      <c r="AQ629" t="s">
        <v>1520</v>
      </c>
      <c r="AR629" t="s">
        <v>8386</v>
      </c>
      <c r="AS629" t="b">
        <v>1</v>
      </c>
      <c r="AT629" t="b">
        <v>0</v>
      </c>
      <c r="AV629">
        <v>5.0</v>
      </c>
      <c r="AW629" t="b">
        <v>1</v>
      </c>
      <c r="AX629" t="s">
        <v>1902</v>
      </c>
      <c r="AY629" s="4" t="s">
        <v>518</v>
      </c>
      <c r="AZ629" t="b">
        <v>0</v>
      </c>
      <c r="BA629" t="b">
        <v>0</v>
      </c>
      <c r="BD629" t="s">
        <v>12652</v>
      </c>
      <c r="BH629" t="s">
        <v>132</v>
      </c>
      <c r="BI629">
        <v>4.0</v>
      </c>
      <c r="BJ629" t="s">
        <v>12653</v>
      </c>
      <c r="BK629">
        <v>4.0</v>
      </c>
      <c r="BL629">
        <v>6.0</v>
      </c>
      <c r="BM629" t="s">
        <v>12654</v>
      </c>
      <c r="BN629">
        <v>4.0</v>
      </c>
      <c r="BO629">
        <v>6.0</v>
      </c>
      <c r="BP629" t="s">
        <v>12655</v>
      </c>
      <c r="BQ629" t="s">
        <v>1050</v>
      </c>
      <c r="BR629" t="s">
        <v>12656</v>
      </c>
      <c r="BS629" t="s">
        <v>12657</v>
      </c>
      <c r="BU629" t="s">
        <v>139</v>
      </c>
      <c r="BV629" s="3" t="str">
        <f>HYPERLINK("https://api.typeform.com/responses/files/f4dc6621518a6286b68fb1caacc7b98c0584dca196c2c6164b1bf0b0fba5d856/SPEAKHIRE_Parent.Guardian_Consent_Form__1_.pdf")</f>
        <v>https://api.typeform.com/responses/files/f4dc6621518a6286b68fb1caacc7b98c0584dca196c2c6164b1bf0b0fba5d856/SPEAKHIRE_Parent.Guardian_Consent_Form__1_.pdf</v>
      </c>
      <c r="BW629" t="b">
        <v>1</v>
      </c>
      <c r="BX629" t="s">
        <v>1394</v>
      </c>
      <c r="BY629" t="s">
        <v>140</v>
      </c>
      <c r="CA629" t="s">
        <v>1395</v>
      </c>
      <c r="CD629">
        <v>0.0</v>
      </c>
      <c r="CF629" t="b">
        <v>1</v>
      </c>
      <c r="CG629" t="b">
        <v>1</v>
      </c>
      <c r="CH629" t="s">
        <v>12658</v>
      </c>
      <c r="CJ629" t="b">
        <v>0</v>
      </c>
      <c r="CK629" t="b">
        <v>1</v>
      </c>
      <c r="CL629" t="s">
        <v>387</v>
      </c>
      <c r="CO629" t="s">
        <v>1635</v>
      </c>
      <c r="CR629" t="b">
        <v>1</v>
      </c>
      <c r="CT629">
        <v>2.0</v>
      </c>
      <c r="CU629">
        <v>0.0</v>
      </c>
      <c r="CX629" s="4" t="s">
        <v>7350</v>
      </c>
      <c r="CZ629" s="5">
        <v>44939.747465277775</v>
      </c>
      <c r="DA629" t="s">
        <v>12659</v>
      </c>
    </row>
    <row r="630">
      <c r="A630" t="s">
        <v>98</v>
      </c>
      <c r="D630" t="s">
        <v>12660</v>
      </c>
      <c r="E630" t="s">
        <v>12661</v>
      </c>
      <c r="F630" s="2">
        <v>38212.0</v>
      </c>
      <c r="G630" t="s">
        <v>1360</v>
      </c>
      <c r="I630" s="3" t="str">
        <f>HYPERLINK("https://api.typeform.com/responses/files/9049775f4299ac43d9462b4564ce6741bbc0821cfbae57a14d3663e14bd4d2e4/EDD3AB1E_55A0_4C0D_82CD_3DE4BE68124B.jpeg")</f>
        <v>https://api.typeform.com/responses/files/9049775f4299ac43d9462b4564ce6741bbc0821cfbae57a14d3663e14bd4d2e4/EDD3AB1E_55A0_4C0D_82CD_3DE4BE68124B.jpeg</v>
      </c>
      <c r="J630" t="s">
        <v>12662</v>
      </c>
      <c r="K630" t="b">
        <v>1</v>
      </c>
      <c r="L630" s="4" t="s">
        <v>12663</v>
      </c>
      <c r="M630" t="s">
        <v>12664</v>
      </c>
      <c r="N630" t="s">
        <v>149</v>
      </c>
      <c r="O630" t="s">
        <v>479</v>
      </c>
      <c r="P630" t="s">
        <v>12665</v>
      </c>
      <c r="Q630" t="s">
        <v>108</v>
      </c>
      <c r="R630" t="s">
        <v>12666</v>
      </c>
      <c r="S630" t="s">
        <v>12667</v>
      </c>
      <c r="T630" s="4" t="s">
        <v>12668</v>
      </c>
      <c r="U630" t="s">
        <v>12669</v>
      </c>
      <c r="V630" t="s">
        <v>8497</v>
      </c>
      <c r="W630" t="s">
        <v>261</v>
      </c>
      <c r="Y630" t="s">
        <v>158</v>
      </c>
      <c r="Z630" t="s">
        <v>262</v>
      </c>
      <c r="AC630" s="3" t="str">
        <f>HYPERLINK("https://api.typeform.com/responses/files/2f848379baea0deeae8141e3d2ce45dc42ea7e892107f0853a16685c40b6ff99/66906548_E7E0_4483_84B2_2F0E9EB6F403.jpeg")</f>
        <v>https://api.typeform.com/responses/files/2f848379baea0deeae8141e3d2ce45dc42ea7e892107f0853a16685c40b6ff99/66906548_E7E0_4483_84B2_2F0E9EB6F403.jpeg</v>
      </c>
      <c r="AD630" t="s">
        <v>118</v>
      </c>
      <c r="AE630" t="s">
        <v>1220</v>
      </c>
      <c r="AF630" t="s">
        <v>3817</v>
      </c>
      <c r="AG630">
        <v>18.0</v>
      </c>
      <c r="AH630" s="4" t="s">
        <v>11898</v>
      </c>
      <c r="AI630" t="s">
        <v>121</v>
      </c>
      <c r="AL630" t="s">
        <v>12670</v>
      </c>
      <c r="AO630" t="s">
        <v>335</v>
      </c>
      <c r="AP630">
        <v>5.0</v>
      </c>
      <c r="AQ630" t="s">
        <v>126</v>
      </c>
      <c r="AR630" t="s">
        <v>544</v>
      </c>
      <c r="AS630" t="b">
        <v>1</v>
      </c>
      <c r="AT630" t="b">
        <v>0</v>
      </c>
      <c r="AV630">
        <v>7.0</v>
      </c>
      <c r="AW630" t="b">
        <v>0</v>
      </c>
      <c r="AZ630" t="b">
        <v>0</v>
      </c>
      <c r="BA630" t="b">
        <v>0</v>
      </c>
      <c r="BD630" t="s">
        <v>12671</v>
      </c>
      <c r="BH630" t="s">
        <v>132</v>
      </c>
      <c r="BI630">
        <v>5.0</v>
      </c>
      <c r="BJ630" t="s">
        <v>12672</v>
      </c>
      <c r="BK630">
        <v>5.0</v>
      </c>
      <c r="BL630">
        <v>6.0</v>
      </c>
      <c r="BM630" t="s">
        <v>12673</v>
      </c>
      <c r="BN630">
        <v>5.0</v>
      </c>
      <c r="BO630">
        <v>4.0</v>
      </c>
      <c r="BP630" t="s">
        <v>12674</v>
      </c>
      <c r="BQ630" t="s">
        <v>916</v>
      </c>
      <c r="BR630" t="s">
        <v>12675</v>
      </c>
      <c r="BS630" t="s">
        <v>12676</v>
      </c>
      <c r="BU630" t="s">
        <v>12677</v>
      </c>
      <c r="BV630" s="3" t="str">
        <f>HYPERLINK("https://api.typeform.com/responses/files/ed9cfe273225ff4236b0fc35acff45ef9fa1bea273ecf9313c24e63390b59eb9/D8EC351F_66E0_4416_BA18_70772933EC95.jpeg")</f>
        <v>https://api.typeform.com/responses/files/ed9cfe273225ff4236b0fc35acff45ef9fa1bea273ecf9313c24e63390b59eb9/D8EC351F_66E0_4416_BA18_70772933EC95.jpeg</v>
      </c>
      <c r="BW630" t="b">
        <v>1</v>
      </c>
      <c r="BX630" t="s">
        <v>1394</v>
      </c>
      <c r="BY630" t="s">
        <v>140</v>
      </c>
      <c r="CA630" t="s">
        <v>1395</v>
      </c>
      <c r="CD630">
        <v>0.0</v>
      </c>
      <c r="CF630" t="b">
        <v>1</v>
      </c>
      <c r="CG630" t="b">
        <v>1</v>
      </c>
      <c r="CH630" t="s">
        <v>12678</v>
      </c>
      <c r="CJ630" t="b">
        <v>1</v>
      </c>
      <c r="CK630" t="b">
        <v>0</v>
      </c>
      <c r="CL630" t="s">
        <v>300</v>
      </c>
      <c r="CO630" t="s">
        <v>124</v>
      </c>
      <c r="CR630" t="b">
        <v>1</v>
      </c>
      <c r="CT630">
        <v>0.0</v>
      </c>
      <c r="CU630">
        <v>5.0</v>
      </c>
      <c r="CX630" t="s">
        <v>12679</v>
      </c>
      <c r="CZ630" s="5">
        <v>44939.801782407405</v>
      </c>
      <c r="DA630" t="s">
        <v>12680</v>
      </c>
    </row>
    <row r="631">
      <c r="A631" t="s">
        <v>98</v>
      </c>
      <c r="D631" t="s">
        <v>12681</v>
      </c>
      <c r="E631" t="s">
        <v>12682</v>
      </c>
      <c r="F631" s="2">
        <v>39021.0</v>
      </c>
      <c r="G631" t="s">
        <v>1360</v>
      </c>
      <c r="I631" s="3" t="str">
        <f>HYPERLINK("https://api.typeform.com/responses/files/5a17f910e1a34874bdb5840bce829c53984ffd3e903f1a191766ff068c58dbec/unnamed.jpeg")</f>
        <v>https://api.typeform.com/responses/files/5a17f910e1a34874bdb5840bce829c53984ffd3e903f1a191766ff068c58dbec/unnamed.jpeg</v>
      </c>
      <c r="J631" t="s">
        <v>12683</v>
      </c>
      <c r="K631" t="b">
        <v>1</v>
      </c>
      <c r="L631" s="4" t="s">
        <v>12684</v>
      </c>
      <c r="M631" t="s">
        <v>12685</v>
      </c>
      <c r="N631" t="s">
        <v>255</v>
      </c>
      <c r="O631" t="s">
        <v>12686</v>
      </c>
      <c r="P631" t="s">
        <v>12687</v>
      </c>
      <c r="Q631" t="s">
        <v>292</v>
      </c>
      <c r="R631" t="s">
        <v>12688</v>
      </c>
      <c r="S631" t="s">
        <v>12689</v>
      </c>
      <c r="T631" s="4" t="s">
        <v>12690</v>
      </c>
      <c r="U631" t="s">
        <v>12691</v>
      </c>
      <c r="V631" t="s">
        <v>12692</v>
      </c>
      <c r="W631" t="s">
        <v>261</v>
      </c>
      <c r="Y631" t="s">
        <v>158</v>
      </c>
      <c r="Z631" t="s">
        <v>262</v>
      </c>
      <c r="AC631" s="3" t="str">
        <f>HYPERLINK("https://api.typeform.com/responses/files/12900eb4d42d7931bef131717ec8b2e00dcbd0c71717e694c461fc3542ea5d93/unnamed.jpeg")</f>
        <v>https://api.typeform.com/responses/files/12900eb4d42d7931bef131717ec8b2e00dcbd0c71717e694c461fc3542ea5d93/unnamed.jpeg</v>
      </c>
      <c r="AD631" t="s">
        <v>118</v>
      </c>
      <c r="AE631" t="s">
        <v>729</v>
      </c>
      <c r="AF631" t="s">
        <v>12693</v>
      </c>
      <c r="AG631">
        <v>14.0</v>
      </c>
      <c r="AH631" s="4" t="s">
        <v>5053</v>
      </c>
      <c r="AI631" t="s">
        <v>386</v>
      </c>
      <c r="AK631" t="s">
        <v>139</v>
      </c>
      <c r="AL631" t="s">
        <v>12694</v>
      </c>
      <c r="AO631" t="s">
        <v>125</v>
      </c>
      <c r="AP631">
        <v>7.0</v>
      </c>
      <c r="AQ631" t="s">
        <v>2240</v>
      </c>
      <c r="AR631" t="s">
        <v>12695</v>
      </c>
      <c r="AS631" t="b">
        <v>1</v>
      </c>
      <c r="AT631" t="b">
        <v>0</v>
      </c>
      <c r="AV631">
        <v>6.0</v>
      </c>
      <c r="AW631" t="b">
        <v>1</v>
      </c>
      <c r="AX631" s="4" t="s">
        <v>1521</v>
      </c>
      <c r="AY631" t="s">
        <v>1451</v>
      </c>
      <c r="AZ631" t="b">
        <v>0</v>
      </c>
      <c r="BA631" t="b">
        <v>1</v>
      </c>
      <c r="BB631" t="b">
        <v>0</v>
      </c>
      <c r="BC631" t="s">
        <v>12696</v>
      </c>
      <c r="BH631" t="s">
        <v>132</v>
      </c>
      <c r="BI631">
        <v>4.0</v>
      </c>
      <c r="BJ631" t="s">
        <v>12697</v>
      </c>
      <c r="BK631">
        <v>5.0</v>
      </c>
      <c r="BL631">
        <v>7.0</v>
      </c>
      <c r="BM631" t="s">
        <v>12698</v>
      </c>
      <c r="BN631">
        <v>3.0</v>
      </c>
      <c r="BO631">
        <v>7.0</v>
      </c>
      <c r="BP631" t="s">
        <v>12699</v>
      </c>
      <c r="BQ631" t="s">
        <v>12225</v>
      </c>
      <c r="BR631" t="s">
        <v>12700</v>
      </c>
      <c r="BS631" t="s">
        <v>12701</v>
      </c>
      <c r="BU631" t="s">
        <v>3534</v>
      </c>
      <c r="BV631" s="3" t="str">
        <f>HYPERLINK("https://api.typeform.com/responses/files/1edcb3495e3d91b89b2080d18d9cb2151c0e199a84d83012d3ef2ab020e51c21/unnamed.jpeg")</f>
        <v>https://api.typeform.com/responses/files/1edcb3495e3d91b89b2080d18d9cb2151c0e199a84d83012d3ef2ab020e51c21/unnamed.jpeg</v>
      </c>
      <c r="BW631" t="b">
        <v>1</v>
      </c>
      <c r="BX631" t="s">
        <v>1394</v>
      </c>
      <c r="BY631" t="s">
        <v>140</v>
      </c>
      <c r="CA631" t="s">
        <v>1395</v>
      </c>
      <c r="CD631">
        <v>0.0</v>
      </c>
      <c r="CF631" t="b">
        <v>1</v>
      </c>
      <c r="CG631" t="b">
        <v>1</v>
      </c>
      <c r="CH631" t="s">
        <v>12702</v>
      </c>
      <c r="CJ631" t="b">
        <v>1</v>
      </c>
      <c r="CK631" t="b">
        <v>1</v>
      </c>
      <c r="CL631" t="s">
        <v>300</v>
      </c>
      <c r="CM631" t="s">
        <v>810</v>
      </c>
      <c r="CO631" t="s">
        <v>2068</v>
      </c>
      <c r="CQ631" t="s">
        <v>265</v>
      </c>
      <c r="CR631" t="b">
        <v>1</v>
      </c>
      <c r="CT631">
        <v>2.0</v>
      </c>
      <c r="CU631">
        <v>1.0</v>
      </c>
      <c r="CX631" s="4" t="s">
        <v>12703</v>
      </c>
      <c r="CZ631" s="5">
        <v>44939.8175462963</v>
      </c>
      <c r="DA631" t="s">
        <v>12704</v>
      </c>
    </row>
    <row r="632">
      <c r="A632" t="s">
        <v>98</v>
      </c>
      <c r="D632" t="s">
        <v>1612</v>
      </c>
      <c r="E632" t="s">
        <v>12705</v>
      </c>
      <c r="F632" s="2">
        <v>38285.0</v>
      </c>
      <c r="G632" t="s">
        <v>1360</v>
      </c>
      <c r="I632" s="3" t="str">
        <f>HYPERLINK("https://api.typeform.com/responses/files/8dfeef4bcb72b89269cf6ed044f668e2d535d3d13be1773cd4f8d3df9d318dc2/unnamed.jpeg")</f>
        <v>https://api.typeform.com/responses/files/8dfeef4bcb72b89269cf6ed044f668e2d535d3d13be1773cd4f8d3df9d318dc2/unnamed.jpeg</v>
      </c>
      <c r="J632" t="s">
        <v>12706</v>
      </c>
      <c r="K632" t="b">
        <v>1</v>
      </c>
      <c r="L632" s="4" t="s">
        <v>12707</v>
      </c>
      <c r="M632" t="s">
        <v>12708</v>
      </c>
      <c r="N632" t="s">
        <v>149</v>
      </c>
      <c r="P632" t="s">
        <v>12709</v>
      </c>
      <c r="Q632" t="s">
        <v>189</v>
      </c>
      <c r="R632" t="s">
        <v>12710</v>
      </c>
      <c r="S632" t="s">
        <v>12711</v>
      </c>
      <c r="T632" s="4" t="s">
        <v>12712</v>
      </c>
      <c r="U632" t="s">
        <v>9797</v>
      </c>
      <c r="V632" t="s">
        <v>9333</v>
      </c>
      <c r="W632" t="s">
        <v>261</v>
      </c>
      <c r="Y632" t="s">
        <v>158</v>
      </c>
      <c r="Z632" t="s">
        <v>262</v>
      </c>
      <c r="AC632" s="3" t="str">
        <f>HYPERLINK("https://api.typeform.com/responses/files/f5c8deb65f0499b9fa6010c73faaccaed726d617848823f1999671bb8b7706ae/unnamed.jpeg")</f>
        <v>https://api.typeform.com/responses/files/f5c8deb65f0499b9fa6010c73faaccaed726d617848823f1999671bb8b7706ae/unnamed.jpeg</v>
      </c>
      <c r="AD632" t="s">
        <v>118</v>
      </c>
      <c r="AE632" t="s">
        <v>729</v>
      </c>
      <c r="AF632" t="s">
        <v>3201</v>
      </c>
      <c r="AG632">
        <v>16.0</v>
      </c>
      <c r="AH632" s="4" t="s">
        <v>273</v>
      </c>
      <c r="AI632" t="s">
        <v>543</v>
      </c>
      <c r="AL632" t="s">
        <v>199</v>
      </c>
      <c r="AO632" t="s">
        <v>335</v>
      </c>
      <c r="AP632">
        <v>4.0</v>
      </c>
      <c r="AQ632" t="s">
        <v>268</v>
      </c>
      <c r="AR632" t="s">
        <v>12652</v>
      </c>
      <c r="AS632" t="b">
        <v>1</v>
      </c>
      <c r="AT632" t="b">
        <v>0</v>
      </c>
      <c r="AV632">
        <v>5.0</v>
      </c>
      <c r="AW632" t="b">
        <v>0</v>
      </c>
      <c r="AZ632" t="b">
        <v>0</v>
      </c>
      <c r="BA632" t="b">
        <v>1</v>
      </c>
      <c r="BB632" t="b">
        <v>0</v>
      </c>
      <c r="BC632" t="s">
        <v>12713</v>
      </c>
      <c r="BH632" t="s">
        <v>132</v>
      </c>
      <c r="BI632">
        <v>5.0</v>
      </c>
      <c r="BJ632" t="s">
        <v>139</v>
      </c>
      <c r="BK632">
        <v>4.0</v>
      </c>
      <c r="BL632">
        <v>5.0</v>
      </c>
      <c r="BM632" t="s">
        <v>12714</v>
      </c>
      <c r="BN632">
        <v>3.0</v>
      </c>
      <c r="BO632">
        <v>6.0</v>
      </c>
      <c r="BP632" t="s">
        <v>12715</v>
      </c>
      <c r="BQ632" t="s">
        <v>12716</v>
      </c>
      <c r="BR632" t="s">
        <v>12717</v>
      </c>
      <c r="BS632" t="s">
        <v>12718</v>
      </c>
      <c r="BU632" t="s">
        <v>606</v>
      </c>
      <c r="BV632" s="3" t="str">
        <f>HYPERLINK("https://api.typeform.com/responses/files/0d9fde2dd5484dfaeec4f441ab14396bdaca5bddfb2becd8837864f97a3319cc/unnamed.jpeg")</f>
        <v>https://api.typeform.com/responses/files/0d9fde2dd5484dfaeec4f441ab14396bdaca5bddfb2becd8837864f97a3319cc/unnamed.jpeg</v>
      </c>
      <c r="BW632" t="b">
        <v>1</v>
      </c>
      <c r="BX632" t="s">
        <v>1394</v>
      </c>
      <c r="BY632" t="s">
        <v>140</v>
      </c>
      <c r="CA632" t="s">
        <v>1395</v>
      </c>
      <c r="CD632">
        <v>0.0</v>
      </c>
      <c r="CF632" t="b">
        <v>1</v>
      </c>
      <c r="CG632" t="b">
        <v>1</v>
      </c>
      <c r="CH632" t="s">
        <v>1935</v>
      </c>
      <c r="CJ632" t="b">
        <v>1</v>
      </c>
      <c r="CK632" t="b">
        <v>1</v>
      </c>
      <c r="CL632" t="s">
        <v>2301</v>
      </c>
      <c r="CN632" t="s">
        <v>12719</v>
      </c>
      <c r="CO632" t="s">
        <v>1635</v>
      </c>
      <c r="CR632" t="b">
        <v>1</v>
      </c>
      <c r="CT632">
        <v>0.0</v>
      </c>
      <c r="CU632">
        <v>0.0</v>
      </c>
      <c r="CX632" s="4" t="s">
        <v>941</v>
      </c>
      <c r="CZ632" s="5">
        <v>44939.82266203704</v>
      </c>
      <c r="DA632" t="s">
        <v>12720</v>
      </c>
    </row>
    <row r="633">
      <c r="A633" t="s">
        <v>98</v>
      </c>
      <c r="D633" t="s">
        <v>12721</v>
      </c>
      <c r="E633" t="s">
        <v>12722</v>
      </c>
      <c r="F633" s="2">
        <v>38186.0</v>
      </c>
      <c r="G633" t="s">
        <v>1466</v>
      </c>
      <c r="I633" s="3" t="str">
        <f>HYPERLINK("https://api.typeform.com/responses/files/f7d238ab63b735e892e92daf636e8a21d84841a13894c92fc822f812be7284c8/unnamed.jpeg")</f>
        <v>https://api.typeform.com/responses/files/f7d238ab63b735e892e92daf636e8a21d84841a13894c92fc822f812be7284c8/unnamed.jpeg</v>
      </c>
      <c r="J633" t="s">
        <v>12723</v>
      </c>
      <c r="K633" t="b">
        <v>1</v>
      </c>
      <c r="L633" s="4" t="s">
        <v>12724</v>
      </c>
      <c r="M633" t="s">
        <v>12725</v>
      </c>
      <c r="N633" t="s">
        <v>149</v>
      </c>
      <c r="P633" t="s">
        <v>12726</v>
      </c>
      <c r="Q633" t="s">
        <v>189</v>
      </c>
      <c r="R633" t="s">
        <v>12727</v>
      </c>
      <c r="S633" t="s">
        <v>12728</v>
      </c>
      <c r="T633" s="4" t="s">
        <v>12729</v>
      </c>
      <c r="U633" t="s">
        <v>8313</v>
      </c>
      <c r="V633" t="s">
        <v>12730</v>
      </c>
      <c r="W633" t="s">
        <v>261</v>
      </c>
      <c r="Y633" t="s">
        <v>158</v>
      </c>
      <c r="Z633" t="s">
        <v>262</v>
      </c>
      <c r="AC633" s="3" t="str">
        <f>HYPERLINK("https://api.typeform.com/responses/files/37df749567263196dbe5112544a7f9601861bdedb90b142f52240451e35914cd/unnamed.jpeg")</f>
        <v>https://api.typeform.com/responses/files/37df749567263196dbe5112544a7f9601861bdedb90b142f52240451e35914cd/unnamed.jpeg</v>
      </c>
      <c r="AD633" t="s">
        <v>118</v>
      </c>
      <c r="AE633" t="s">
        <v>729</v>
      </c>
      <c r="AF633" t="s">
        <v>2292</v>
      </c>
      <c r="AG633">
        <v>16.0</v>
      </c>
      <c r="AH633" s="4" t="s">
        <v>273</v>
      </c>
      <c r="AI633" t="s">
        <v>386</v>
      </c>
      <c r="AK633" t="s">
        <v>139</v>
      </c>
      <c r="AL633" t="s">
        <v>1043</v>
      </c>
      <c r="AO633" t="s">
        <v>335</v>
      </c>
      <c r="AP633">
        <v>7.0</v>
      </c>
      <c r="AQ633" t="s">
        <v>268</v>
      </c>
      <c r="AR633" t="s">
        <v>8386</v>
      </c>
      <c r="AS633" t="b">
        <v>1</v>
      </c>
      <c r="AT633" t="b">
        <v>0</v>
      </c>
      <c r="AV633">
        <v>5.0</v>
      </c>
      <c r="AW633" t="b">
        <v>0</v>
      </c>
      <c r="AZ633" t="b">
        <v>0</v>
      </c>
      <c r="BA633" t="b">
        <v>0</v>
      </c>
      <c r="BD633" t="s">
        <v>12731</v>
      </c>
      <c r="BH633" t="s">
        <v>132</v>
      </c>
      <c r="BI633">
        <v>5.0</v>
      </c>
      <c r="BJ633" t="s">
        <v>139</v>
      </c>
      <c r="BK633">
        <v>6.0</v>
      </c>
      <c r="BL633">
        <v>7.0</v>
      </c>
      <c r="BM633" t="s">
        <v>12732</v>
      </c>
      <c r="BN633">
        <v>5.0</v>
      </c>
      <c r="BO633">
        <v>7.0</v>
      </c>
      <c r="BP633" t="s">
        <v>12733</v>
      </c>
      <c r="BQ633" t="s">
        <v>9824</v>
      </c>
      <c r="BR633" t="s">
        <v>12734</v>
      </c>
      <c r="BS633" t="s">
        <v>12735</v>
      </c>
      <c r="BU633" t="s">
        <v>12736</v>
      </c>
      <c r="BV633" s="3" t="str">
        <f>HYPERLINK("https://api.typeform.com/responses/files/a7208f555f58ee0fb9c852642b1b89e6c79614e24aa9cd24f5ca8cc2caa9f406/unnamed.jpeg")</f>
        <v>https://api.typeform.com/responses/files/a7208f555f58ee0fb9c852642b1b89e6c79614e24aa9cd24f5ca8cc2caa9f406/unnamed.jpeg</v>
      </c>
      <c r="BW633" t="b">
        <v>1</v>
      </c>
      <c r="BX633" t="s">
        <v>1394</v>
      </c>
      <c r="BY633" t="s">
        <v>140</v>
      </c>
      <c r="CA633" t="s">
        <v>1395</v>
      </c>
      <c r="CD633">
        <v>0.0</v>
      </c>
      <c r="CF633" t="b">
        <v>1</v>
      </c>
      <c r="CG633" t="b">
        <v>1</v>
      </c>
      <c r="CH633" t="s">
        <v>1935</v>
      </c>
      <c r="CJ633" t="b">
        <v>1</v>
      </c>
      <c r="CK633" t="b">
        <v>1</v>
      </c>
      <c r="CL633" t="s">
        <v>2301</v>
      </c>
      <c r="CO633" t="s">
        <v>1688</v>
      </c>
      <c r="CR633" t="b">
        <v>1</v>
      </c>
      <c r="CT633">
        <v>0.0</v>
      </c>
      <c r="CU633">
        <v>0.0</v>
      </c>
      <c r="CX633" s="4" t="s">
        <v>8027</v>
      </c>
      <c r="CZ633" s="5">
        <v>44939.822800925926</v>
      </c>
      <c r="DA633" t="s">
        <v>12737</v>
      </c>
    </row>
    <row r="634">
      <c r="A634" t="s">
        <v>98</v>
      </c>
      <c r="D634" t="s">
        <v>12738</v>
      </c>
      <c r="E634" t="s">
        <v>12739</v>
      </c>
      <c r="F634" s="2">
        <v>38071.0</v>
      </c>
      <c r="G634" t="s">
        <v>1466</v>
      </c>
      <c r="I634" s="3" t="str">
        <f>HYPERLINK("https://api.typeform.com/responses/files/3c43d1d6dd214e87bb25ba90eb1f262762b020d3d071f865f6e57067942642ef/unnamed.jpeg")</f>
        <v>https://api.typeform.com/responses/files/3c43d1d6dd214e87bb25ba90eb1f262762b020d3d071f865f6e57067942642ef/unnamed.jpeg</v>
      </c>
      <c r="J634" t="s">
        <v>12740</v>
      </c>
      <c r="K634" t="b">
        <v>1</v>
      </c>
      <c r="L634" s="4" t="s">
        <v>12741</v>
      </c>
      <c r="M634" t="s">
        <v>12742</v>
      </c>
      <c r="N634" t="s">
        <v>149</v>
      </c>
      <c r="P634" t="s">
        <v>12743</v>
      </c>
      <c r="Q634" t="s">
        <v>189</v>
      </c>
      <c r="R634" t="s">
        <v>12744</v>
      </c>
      <c r="S634" t="s">
        <v>12742</v>
      </c>
      <c r="T634" s="4" t="s">
        <v>12745</v>
      </c>
      <c r="U634" t="s">
        <v>9019</v>
      </c>
      <c r="V634" t="s">
        <v>9333</v>
      </c>
      <c r="W634" t="s">
        <v>261</v>
      </c>
      <c r="Y634" t="s">
        <v>158</v>
      </c>
      <c r="Z634" t="s">
        <v>262</v>
      </c>
      <c r="AC634" s="3" t="str">
        <f>HYPERLINK("https://api.typeform.com/responses/files/b8d340afd9d77d82bb4d567f696ad8f698a7842e3f2c23d6e3bd2035b659826c/unnamed.jpeg")</f>
        <v>https://api.typeform.com/responses/files/b8d340afd9d77d82bb4d567f696ad8f698a7842e3f2c23d6e3bd2035b659826c/unnamed.jpeg</v>
      </c>
      <c r="AD634" t="s">
        <v>118</v>
      </c>
      <c r="AE634" t="s">
        <v>729</v>
      </c>
      <c r="AF634" t="s">
        <v>2292</v>
      </c>
      <c r="AG634">
        <v>16.0</v>
      </c>
      <c r="AH634" s="4" t="s">
        <v>273</v>
      </c>
      <c r="AI634" t="s">
        <v>386</v>
      </c>
      <c r="AL634" t="s">
        <v>199</v>
      </c>
      <c r="AO634" t="s">
        <v>335</v>
      </c>
      <c r="AP634">
        <v>6.0</v>
      </c>
      <c r="AQ634" t="s">
        <v>268</v>
      </c>
      <c r="AR634" t="s">
        <v>8386</v>
      </c>
      <c r="AS634" t="b">
        <v>1</v>
      </c>
      <c r="AT634" t="b">
        <v>1</v>
      </c>
      <c r="AV634">
        <v>6.0</v>
      </c>
      <c r="AW634" t="b">
        <v>0</v>
      </c>
      <c r="AZ634" t="b">
        <v>0</v>
      </c>
      <c r="BA634" t="b">
        <v>0</v>
      </c>
      <c r="BD634" t="s">
        <v>1602</v>
      </c>
      <c r="BH634" t="s">
        <v>132</v>
      </c>
      <c r="BI634">
        <v>2.0</v>
      </c>
      <c r="BJ634" t="s">
        <v>179</v>
      </c>
      <c r="BK634">
        <v>5.0</v>
      </c>
      <c r="BL634">
        <v>7.0</v>
      </c>
      <c r="BM634" t="s">
        <v>12746</v>
      </c>
      <c r="BN634">
        <v>3.0</v>
      </c>
      <c r="BO634">
        <v>6.0</v>
      </c>
      <c r="BP634" t="s">
        <v>12747</v>
      </c>
      <c r="BQ634" t="s">
        <v>1353</v>
      </c>
      <c r="BR634" t="s">
        <v>12748</v>
      </c>
      <c r="BS634" t="s">
        <v>12749</v>
      </c>
      <c r="BU634" t="s">
        <v>528</v>
      </c>
      <c r="BV634" s="3" t="str">
        <f>HYPERLINK("https://api.typeform.com/responses/files/c3279c022ab6b054d1928cff25f48a4f6e702a04f308f3ed3be6879c9f17e8e8/unnamed.jpeg")</f>
        <v>https://api.typeform.com/responses/files/c3279c022ab6b054d1928cff25f48a4f6e702a04f308f3ed3be6879c9f17e8e8/unnamed.jpeg</v>
      </c>
      <c r="BW634" t="b">
        <v>1</v>
      </c>
      <c r="BX634" t="s">
        <v>1394</v>
      </c>
      <c r="BY634" t="s">
        <v>140</v>
      </c>
      <c r="CA634" t="s">
        <v>1395</v>
      </c>
      <c r="CD634">
        <v>0.0</v>
      </c>
      <c r="CF634" t="b">
        <v>1</v>
      </c>
      <c r="CG634" t="b">
        <v>1</v>
      </c>
      <c r="CH634" t="s">
        <v>1557</v>
      </c>
      <c r="CJ634" t="b">
        <v>1</v>
      </c>
      <c r="CK634" t="b">
        <v>1</v>
      </c>
      <c r="CL634" t="s">
        <v>2301</v>
      </c>
      <c r="CO634" t="s">
        <v>9607</v>
      </c>
      <c r="CR634" t="b">
        <v>1</v>
      </c>
      <c r="CT634">
        <v>0.0</v>
      </c>
      <c r="CU634">
        <v>0.0</v>
      </c>
      <c r="CX634" s="4" t="s">
        <v>941</v>
      </c>
      <c r="CZ634" s="5">
        <v>44939.82302083333</v>
      </c>
      <c r="DA634" t="s">
        <v>12750</v>
      </c>
    </row>
    <row r="635">
      <c r="A635" t="s">
        <v>98</v>
      </c>
      <c r="D635" t="s">
        <v>12751</v>
      </c>
      <c r="E635" t="s">
        <v>12752</v>
      </c>
      <c r="F635" s="2">
        <v>38285.0</v>
      </c>
      <c r="G635" t="s">
        <v>1360</v>
      </c>
      <c r="I635" s="3" t="str">
        <f>HYPERLINK("https://api.typeform.com/responses/files/c21d10693cf62553bdc00964e300ca749b35b791ce5f2cc8cce88453293775d7/unnamed.jpeg")</f>
        <v>https://api.typeform.com/responses/files/c21d10693cf62553bdc00964e300ca749b35b791ce5f2cc8cce88453293775d7/unnamed.jpeg</v>
      </c>
      <c r="J635" t="s">
        <v>12753</v>
      </c>
      <c r="K635" t="b">
        <v>1</v>
      </c>
      <c r="L635" s="4" t="s">
        <v>12754</v>
      </c>
      <c r="M635" t="s">
        <v>12755</v>
      </c>
      <c r="N635" t="s">
        <v>149</v>
      </c>
      <c r="P635" t="s">
        <v>12756</v>
      </c>
      <c r="Q635" t="s">
        <v>189</v>
      </c>
      <c r="R635" t="s">
        <v>12757</v>
      </c>
      <c r="S635" t="s">
        <v>12758</v>
      </c>
      <c r="T635" s="4" t="s">
        <v>12759</v>
      </c>
      <c r="U635" t="s">
        <v>10144</v>
      </c>
      <c r="V635" t="s">
        <v>9333</v>
      </c>
      <c r="W635" t="s">
        <v>261</v>
      </c>
      <c r="Y635" t="s">
        <v>158</v>
      </c>
      <c r="Z635" t="s">
        <v>262</v>
      </c>
      <c r="AC635" s="3" t="str">
        <f>HYPERLINK("https://api.typeform.com/responses/files/fe103676baf719dcf94a273a1673676a8759c8dd1d26fbed92863986e7d006e3/unnamed.jpeg")</f>
        <v>https://api.typeform.com/responses/files/fe103676baf719dcf94a273a1673676a8759c8dd1d26fbed92863986e7d006e3/unnamed.jpeg</v>
      </c>
      <c r="AD635" t="s">
        <v>118</v>
      </c>
      <c r="AE635" t="s">
        <v>729</v>
      </c>
      <c r="AF635" t="s">
        <v>7571</v>
      </c>
      <c r="AG635">
        <v>17.0</v>
      </c>
      <c r="AH635" t="s">
        <v>12760</v>
      </c>
      <c r="AI635" t="s">
        <v>162</v>
      </c>
      <c r="AK635" t="s">
        <v>12761</v>
      </c>
      <c r="AL635" t="s">
        <v>12762</v>
      </c>
      <c r="AO635" t="s">
        <v>335</v>
      </c>
      <c r="AP635">
        <v>4.0</v>
      </c>
      <c r="AQ635" t="s">
        <v>201</v>
      </c>
      <c r="AR635" t="s">
        <v>3300</v>
      </c>
      <c r="AS635" t="b">
        <v>1</v>
      </c>
      <c r="AT635" t="b">
        <v>1</v>
      </c>
      <c r="AV635">
        <v>4.0</v>
      </c>
      <c r="AW635" t="b">
        <v>0</v>
      </c>
      <c r="AZ635" t="b">
        <v>1</v>
      </c>
      <c r="BA635" t="b">
        <v>1</v>
      </c>
      <c r="BB635" t="b">
        <v>0</v>
      </c>
      <c r="BC635" t="s">
        <v>12763</v>
      </c>
      <c r="BH635" t="s">
        <v>132</v>
      </c>
      <c r="BI635">
        <v>3.0</v>
      </c>
      <c r="BJ635" t="s">
        <v>12764</v>
      </c>
      <c r="BK635">
        <v>4.0</v>
      </c>
      <c r="BL635">
        <v>4.0</v>
      </c>
      <c r="BM635" t="s">
        <v>12765</v>
      </c>
      <c r="BN635">
        <v>5.0</v>
      </c>
      <c r="BO635">
        <v>5.0</v>
      </c>
      <c r="BP635" t="s">
        <v>12766</v>
      </c>
      <c r="BQ635" t="s">
        <v>12767</v>
      </c>
      <c r="BR635" t="s">
        <v>12768</v>
      </c>
      <c r="BS635" t="s">
        <v>12769</v>
      </c>
      <c r="BU635" t="s">
        <v>12770</v>
      </c>
      <c r="BV635" s="3" t="str">
        <f>HYPERLINK("https://api.typeform.com/responses/files/7f1e96f5b68aeeedeb8e4d76b2dc18b4aaf46a335d37c7ca7be86363dca02d23/unnamed.jpeg")</f>
        <v>https://api.typeform.com/responses/files/7f1e96f5b68aeeedeb8e4d76b2dc18b4aaf46a335d37c7ca7be86363dca02d23/unnamed.jpeg</v>
      </c>
      <c r="BW635" t="b">
        <v>1</v>
      </c>
      <c r="BX635" t="s">
        <v>1394</v>
      </c>
      <c r="BY635" t="s">
        <v>140</v>
      </c>
      <c r="CA635" t="s">
        <v>1395</v>
      </c>
      <c r="CD635">
        <v>0.0</v>
      </c>
      <c r="CF635" t="b">
        <v>1</v>
      </c>
      <c r="CG635" t="b">
        <v>1</v>
      </c>
      <c r="CH635" t="s">
        <v>168</v>
      </c>
      <c r="CJ635" t="b">
        <v>1</v>
      </c>
      <c r="CK635" t="b">
        <v>1</v>
      </c>
      <c r="CL635" t="s">
        <v>2736</v>
      </c>
      <c r="CO635" t="s">
        <v>1635</v>
      </c>
      <c r="CR635" t="b">
        <v>1</v>
      </c>
      <c r="CT635">
        <v>0.0</v>
      </c>
      <c r="CU635">
        <v>0.0</v>
      </c>
      <c r="CX635" s="4" t="s">
        <v>3727</v>
      </c>
      <c r="CZ635" s="5">
        <v>44939.8233912037</v>
      </c>
      <c r="DA635" t="s">
        <v>12771</v>
      </c>
    </row>
    <row r="636">
      <c r="A636" t="s">
        <v>98</v>
      </c>
      <c r="D636" t="s">
        <v>12772</v>
      </c>
      <c r="E636" t="s">
        <v>12773</v>
      </c>
      <c r="F636" s="2">
        <v>38906.0</v>
      </c>
      <c r="G636" t="s">
        <v>1360</v>
      </c>
      <c r="I636" s="3" t="str">
        <f>HYPERLINK("https://api.typeform.com/responses/files/992af4e6171c4cf0e80faf5bc65cbbae8ab8de0b087b3e1647332b254fa2a788/unnamed.jpeg")</f>
        <v>https://api.typeform.com/responses/files/992af4e6171c4cf0e80faf5bc65cbbae8ab8de0b087b3e1647332b254fa2a788/unnamed.jpeg</v>
      </c>
      <c r="J636" t="s">
        <v>12774</v>
      </c>
      <c r="K636" t="b">
        <v>1</v>
      </c>
      <c r="L636" s="4" t="s">
        <v>12775</v>
      </c>
      <c r="M636" t="s">
        <v>12776</v>
      </c>
      <c r="N636" t="s">
        <v>149</v>
      </c>
      <c r="P636" t="s">
        <v>12777</v>
      </c>
      <c r="Q636" t="s">
        <v>152</v>
      </c>
      <c r="R636" t="s">
        <v>12778</v>
      </c>
      <c r="S636" t="s">
        <v>12776</v>
      </c>
      <c r="T636" s="4" t="s">
        <v>12779</v>
      </c>
      <c r="U636" t="s">
        <v>9797</v>
      </c>
      <c r="V636" t="s">
        <v>8497</v>
      </c>
      <c r="W636" t="s">
        <v>261</v>
      </c>
      <c r="Y636" t="s">
        <v>158</v>
      </c>
      <c r="Z636" t="s">
        <v>262</v>
      </c>
      <c r="AC636" s="3" t="str">
        <f>HYPERLINK("https://api.typeform.com/responses/files/2c982d71f6344442c02f9e696f45d392a3f8359339e41882d4d50487241ede9c/unnamed.jpeg")</f>
        <v>https://api.typeform.com/responses/files/2c982d71f6344442c02f9e696f45d392a3f8359339e41882d4d50487241ede9c/unnamed.jpeg</v>
      </c>
      <c r="AD636" t="s">
        <v>118</v>
      </c>
      <c r="AE636" t="s">
        <v>729</v>
      </c>
      <c r="AF636" t="s">
        <v>8774</v>
      </c>
      <c r="AG636">
        <v>13.0</v>
      </c>
      <c r="AH636" t="s">
        <v>12780</v>
      </c>
      <c r="AI636" t="s">
        <v>162</v>
      </c>
      <c r="AK636" t="s">
        <v>12781</v>
      </c>
      <c r="AL636" t="s">
        <v>12782</v>
      </c>
      <c r="AO636" t="s">
        <v>335</v>
      </c>
      <c r="AP636">
        <v>4.0</v>
      </c>
      <c r="AQ636" t="s">
        <v>126</v>
      </c>
      <c r="AR636" t="s">
        <v>12783</v>
      </c>
      <c r="AS636" t="b">
        <v>1</v>
      </c>
      <c r="AT636" t="b">
        <v>1</v>
      </c>
      <c r="AV636">
        <v>4.0</v>
      </c>
      <c r="AW636" t="b">
        <v>0</v>
      </c>
      <c r="AZ636" t="b">
        <v>1</v>
      </c>
      <c r="BA636" t="b">
        <v>1</v>
      </c>
      <c r="BB636" t="b">
        <v>0</v>
      </c>
      <c r="BC636" t="s">
        <v>12784</v>
      </c>
      <c r="BH636" t="s">
        <v>132</v>
      </c>
      <c r="BI636">
        <v>5.0</v>
      </c>
      <c r="BJ636" t="s">
        <v>12785</v>
      </c>
      <c r="BK636">
        <v>5.0</v>
      </c>
      <c r="BL636">
        <v>6.0</v>
      </c>
      <c r="BM636" t="s">
        <v>2596</v>
      </c>
      <c r="BN636">
        <v>4.0</v>
      </c>
      <c r="BO636">
        <v>3.0</v>
      </c>
      <c r="BP636" t="s">
        <v>12786</v>
      </c>
      <c r="BQ636" t="s">
        <v>2496</v>
      </c>
      <c r="BR636" t="s">
        <v>12787</v>
      </c>
      <c r="BS636" t="s">
        <v>12788</v>
      </c>
      <c r="BU636" t="s">
        <v>12789</v>
      </c>
      <c r="BV636" s="3" t="str">
        <f>HYPERLINK("https://api.typeform.com/responses/files/d712cc558f86e1e7649763019be88410c6a10c7ec1ecd60ed28bb44c15b3ff4e/unnamed.jpeg")</f>
        <v>https://api.typeform.com/responses/files/d712cc558f86e1e7649763019be88410c6a10c7ec1ecd60ed28bb44c15b3ff4e/unnamed.jpeg</v>
      </c>
      <c r="BW636" t="b">
        <v>1</v>
      </c>
      <c r="BX636" t="s">
        <v>1394</v>
      </c>
      <c r="BY636" t="s">
        <v>140</v>
      </c>
      <c r="CA636" t="s">
        <v>1395</v>
      </c>
      <c r="CD636">
        <v>0.0</v>
      </c>
      <c r="CF636" t="b">
        <v>1</v>
      </c>
      <c r="CG636" t="b">
        <v>1</v>
      </c>
      <c r="CH636" t="s">
        <v>12790</v>
      </c>
      <c r="CJ636" t="b">
        <v>1</v>
      </c>
      <c r="CK636" t="b">
        <v>1</v>
      </c>
      <c r="CL636" t="s">
        <v>636</v>
      </c>
      <c r="CO636" t="s">
        <v>2325</v>
      </c>
      <c r="CR636" t="b">
        <v>1</v>
      </c>
      <c r="CT636">
        <v>0.0</v>
      </c>
      <c r="CU636">
        <v>0.0</v>
      </c>
      <c r="CX636" s="4" t="s">
        <v>12791</v>
      </c>
      <c r="CZ636" s="5">
        <v>44939.823796296296</v>
      </c>
      <c r="DA636" t="s">
        <v>12792</v>
      </c>
    </row>
    <row r="637">
      <c r="A637" t="s">
        <v>98</v>
      </c>
      <c r="D637" t="s">
        <v>5313</v>
      </c>
      <c r="E637" t="s">
        <v>12793</v>
      </c>
      <c r="F637" s="2">
        <v>38927.0</v>
      </c>
      <c r="G637" t="s">
        <v>1360</v>
      </c>
      <c r="I637" s="3" t="str">
        <f>HYPERLINK("https://api.typeform.com/responses/files/e6cc5b6df8bc9a6bacda9087a6b1b8f9cc10a54b8de6b2d943036c89aa7a4276/unnamed.jpeg")</f>
        <v>https://api.typeform.com/responses/files/e6cc5b6df8bc9a6bacda9087a6b1b8f9cc10a54b8de6b2d943036c89aa7a4276/unnamed.jpeg</v>
      </c>
      <c r="J637" t="s">
        <v>12794</v>
      </c>
      <c r="K637" t="b">
        <v>1</v>
      </c>
      <c r="L637" s="4" t="s">
        <v>12795</v>
      </c>
      <c r="M637" t="s">
        <v>12796</v>
      </c>
      <c r="N637" t="s">
        <v>255</v>
      </c>
      <c r="O637" t="s">
        <v>12797</v>
      </c>
      <c r="P637" t="s">
        <v>12798</v>
      </c>
      <c r="Q637" t="s">
        <v>1510</v>
      </c>
      <c r="R637" t="s">
        <v>12799</v>
      </c>
      <c r="S637" t="s">
        <v>12800</v>
      </c>
      <c r="T637" s="4" t="s">
        <v>12801</v>
      </c>
      <c r="U637" t="s">
        <v>12802</v>
      </c>
      <c r="V637" t="s">
        <v>9333</v>
      </c>
      <c r="W637" t="s">
        <v>261</v>
      </c>
      <c r="Y637" t="s">
        <v>158</v>
      </c>
      <c r="Z637" t="s">
        <v>262</v>
      </c>
      <c r="AC637" s="3" t="str">
        <f>HYPERLINK("https://api.typeform.com/responses/files/69cfc2ae783cbfb00184830a406b95f94d2b49348f6417eed8cfaa27614a705d/unnamed.jpeg")</f>
        <v>https://api.typeform.com/responses/files/69cfc2ae783cbfb00184830a406b95f94d2b49348f6417eed8cfaa27614a705d/unnamed.jpeg</v>
      </c>
      <c r="AD637" t="s">
        <v>118</v>
      </c>
      <c r="AE637" t="s">
        <v>1220</v>
      </c>
      <c r="AF637" t="s">
        <v>12803</v>
      </c>
      <c r="AG637">
        <v>15.0</v>
      </c>
      <c r="AH637" t="s">
        <v>12804</v>
      </c>
      <c r="AI637" t="s">
        <v>121</v>
      </c>
      <c r="AK637" t="s">
        <v>179</v>
      </c>
      <c r="AL637" t="s">
        <v>12805</v>
      </c>
      <c r="AO637" t="s">
        <v>125</v>
      </c>
      <c r="AP637">
        <v>7.0</v>
      </c>
      <c r="AQ637" t="s">
        <v>126</v>
      </c>
      <c r="AR637" t="s">
        <v>12806</v>
      </c>
      <c r="AS637" t="b">
        <v>1</v>
      </c>
      <c r="AT637" t="b">
        <v>0</v>
      </c>
      <c r="AV637">
        <v>5.0</v>
      </c>
      <c r="AW637" t="b">
        <v>0</v>
      </c>
      <c r="AZ637" t="b">
        <v>0</v>
      </c>
      <c r="BA637" t="b">
        <v>0</v>
      </c>
      <c r="BD637" t="s">
        <v>1124</v>
      </c>
      <c r="BH637" t="s">
        <v>132</v>
      </c>
      <c r="BI637">
        <v>4.0</v>
      </c>
      <c r="BJ637" t="s">
        <v>12807</v>
      </c>
      <c r="BK637">
        <v>6.0</v>
      </c>
      <c r="BL637">
        <v>7.0</v>
      </c>
      <c r="BM637" t="s">
        <v>12808</v>
      </c>
      <c r="BN637">
        <v>5.0</v>
      </c>
      <c r="BO637">
        <v>5.0</v>
      </c>
      <c r="BP637" t="s">
        <v>12809</v>
      </c>
      <c r="BQ637" t="s">
        <v>3464</v>
      </c>
      <c r="BR637" t="s">
        <v>12810</v>
      </c>
      <c r="BS637" t="s">
        <v>12811</v>
      </c>
      <c r="BU637" t="s">
        <v>179</v>
      </c>
      <c r="BV637" s="3" t="str">
        <f>HYPERLINK("https://api.typeform.com/responses/files/e83a2374da3fe1575a7c041bbc8a5f7e0cd3039ac784b1cf17fb1c18508ce42c/unnamed.jpeg")</f>
        <v>https://api.typeform.com/responses/files/e83a2374da3fe1575a7c041bbc8a5f7e0cd3039ac784b1cf17fb1c18508ce42c/unnamed.jpeg</v>
      </c>
      <c r="BW637" t="b">
        <v>1</v>
      </c>
      <c r="BX637" t="s">
        <v>1394</v>
      </c>
      <c r="BY637" t="s">
        <v>140</v>
      </c>
      <c r="CA637" t="s">
        <v>1395</v>
      </c>
      <c r="CD637">
        <v>0.0</v>
      </c>
      <c r="CF637" t="b">
        <v>0</v>
      </c>
      <c r="CG637" t="b">
        <v>0</v>
      </c>
      <c r="CH637" t="s">
        <v>12812</v>
      </c>
      <c r="CJ637" t="b">
        <v>1</v>
      </c>
      <c r="CK637" t="b">
        <v>0</v>
      </c>
      <c r="CL637" t="s">
        <v>163</v>
      </c>
      <c r="CO637" t="s">
        <v>12813</v>
      </c>
      <c r="CR637" t="b">
        <v>1</v>
      </c>
      <c r="CT637">
        <v>0.0</v>
      </c>
      <c r="CU637">
        <v>0.0</v>
      </c>
      <c r="CX637" s="4" t="s">
        <v>3727</v>
      </c>
      <c r="CZ637" s="5">
        <v>44939.82776620371</v>
      </c>
      <c r="DA637" t="s">
        <v>12814</v>
      </c>
    </row>
    <row r="638">
      <c r="A638" t="s">
        <v>98</v>
      </c>
      <c r="D638" t="s">
        <v>12815</v>
      </c>
      <c r="E638" t="s">
        <v>12816</v>
      </c>
      <c r="F638" s="2">
        <v>38897.0</v>
      </c>
      <c r="G638" t="s">
        <v>1466</v>
      </c>
      <c r="I638" s="3" t="str">
        <f>HYPERLINK("https://api.typeform.com/responses/files/c9595e8def401c5a847f2261106c010ab206ef6486628a839812b2b3a8357da1/iTunes_Software_License.rtf")</f>
        <v>https://api.typeform.com/responses/files/c9595e8def401c5a847f2261106c010ab206ef6486628a839812b2b3a8357da1/iTunes_Software_License.rtf</v>
      </c>
      <c r="J638" t="s">
        <v>12817</v>
      </c>
      <c r="K638" t="b">
        <v>1</v>
      </c>
      <c r="L638" s="4" t="s">
        <v>12818</v>
      </c>
      <c r="M638" t="s">
        <v>12819</v>
      </c>
      <c r="N638" t="s">
        <v>255</v>
      </c>
      <c r="O638" t="s">
        <v>8986</v>
      </c>
      <c r="P638" t="s">
        <v>12820</v>
      </c>
      <c r="Q638" t="s">
        <v>152</v>
      </c>
      <c r="R638" t="s">
        <v>12821</v>
      </c>
      <c r="S638" t="s">
        <v>12819</v>
      </c>
      <c r="T638" s="4" t="s">
        <v>12822</v>
      </c>
      <c r="U638" t="s">
        <v>12553</v>
      </c>
      <c r="V638" t="s">
        <v>8497</v>
      </c>
      <c r="W638" t="s">
        <v>261</v>
      </c>
      <c r="Y638" t="s">
        <v>158</v>
      </c>
      <c r="Z638" t="s">
        <v>262</v>
      </c>
      <c r="AC638" s="3" t="str">
        <f>HYPERLINK("https://api.typeform.com/responses/files/42be6be4421178f3b2c6840a595fb152ebe64d0ed8d6b945ad431b565276c7fc/iTunes_Software_License.rtf")</f>
        <v>https://api.typeform.com/responses/files/42be6be4421178f3b2c6840a595fb152ebe64d0ed8d6b945ad431b565276c7fc/iTunes_Software_License.rtf</v>
      </c>
      <c r="AD638" t="s">
        <v>3642</v>
      </c>
      <c r="AE638" t="s">
        <v>3349</v>
      </c>
      <c r="AF638" t="s">
        <v>197</v>
      </c>
      <c r="AG638">
        <v>11.0</v>
      </c>
      <c r="AH638" t="s">
        <v>10129</v>
      </c>
      <c r="AI638" t="s">
        <v>121</v>
      </c>
      <c r="AK638" t="s">
        <v>12823</v>
      </c>
      <c r="AL638" t="s">
        <v>199</v>
      </c>
      <c r="AO638" t="s">
        <v>125</v>
      </c>
      <c r="AP638">
        <v>4.0</v>
      </c>
      <c r="AQ638" t="s">
        <v>1520</v>
      </c>
      <c r="AR638" t="s">
        <v>12824</v>
      </c>
      <c r="AS638" t="b">
        <v>1</v>
      </c>
      <c r="AT638" t="b">
        <v>0</v>
      </c>
      <c r="AV638">
        <v>6.0</v>
      </c>
      <c r="AW638" t="b">
        <v>0</v>
      </c>
      <c r="AZ638" t="b">
        <v>0</v>
      </c>
      <c r="BA638" t="b">
        <v>0</v>
      </c>
      <c r="BD638" t="s">
        <v>12825</v>
      </c>
      <c r="BH638" t="s">
        <v>132</v>
      </c>
      <c r="BI638">
        <v>1.0</v>
      </c>
      <c r="BJ638" t="s">
        <v>12826</v>
      </c>
      <c r="BK638">
        <v>4.0</v>
      </c>
      <c r="BL638">
        <v>6.0</v>
      </c>
      <c r="BM638" t="s">
        <v>12827</v>
      </c>
      <c r="BN638">
        <v>4.0</v>
      </c>
      <c r="BO638">
        <v>6.0</v>
      </c>
      <c r="BP638" t="s">
        <v>12828</v>
      </c>
      <c r="BQ638" t="s">
        <v>12829</v>
      </c>
      <c r="BR638" t="s">
        <v>12830</v>
      </c>
      <c r="BS638" t="s">
        <v>12831</v>
      </c>
      <c r="BU638" t="s">
        <v>12832</v>
      </c>
      <c r="BV638" s="3" t="str">
        <f>HYPERLINK("https://api.typeform.com/responses/files/8c216bfc9605fd6f4fbd9d3d8d24a27d860b163593292b821493776dc925e870/iTunes_Software_License.rtf")</f>
        <v>https://api.typeform.com/responses/files/8c216bfc9605fd6f4fbd9d3d8d24a27d860b163593292b821493776dc925e870/iTunes_Software_License.rtf</v>
      </c>
      <c r="BW638" t="b">
        <v>1</v>
      </c>
      <c r="BX638" t="s">
        <v>1394</v>
      </c>
      <c r="BY638" t="s">
        <v>140</v>
      </c>
      <c r="CA638" t="s">
        <v>1395</v>
      </c>
      <c r="CD638">
        <v>0.0</v>
      </c>
      <c r="CF638" t="b">
        <v>0</v>
      </c>
      <c r="CG638" t="b">
        <v>0</v>
      </c>
      <c r="CH638" t="s">
        <v>12833</v>
      </c>
      <c r="CJ638" t="b">
        <v>1</v>
      </c>
      <c r="CK638" t="b">
        <v>0</v>
      </c>
      <c r="CL638" t="s">
        <v>541</v>
      </c>
      <c r="CO638" t="s">
        <v>3041</v>
      </c>
      <c r="CR638" t="b">
        <v>1</v>
      </c>
      <c r="CT638">
        <v>1.0</v>
      </c>
      <c r="CU638">
        <v>0.0</v>
      </c>
      <c r="CX638" s="4" t="s">
        <v>6430</v>
      </c>
      <c r="CZ638" s="5">
        <v>44939.828252314815</v>
      </c>
      <c r="DA638" t="s">
        <v>12834</v>
      </c>
    </row>
    <row r="639">
      <c r="A639" t="s">
        <v>98</v>
      </c>
      <c r="D639" t="s">
        <v>12835</v>
      </c>
      <c r="E639" t="s">
        <v>12836</v>
      </c>
      <c r="F639" s="2">
        <v>37996.0</v>
      </c>
      <c r="G639" t="s">
        <v>1466</v>
      </c>
      <c r="I639" s="3" t="str">
        <f>HYPERLINK("https://api.typeform.com/responses/files/5c9ecebad6fb64eb3702e5900d2537f69398dd673f1d157b844beb810e716182/unnamed.jpeg")</f>
        <v>https://api.typeform.com/responses/files/5c9ecebad6fb64eb3702e5900d2537f69398dd673f1d157b844beb810e716182/unnamed.jpeg</v>
      </c>
      <c r="J639" t="s">
        <v>12837</v>
      </c>
      <c r="K639" t="b">
        <v>1</v>
      </c>
      <c r="L639" s="4" t="s">
        <v>12838</v>
      </c>
      <c r="M639" t="s">
        <v>12839</v>
      </c>
      <c r="N639" t="s">
        <v>354</v>
      </c>
      <c r="P639" t="s">
        <v>12840</v>
      </c>
      <c r="Q639" t="s">
        <v>189</v>
      </c>
      <c r="R639" t="s">
        <v>12841</v>
      </c>
      <c r="S639" t="s">
        <v>12842</v>
      </c>
      <c r="T639" s="4" t="s">
        <v>12843</v>
      </c>
      <c r="U639" t="s">
        <v>8313</v>
      </c>
      <c r="V639" t="s">
        <v>12844</v>
      </c>
      <c r="W639" t="s">
        <v>261</v>
      </c>
      <c r="Y639" t="s">
        <v>158</v>
      </c>
      <c r="Z639" t="s">
        <v>262</v>
      </c>
      <c r="AC639" s="3" t="str">
        <f>HYPERLINK("https://api.typeform.com/responses/files/e6c6d63426e2ef4a96c86a82d7177b828824fa3289987277f828b8b278a89f11/unnamed.jpeg")</f>
        <v>https://api.typeform.com/responses/files/e6c6d63426e2ef4a96c86a82d7177b828824fa3289987277f828b8b278a89f11/unnamed.jpeg</v>
      </c>
      <c r="AD639" t="s">
        <v>118</v>
      </c>
      <c r="AE639" t="s">
        <v>1220</v>
      </c>
      <c r="AF639" t="s">
        <v>12845</v>
      </c>
      <c r="AG639">
        <v>17.0</v>
      </c>
      <c r="AH639" s="4" t="s">
        <v>9841</v>
      </c>
      <c r="AI639" t="s">
        <v>121</v>
      </c>
      <c r="AK639" t="s">
        <v>606</v>
      </c>
      <c r="AL639" t="s">
        <v>12694</v>
      </c>
      <c r="AO639" t="s">
        <v>335</v>
      </c>
      <c r="AP639">
        <v>2.0</v>
      </c>
      <c r="AQ639" t="s">
        <v>303</v>
      </c>
      <c r="AR639" t="s">
        <v>12846</v>
      </c>
      <c r="AS639" t="b">
        <v>1</v>
      </c>
      <c r="AT639" t="b">
        <v>0</v>
      </c>
      <c r="AV639">
        <v>5.0</v>
      </c>
      <c r="AW639" t="b">
        <v>1</v>
      </c>
      <c r="AX639" t="s">
        <v>1902</v>
      </c>
      <c r="AY639" s="4" t="s">
        <v>518</v>
      </c>
      <c r="AZ639" t="b">
        <v>1</v>
      </c>
      <c r="BA639" t="b">
        <v>0</v>
      </c>
      <c r="BD639" t="s">
        <v>12847</v>
      </c>
      <c r="BH639" t="s">
        <v>132</v>
      </c>
      <c r="BI639">
        <v>1.0</v>
      </c>
      <c r="BJ639" t="s">
        <v>12848</v>
      </c>
      <c r="BK639">
        <v>7.0</v>
      </c>
      <c r="BL639">
        <v>5.0</v>
      </c>
      <c r="BM639" t="s">
        <v>12849</v>
      </c>
      <c r="BN639">
        <v>5.0</v>
      </c>
      <c r="BO639">
        <v>7.0</v>
      </c>
      <c r="BP639" t="s">
        <v>12850</v>
      </c>
      <c r="BQ639" t="s">
        <v>1606</v>
      </c>
      <c r="BR639" t="s">
        <v>12851</v>
      </c>
      <c r="BS639" t="s">
        <v>12852</v>
      </c>
      <c r="BU639" t="s">
        <v>606</v>
      </c>
      <c r="BV639" s="3" t="str">
        <f>HYPERLINK("https://api.typeform.com/responses/files/7399bc7b6d0bd9352fd1ea05d70dc4c3d921117aec73df0abf051c2f0b478a42/unnamed.jpeg")</f>
        <v>https://api.typeform.com/responses/files/7399bc7b6d0bd9352fd1ea05d70dc4c3d921117aec73df0abf051c2f0b478a42/unnamed.jpeg</v>
      </c>
      <c r="BW639" t="b">
        <v>1</v>
      </c>
      <c r="BX639" t="s">
        <v>1394</v>
      </c>
      <c r="BY639" t="s">
        <v>140</v>
      </c>
      <c r="CA639" t="s">
        <v>1395</v>
      </c>
      <c r="CD639">
        <v>0.0</v>
      </c>
      <c r="CF639" t="b">
        <v>1</v>
      </c>
      <c r="CG639" t="b">
        <v>1</v>
      </c>
      <c r="CH639" t="s">
        <v>1557</v>
      </c>
      <c r="CJ639" t="b">
        <v>1</v>
      </c>
      <c r="CK639" t="b">
        <v>0</v>
      </c>
      <c r="CL639" t="s">
        <v>300</v>
      </c>
      <c r="CM639" t="s">
        <v>3213</v>
      </c>
      <c r="CO639" t="s">
        <v>2068</v>
      </c>
      <c r="CQ639" t="s">
        <v>3213</v>
      </c>
      <c r="CR639" t="b">
        <v>1</v>
      </c>
      <c r="CT639">
        <v>0.0</v>
      </c>
      <c r="CU639">
        <v>5.0</v>
      </c>
      <c r="CX639" s="4" t="s">
        <v>6430</v>
      </c>
      <c r="CZ639" s="5">
        <v>44939.84039351852</v>
      </c>
      <c r="DA639" t="s">
        <v>12853</v>
      </c>
    </row>
    <row r="640">
      <c r="A640" t="s">
        <v>98</v>
      </c>
      <c r="D640" t="s">
        <v>12854</v>
      </c>
      <c r="E640" t="s">
        <v>12855</v>
      </c>
      <c r="F640" s="2">
        <v>37898.0</v>
      </c>
      <c r="G640" t="s">
        <v>1466</v>
      </c>
      <c r="I640" s="3" t="str">
        <f>HYPERLINK("https://api.typeform.com/responses/files/5760fec624d8bbbce8e9c6c17df21c0107931c7b374a285a7605a0f5cb1634d9/unnamed.jpeg")</f>
        <v>https://api.typeform.com/responses/files/5760fec624d8bbbce8e9c6c17df21c0107931c7b374a285a7605a0f5cb1634d9/unnamed.jpeg</v>
      </c>
      <c r="J640" t="s">
        <v>12856</v>
      </c>
      <c r="K640" t="b">
        <v>1</v>
      </c>
      <c r="L640" s="4" t="s">
        <v>12857</v>
      </c>
      <c r="M640" t="s">
        <v>12858</v>
      </c>
      <c r="N640" t="s">
        <v>255</v>
      </c>
      <c r="P640" t="s">
        <v>12855</v>
      </c>
      <c r="Q640" t="s">
        <v>1510</v>
      </c>
      <c r="R640" t="s">
        <v>12859</v>
      </c>
      <c r="S640" t="s">
        <v>12860</v>
      </c>
      <c r="T640" s="4" t="s">
        <v>12857</v>
      </c>
      <c r="U640" t="s">
        <v>9797</v>
      </c>
      <c r="V640" t="s">
        <v>12861</v>
      </c>
      <c r="W640" t="s">
        <v>261</v>
      </c>
      <c r="Y640" t="s">
        <v>158</v>
      </c>
      <c r="Z640" t="s">
        <v>262</v>
      </c>
      <c r="AC640" s="3" t="str">
        <f>HYPERLINK("https://api.typeform.com/responses/files/8300d6489a29974829c1635d2e1e5135cb288656d14be702c59d369557ff1f00/unnamed.jpeg")</f>
        <v>https://api.typeform.com/responses/files/8300d6489a29974829c1635d2e1e5135cb288656d14be702c59d369557ff1f00/unnamed.jpeg</v>
      </c>
      <c r="AD640" t="s">
        <v>118</v>
      </c>
      <c r="AE640" t="s">
        <v>729</v>
      </c>
      <c r="AF640" t="s">
        <v>3817</v>
      </c>
      <c r="AG640">
        <v>17.0</v>
      </c>
      <c r="AH640" t="s">
        <v>12862</v>
      </c>
      <c r="AI640" t="s">
        <v>121</v>
      </c>
      <c r="AK640" t="s">
        <v>12863</v>
      </c>
      <c r="AL640" t="s">
        <v>3818</v>
      </c>
      <c r="AO640" t="s">
        <v>335</v>
      </c>
      <c r="AP640">
        <v>7.0</v>
      </c>
      <c r="AQ640" t="s">
        <v>303</v>
      </c>
      <c r="AR640" t="s">
        <v>12864</v>
      </c>
      <c r="AS640" t="b">
        <v>0</v>
      </c>
      <c r="AV640">
        <v>7.0</v>
      </c>
      <c r="AW640" t="b">
        <v>0</v>
      </c>
      <c r="AZ640" t="b">
        <v>0</v>
      </c>
      <c r="BA640" t="b">
        <v>1</v>
      </c>
      <c r="BB640" t="b">
        <v>0</v>
      </c>
      <c r="BC640" t="s">
        <v>12865</v>
      </c>
      <c r="BH640" t="s">
        <v>132</v>
      </c>
      <c r="BI640">
        <v>1.0</v>
      </c>
      <c r="BJ640" t="s">
        <v>12866</v>
      </c>
      <c r="BK640">
        <v>1.0</v>
      </c>
      <c r="BL640">
        <v>3.0</v>
      </c>
      <c r="BM640" t="s">
        <v>8388</v>
      </c>
      <c r="BN640">
        <v>1.0</v>
      </c>
      <c r="BO640">
        <v>2.0</v>
      </c>
      <c r="BP640" t="s">
        <v>12867</v>
      </c>
      <c r="BQ640" t="s">
        <v>12868</v>
      </c>
      <c r="BR640" t="s">
        <v>12869</v>
      </c>
      <c r="BS640" t="s">
        <v>12870</v>
      </c>
      <c r="BU640" t="s">
        <v>12871</v>
      </c>
      <c r="BV640" s="3" t="str">
        <f>HYPERLINK("https://api.typeform.com/responses/files/77d2776a552e5b3f0db3767822ffc4309b989fb092933905d094a79ce99df293/unnamed.jpeg")</f>
        <v>https://api.typeform.com/responses/files/77d2776a552e5b3f0db3767822ffc4309b989fb092933905d094a79ce99df293/unnamed.jpeg</v>
      </c>
      <c r="BW640" t="b">
        <v>1</v>
      </c>
      <c r="BX640" t="s">
        <v>1394</v>
      </c>
      <c r="BY640" t="s">
        <v>140</v>
      </c>
      <c r="CA640" t="s">
        <v>1395</v>
      </c>
      <c r="CD640">
        <v>0.0</v>
      </c>
      <c r="CF640" t="b">
        <v>1</v>
      </c>
      <c r="CG640" t="b">
        <v>1</v>
      </c>
      <c r="CH640" t="s">
        <v>1935</v>
      </c>
      <c r="CJ640" t="b">
        <v>1</v>
      </c>
      <c r="CK640" t="b">
        <v>1</v>
      </c>
      <c r="CL640" t="s">
        <v>300</v>
      </c>
      <c r="CO640" t="s">
        <v>124</v>
      </c>
      <c r="CR640" t="b">
        <v>1</v>
      </c>
      <c r="CT640">
        <v>1.0</v>
      </c>
      <c r="CU640">
        <v>5.0</v>
      </c>
      <c r="CX640" s="4" t="s">
        <v>6430</v>
      </c>
      <c r="CZ640" s="5">
        <v>44939.84049768518</v>
      </c>
      <c r="DA640" t="s">
        <v>12872</v>
      </c>
    </row>
    <row r="641">
      <c r="A641" t="s">
        <v>98</v>
      </c>
      <c r="D641" t="s">
        <v>12873</v>
      </c>
      <c r="E641" t="s">
        <v>8012</v>
      </c>
      <c r="F641" s="2">
        <v>38832.0</v>
      </c>
      <c r="G641" t="s">
        <v>1466</v>
      </c>
      <c r="I641" s="3" t="str">
        <f>HYPERLINK("https://api.typeform.com/responses/files/381ab848ed108d8970862b7b964b9a276c07c654047856ee6c0874e2be18c6a2/unnamed.jpeg")</f>
        <v>https://api.typeform.com/responses/files/381ab848ed108d8970862b7b964b9a276c07c654047856ee6c0874e2be18c6a2/unnamed.jpeg</v>
      </c>
      <c r="J641" t="s">
        <v>12874</v>
      </c>
      <c r="K641" t="b">
        <v>1</v>
      </c>
      <c r="L641" s="4" t="s">
        <v>12875</v>
      </c>
      <c r="M641" t="s">
        <v>12876</v>
      </c>
      <c r="N641" t="s">
        <v>255</v>
      </c>
      <c r="O641" t="s">
        <v>12877</v>
      </c>
      <c r="P641" t="s">
        <v>12878</v>
      </c>
      <c r="Q641" t="s">
        <v>189</v>
      </c>
      <c r="R641" t="s">
        <v>12879</v>
      </c>
      <c r="S641" t="s">
        <v>12880</v>
      </c>
      <c r="T641" s="4" t="s">
        <v>12881</v>
      </c>
      <c r="U641" t="s">
        <v>8879</v>
      </c>
      <c r="V641" t="s">
        <v>7401</v>
      </c>
      <c r="W641" t="s">
        <v>261</v>
      </c>
      <c r="Y641" t="s">
        <v>158</v>
      </c>
      <c r="Z641" t="s">
        <v>262</v>
      </c>
      <c r="AC641" s="3" t="str">
        <f>HYPERLINK("https://api.typeform.com/responses/files/fb0742d0f030a6e8450a89d7101d39aeddd9ee6513603b1467785b42595a635c/IMG_4740.jpg")</f>
        <v>https://api.typeform.com/responses/files/fb0742d0f030a6e8450a89d7101d39aeddd9ee6513603b1467785b42595a635c/IMG_4740.jpg</v>
      </c>
      <c r="AD641" t="s">
        <v>118</v>
      </c>
      <c r="AE641" t="s">
        <v>781</v>
      </c>
      <c r="AF641" t="s">
        <v>7059</v>
      </c>
      <c r="AG641">
        <v>13.0</v>
      </c>
      <c r="AH641" s="4" t="s">
        <v>882</v>
      </c>
      <c r="AI641" t="s">
        <v>121</v>
      </c>
      <c r="AK641" t="s">
        <v>139</v>
      </c>
      <c r="AL641" t="s">
        <v>1043</v>
      </c>
      <c r="AO641" t="s">
        <v>335</v>
      </c>
      <c r="AP641">
        <v>5.0</v>
      </c>
      <c r="AQ641" t="s">
        <v>4222</v>
      </c>
      <c r="AR641" t="s">
        <v>10146</v>
      </c>
      <c r="AS641" t="b">
        <v>1</v>
      </c>
      <c r="AT641" t="b">
        <v>0</v>
      </c>
      <c r="AV641">
        <v>5.0</v>
      </c>
      <c r="AW641" t="b">
        <v>0</v>
      </c>
      <c r="AZ641" t="b">
        <v>0</v>
      </c>
      <c r="BA641" t="b">
        <v>0</v>
      </c>
      <c r="BD641" t="s">
        <v>3010</v>
      </c>
      <c r="BH641" t="s">
        <v>132</v>
      </c>
      <c r="BI641">
        <v>1.0</v>
      </c>
      <c r="BJ641" t="s">
        <v>12882</v>
      </c>
      <c r="BK641">
        <v>5.0</v>
      </c>
      <c r="BL641">
        <v>5.0</v>
      </c>
      <c r="BM641" t="s">
        <v>12883</v>
      </c>
      <c r="BN641">
        <v>3.0</v>
      </c>
      <c r="BO641">
        <v>6.0</v>
      </c>
      <c r="BP641" t="s">
        <v>12884</v>
      </c>
      <c r="BQ641" t="s">
        <v>8200</v>
      </c>
      <c r="BR641" t="s">
        <v>12885</v>
      </c>
      <c r="BS641" t="s">
        <v>12886</v>
      </c>
      <c r="BU641" t="s">
        <v>139</v>
      </c>
      <c r="BV641" s="3" t="str">
        <f>HYPERLINK("https://api.typeform.com/responses/files/854e849d8a8c027f94c43ffbfb99ac1bd453a01767f79cd834daf6896e64da98/unnamed.jpeg")</f>
        <v>https://api.typeform.com/responses/files/854e849d8a8c027f94c43ffbfb99ac1bd453a01767f79cd834daf6896e64da98/unnamed.jpeg</v>
      </c>
      <c r="BW641" t="b">
        <v>1</v>
      </c>
      <c r="BX641" t="s">
        <v>497</v>
      </c>
      <c r="BY641" t="s">
        <v>140</v>
      </c>
      <c r="CA641" t="s">
        <v>498</v>
      </c>
      <c r="CB641" t="s">
        <v>12887</v>
      </c>
      <c r="CD641">
        <v>0.0</v>
      </c>
      <c r="CF641" t="b">
        <v>1</v>
      </c>
      <c r="CG641" t="b">
        <v>1</v>
      </c>
      <c r="CH641" t="s">
        <v>12888</v>
      </c>
      <c r="CJ641" t="b">
        <v>1</v>
      </c>
      <c r="CK641" t="b">
        <v>1</v>
      </c>
      <c r="CL641" t="s">
        <v>541</v>
      </c>
      <c r="CO641" t="s">
        <v>2500</v>
      </c>
      <c r="CR641" t="b">
        <v>1</v>
      </c>
      <c r="CT641">
        <v>0.0</v>
      </c>
      <c r="CU641">
        <v>0.0</v>
      </c>
      <c r="CX641" s="4" t="s">
        <v>6430</v>
      </c>
      <c r="CZ641" s="5">
        <v>44943.717152777775</v>
      </c>
      <c r="DA641" t="s">
        <v>12889</v>
      </c>
    </row>
    <row r="642">
      <c r="A642" t="s">
        <v>98</v>
      </c>
      <c r="D642" t="s">
        <v>12890</v>
      </c>
      <c r="E642" t="s">
        <v>1415</v>
      </c>
      <c r="F642" s="2">
        <v>38377.0</v>
      </c>
      <c r="G642" t="s">
        <v>543</v>
      </c>
      <c r="I642" s="3" t="str">
        <f>HYPERLINK("https://api.typeform.com/responses/files/c5a25ec55e1757f10ffbdae77af54e48e40e73cd508213fdb01ae972e20d4b38/SPEAKHIRE_Circle_Logo_2022.png")</f>
        <v>https://api.typeform.com/responses/files/c5a25ec55e1757f10ffbdae77af54e48e40e73cd508213fdb01ae972e20d4b38/SPEAKHIRE_Circle_Logo_2022.png</v>
      </c>
      <c r="J642" t="s">
        <v>12891</v>
      </c>
      <c r="K642" t="b">
        <v>0</v>
      </c>
      <c r="M642" t="s">
        <v>12892</v>
      </c>
      <c r="N642" t="s">
        <v>255</v>
      </c>
      <c r="P642" t="s">
        <v>12890</v>
      </c>
      <c r="Q642" t="s">
        <v>563</v>
      </c>
      <c r="R642" t="s">
        <v>12891</v>
      </c>
      <c r="S642" s="4" t="s">
        <v>12893</v>
      </c>
      <c r="T642" s="4" t="s">
        <v>12894</v>
      </c>
      <c r="U642" t="s">
        <v>12895</v>
      </c>
      <c r="V642" t="s">
        <v>9749</v>
      </c>
      <c r="W642" t="s">
        <v>1412</v>
      </c>
      <c r="Y642" t="s">
        <v>158</v>
      </c>
      <c r="Z642" t="s">
        <v>159</v>
      </c>
      <c r="AC642" s="3" t="str">
        <f>HYPERLINK("https://api.typeform.com/responses/files/962c45739a3a2959104b8b5d48bdda1311e3c33f1c784d15a534dde5b3b2545f/SPEAKHIRE_Circle_Logo_2022.png")</f>
        <v>https://api.typeform.com/responses/files/962c45739a3a2959104b8b5d48bdda1311e3c33f1c784d15a534dde5b3b2545f/SPEAKHIRE_Circle_Logo_2022.png</v>
      </c>
      <c r="AD642" t="s">
        <v>1446</v>
      </c>
      <c r="AE642" t="s">
        <v>781</v>
      </c>
      <c r="AF642" t="s">
        <v>12892</v>
      </c>
      <c r="AG642">
        <v>2.0</v>
      </c>
      <c r="AH642" s="4" t="s">
        <v>339</v>
      </c>
      <c r="AI642" t="s">
        <v>386</v>
      </c>
      <c r="AK642" t="s">
        <v>139</v>
      </c>
      <c r="AL642" t="s">
        <v>12896</v>
      </c>
      <c r="AO642" t="s">
        <v>486</v>
      </c>
      <c r="AP642">
        <v>3.0</v>
      </c>
      <c r="AQ642" t="s">
        <v>1520</v>
      </c>
      <c r="AR642" t="s">
        <v>9749</v>
      </c>
      <c r="AS642" t="b">
        <v>1</v>
      </c>
      <c r="AT642" t="b">
        <v>1</v>
      </c>
      <c r="AV642">
        <v>2.0</v>
      </c>
      <c r="AW642" t="b">
        <v>0</v>
      </c>
      <c r="AZ642" t="b">
        <v>0</v>
      </c>
      <c r="BA642" t="b">
        <v>1</v>
      </c>
      <c r="BB642" t="b">
        <v>0</v>
      </c>
      <c r="BC642" t="s">
        <v>139</v>
      </c>
      <c r="BH642" t="s">
        <v>132</v>
      </c>
      <c r="BI642">
        <v>2.0</v>
      </c>
      <c r="BJ642" t="s">
        <v>9749</v>
      </c>
      <c r="BK642">
        <v>2.0</v>
      </c>
      <c r="BL642">
        <v>2.0</v>
      </c>
      <c r="BM642" t="s">
        <v>9749</v>
      </c>
      <c r="BN642">
        <v>2.0</v>
      </c>
      <c r="BO642">
        <v>3.0</v>
      </c>
      <c r="BP642" t="s">
        <v>9749</v>
      </c>
      <c r="BQ642" t="s">
        <v>1931</v>
      </c>
      <c r="BR642" t="s">
        <v>9749</v>
      </c>
      <c r="BS642" t="s">
        <v>9749</v>
      </c>
      <c r="BU642" t="s">
        <v>9749</v>
      </c>
      <c r="BV642" s="3" t="str">
        <f>HYPERLINK("https://api.typeform.com/responses/files/0ab658e05852592ec89f2d8a76fd171c76595fc53ef7a9f89f3f354f58e55eee/SPEAKHIRE_Circle_Logo_2022.png")</f>
        <v>https://api.typeform.com/responses/files/0ab658e05852592ec89f2d8a76fd171c76595fc53ef7a9f89f3f354f58e55eee/SPEAKHIRE_Circle_Logo_2022.png</v>
      </c>
      <c r="BW642" t="b">
        <v>1</v>
      </c>
      <c r="BX642" t="s">
        <v>1394</v>
      </c>
      <c r="BY642" t="s">
        <v>140</v>
      </c>
      <c r="CA642" t="s">
        <v>1395</v>
      </c>
      <c r="CD642">
        <v>0.0</v>
      </c>
      <c r="CF642" t="b">
        <v>0</v>
      </c>
      <c r="CG642" t="b">
        <v>0</v>
      </c>
      <c r="CH642" t="s">
        <v>9749</v>
      </c>
      <c r="CJ642" t="b">
        <v>0</v>
      </c>
      <c r="CK642" t="b">
        <v>0</v>
      </c>
      <c r="CL642" t="s">
        <v>413</v>
      </c>
      <c r="CM642" t="s">
        <v>413</v>
      </c>
      <c r="CO642" t="s">
        <v>9749</v>
      </c>
      <c r="CP642" t="s">
        <v>10129</v>
      </c>
      <c r="CQ642" t="s">
        <v>413</v>
      </c>
      <c r="CR642" t="b">
        <v>1</v>
      </c>
      <c r="CT642">
        <v>2.0</v>
      </c>
      <c r="CU642">
        <v>2.0</v>
      </c>
      <c r="CX642" s="4" t="s">
        <v>273</v>
      </c>
      <c r="CZ642" s="5">
        <v>44943.741585648146</v>
      </c>
      <c r="DA642" t="s">
        <v>12897</v>
      </c>
    </row>
    <row r="643">
      <c r="A643" t="s">
        <v>98</v>
      </c>
      <c r="D643" t="s">
        <v>12898</v>
      </c>
      <c r="E643" t="s">
        <v>12899</v>
      </c>
      <c r="F643" s="2">
        <v>38583.0</v>
      </c>
      <c r="G643" t="s">
        <v>1360</v>
      </c>
      <c r="I643" s="3" t="str">
        <f>HYPERLINK("https://api.typeform.com/responses/files/10b4d90281774a5bbf774d130c6750a4aa825c886a55420b7a99e113753e2c7b/IMG_6033.jpg")</f>
        <v>https://api.typeform.com/responses/files/10b4d90281774a5bbf774d130c6750a4aa825c886a55420b7a99e113753e2c7b/IMG_6033.jpg</v>
      </c>
      <c r="J643" t="s">
        <v>12900</v>
      </c>
      <c r="K643" t="b">
        <v>1</v>
      </c>
      <c r="L643" s="4" t="s">
        <v>12901</v>
      </c>
      <c r="M643" t="s">
        <v>12902</v>
      </c>
      <c r="N643" t="s">
        <v>255</v>
      </c>
      <c r="P643" t="s">
        <v>12903</v>
      </c>
      <c r="Q643" t="s">
        <v>292</v>
      </c>
      <c r="R643" t="s">
        <v>12900</v>
      </c>
      <c r="S643" t="s">
        <v>12902</v>
      </c>
      <c r="T643" s="4" t="s">
        <v>12904</v>
      </c>
      <c r="U643" t="s">
        <v>2380</v>
      </c>
      <c r="V643" t="s">
        <v>12905</v>
      </c>
      <c r="W643" t="s">
        <v>261</v>
      </c>
      <c r="Y643" t="s">
        <v>158</v>
      </c>
      <c r="Z643" t="s">
        <v>159</v>
      </c>
      <c r="AC643" s="3" t="str">
        <f>HYPERLINK("https://api.typeform.com/responses/files/e7560f0a23b0f23a0f8b0eff113b0aa0b936d81b5333652a2f649475e07a5ace/PHOTO_2022_12_14_21_40_03.jpg")</f>
        <v>https://api.typeform.com/responses/files/e7560f0a23b0f23a0f8b0eff113b0aa0b936d81b5333652a2f649475e07a5ace/PHOTO_2022_12_14_21_40_03.jpg</v>
      </c>
      <c r="AD643" t="s">
        <v>758</v>
      </c>
      <c r="AE643" t="s">
        <v>1220</v>
      </c>
      <c r="AF643" t="s">
        <v>540</v>
      </c>
      <c r="AG643">
        <v>15.0</v>
      </c>
      <c r="AH643" t="s">
        <v>12906</v>
      </c>
      <c r="AI643" t="s">
        <v>121</v>
      </c>
      <c r="AL643" t="s">
        <v>12907</v>
      </c>
      <c r="AO643" t="s">
        <v>125</v>
      </c>
      <c r="AP643">
        <v>6.0</v>
      </c>
      <c r="AQ643" t="s">
        <v>126</v>
      </c>
      <c r="AR643" t="s">
        <v>12908</v>
      </c>
      <c r="AS643" t="b">
        <v>0</v>
      </c>
      <c r="AV643">
        <v>4.0</v>
      </c>
      <c r="AW643" t="b">
        <v>1</v>
      </c>
      <c r="AX643" t="s">
        <v>1902</v>
      </c>
      <c r="AY643" t="s">
        <v>1451</v>
      </c>
      <c r="AZ643" t="b">
        <v>0</v>
      </c>
      <c r="BA643" t="b">
        <v>0</v>
      </c>
      <c r="BD643" t="s">
        <v>12909</v>
      </c>
      <c r="BH643" t="s">
        <v>132</v>
      </c>
      <c r="BI643">
        <v>5.0</v>
      </c>
      <c r="BJ643" t="s">
        <v>12910</v>
      </c>
      <c r="BK643">
        <v>6.0</v>
      </c>
      <c r="BL643">
        <v>5.0</v>
      </c>
      <c r="BM643" t="s">
        <v>12911</v>
      </c>
      <c r="BN643">
        <v>5.0</v>
      </c>
      <c r="BO643">
        <v>6.0</v>
      </c>
      <c r="BP643" t="s">
        <v>12912</v>
      </c>
      <c r="BQ643" t="s">
        <v>12913</v>
      </c>
      <c r="BR643" t="s">
        <v>12914</v>
      </c>
      <c r="BS643" t="s">
        <v>12915</v>
      </c>
      <c r="BU643" t="s">
        <v>1182</v>
      </c>
      <c r="BV643" s="3" t="str">
        <f>HYPERLINK("https://api.typeform.com/responses/files/b16090511546e7882ceab07c1add83490835a7f6cff215f83f61d51e03d3849c/93577.jpg")</f>
        <v>https://api.typeform.com/responses/files/b16090511546e7882ceab07c1add83490835a7f6cff215f83f61d51e03d3849c/93577.jpg</v>
      </c>
      <c r="BW643" t="b">
        <v>1</v>
      </c>
      <c r="BX643" t="s">
        <v>1394</v>
      </c>
      <c r="BY643" t="s">
        <v>140</v>
      </c>
      <c r="CA643" t="s">
        <v>1395</v>
      </c>
      <c r="CD643">
        <v>0.0</v>
      </c>
      <c r="CF643" t="b">
        <v>1</v>
      </c>
      <c r="CG643" t="b">
        <v>1</v>
      </c>
      <c r="CH643" t="s">
        <v>9967</v>
      </c>
      <c r="CJ643" t="b">
        <v>1</v>
      </c>
      <c r="CK643" t="b">
        <v>0</v>
      </c>
      <c r="CL643" t="s">
        <v>198</v>
      </c>
      <c r="CO643" t="s">
        <v>1146</v>
      </c>
      <c r="CR643" t="b">
        <v>1</v>
      </c>
      <c r="CT643">
        <v>1.0</v>
      </c>
      <c r="CU643">
        <v>0.0</v>
      </c>
      <c r="CX643" s="4" t="s">
        <v>2995</v>
      </c>
      <c r="CZ643" s="5">
        <v>44947.75913194445</v>
      </c>
      <c r="DA643" t="s">
        <v>12916</v>
      </c>
    </row>
    <row r="644">
      <c r="A644" t="s">
        <v>98</v>
      </c>
      <c r="D644" t="s">
        <v>12917</v>
      </c>
      <c r="E644" t="s">
        <v>12918</v>
      </c>
      <c r="F644" s="2">
        <v>38853.0</v>
      </c>
      <c r="G644" t="s">
        <v>1466</v>
      </c>
      <c r="I644" s="3" t="str">
        <f>HYPERLINK("https://api.typeform.com/responses/files/186ab71f2f0dae6fb2f048d16e1f2c539397aec68f5217f381796f6b38622b75/unnamed.jpeg")</f>
        <v>https://api.typeform.com/responses/files/186ab71f2f0dae6fb2f048d16e1f2c539397aec68f5217f381796f6b38622b75/unnamed.jpeg</v>
      </c>
      <c r="J644" t="s">
        <v>12919</v>
      </c>
      <c r="K644" t="b">
        <v>1</v>
      </c>
      <c r="L644" s="4" t="s">
        <v>12920</v>
      </c>
      <c r="M644" t="s">
        <v>12921</v>
      </c>
      <c r="N644" t="s">
        <v>149</v>
      </c>
      <c r="P644" t="s">
        <v>12922</v>
      </c>
      <c r="Q644" t="s">
        <v>189</v>
      </c>
      <c r="R644" t="s">
        <v>12923</v>
      </c>
      <c r="S644" t="s">
        <v>12924</v>
      </c>
      <c r="T644" s="4" t="s">
        <v>12925</v>
      </c>
      <c r="U644" t="s">
        <v>12926</v>
      </c>
      <c r="V644" t="s">
        <v>934</v>
      </c>
      <c r="W644" t="s">
        <v>113</v>
      </c>
      <c r="Y644" t="s">
        <v>158</v>
      </c>
      <c r="Z644" t="s">
        <v>195</v>
      </c>
      <c r="AC644" s="3" t="str">
        <f>HYPERLINK("https://api.typeform.com/responses/files/3c5d7663ab0f9cb8c397af8442beec04e903088339da48d6cfe0a7bcb551aaf9/Report_for_Ronald_Pujols_2023_01_23_20_23.pdf")</f>
        <v>https://api.typeform.com/responses/files/3c5d7663ab0f9cb8c397af8442beec04e903088339da48d6cfe0a7bcb551aaf9/Report_for_Ronald_Pujols_2023_01_23_20_23.pdf</v>
      </c>
      <c r="AD644" t="s">
        <v>1446</v>
      </c>
      <c r="AE644" t="s">
        <v>729</v>
      </c>
      <c r="AF644" t="s">
        <v>2029</v>
      </c>
      <c r="AG644">
        <v>12.0</v>
      </c>
      <c r="AH644" s="4" t="s">
        <v>520</v>
      </c>
      <c r="AI644" t="s">
        <v>121</v>
      </c>
      <c r="AK644" t="s">
        <v>139</v>
      </c>
      <c r="AL644" t="s">
        <v>1706</v>
      </c>
      <c r="AO644" t="s">
        <v>125</v>
      </c>
      <c r="AP644">
        <v>7.0</v>
      </c>
      <c r="AQ644" t="s">
        <v>201</v>
      </c>
      <c r="AR644" t="s">
        <v>12927</v>
      </c>
      <c r="AS644" t="b">
        <v>1</v>
      </c>
      <c r="AT644" t="b">
        <v>1</v>
      </c>
      <c r="AV644">
        <v>4.0</v>
      </c>
      <c r="AW644" t="b">
        <v>0</v>
      </c>
      <c r="AZ644" t="b">
        <v>1</v>
      </c>
      <c r="BA644" t="b">
        <v>1</v>
      </c>
      <c r="BB644" t="b">
        <v>0</v>
      </c>
      <c r="BC644" t="s">
        <v>12928</v>
      </c>
      <c r="BH644" t="s">
        <v>132</v>
      </c>
      <c r="BI644">
        <v>4.0</v>
      </c>
      <c r="BJ644" s="4" t="s">
        <v>547</v>
      </c>
      <c r="BK644">
        <v>4.0</v>
      </c>
      <c r="BL644">
        <v>4.0</v>
      </c>
      <c r="BM644" t="s">
        <v>12929</v>
      </c>
      <c r="BN644">
        <v>4.0</v>
      </c>
      <c r="BO644">
        <v>4.0</v>
      </c>
      <c r="BP644" t="s">
        <v>12929</v>
      </c>
      <c r="BQ644" t="s">
        <v>3728</v>
      </c>
      <c r="BR644" t="s">
        <v>7923</v>
      </c>
      <c r="BS644" t="s">
        <v>7923</v>
      </c>
      <c r="BU644" t="s">
        <v>139</v>
      </c>
      <c r="BV644" s="3" t="str">
        <f>HYPERLINK("https://api.typeform.com/responses/files/38cf61168b9d7e8c67f8e6da36d9e4b03d82481555f52bd657e2ed46ee286e1c/SPEAKHIRE_Parent.Guardian_Consent_Form__1_.pdf")</f>
        <v>https://api.typeform.com/responses/files/38cf61168b9d7e8c67f8e6da36d9e4b03d82481555f52bd657e2ed46ee286e1c/SPEAKHIRE_Parent.Guardian_Consent_Form__1_.pdf</v>
      </c>
      <c r="BW644" t="b">
        <v>1</v>
      </c>
      <c r="BX644" t="s">
        <v>1394</v>
      </c>
      <c r="BY644" t="s">
        <v>140</v>
      </c>
      <c r="CA644" t="s">
        <v>1395</v>
      </c>
      <c r="CD644">
        <v>0.0</v>
      </c>
      <c r="CF644" t="b">
        <v>0</v>
      </c>
      <c r="CG644" t="b">
        <v>1</v>
      </c>
      <c r="CH644" t="s">
        <v>12930</v>
      </c>
      <c r="CJ644" t="b">
        <v>1</v>
      </c>
      <c r="CK644" t="b">
        <v>1</v>
      </c>
      <c r="CL644" t="s">
        <v>198</v>
      </c>
      <c r="CO644" t="s">
        <v>4986</v>
      </c>
      <c r="CR644" t="b">
        <v>1</v>
      </c>
      <c r="CT644">
        <v>0.0</v>
      </c>
      <c r="CU644">
        <v>0.0</v>
      </c>
      <c r="CX644" s="4" t="s">
        <v>12931</v>
      </c>
      <c r="CZ644" s="5">
        <v>44949.86565972222</v>
      </c>
      <c r="DA644" t="s">
        <v>12932</v>
      </c>
    </row>
    <row r="645">
      <c r="A645" t="s">
        <v>98</v>
      </c>
      <c r="D645" t="s">
        <v>12933</v>
      </c>
      <c r="E645" t="s">
        <v>1265</v>
      </c>
      <c r="F645" s="2">
        <v>38496.0</v>
      </c>
      <c r="G645" t="s">
        <v>1466</v>
      </c>
      <c r="I645" s="3" t="str">
        <f>HYPERLINK("https://api.typeform.com/responses/files/a31642c6118289e14d3592f0bcd104698553f2f9e00cb19897ff7bad1d4b6726/Captura_de_Pantalla_2023_01_23_a_la_s__3.03.56_p.m..png")</f>
        <v>https://api.typeform.com/responses/files/a31642c6118289e14d3592f0bcd104698553f2f9e00cb19897ff7bad1d4b6726/Captura_de_Pantalla_2023_01_23_a_la_s__3.03.56_p.m..png</v>
      </c>
      <c r="J645" t="s">
        <v>12934</v>
      </c>
      <c r="K645" t="b">
        <v>1</v>
      </c>
      <c r="L645" s="4" t="s">
        <v>12935</v>
      </c>
      <c r="M645" t="s">
        <v>12936</v>
      </c>
      <c r="N645" t="s">
        <v>354</v>
      </c>
      <c r="P645" t="s">
        <v>12937</v>
      </c>
      <c r="Q645" t="s">
        <v>152</v>
      </c>
      <c r="R645" t="s">
        <v>12938</v>
      </c>
      <c r="S645" t="s">
        <v>12939</v>
      </c>
      <c r="T645" s="4" t="s">
        <v>12940</v>
      </c>
      <c r="U645" t="s">
        <v>12941</v>
      </c>
      <c r="V645" t="s">
        <v>4303</v>
      </c>
      <c r="W645" t="s">
        <v>113</v>
      </c>
      <c r="Y645" t="s">
        <v>114</v>
      </c>
      <c r="Z645" t="s">
        <v>262</v>
      </c>
      <c r="AC645" s="3" t="str">
        <f>HYPERLINK("https://api.typeform.com/responses/files/5e5cd4bae0d277698566a8508639771c35f3f7f3da83e5f56b1fa47b480dabf7/Report_for_Wilman_Reyes_Marizan_2023_01_23_20_20.pdf")</f>
        <v>https://api.typeform.com/responses/files/5e5cd4bae0d277698566a8508639771c35f3f7f3da83e5f56b1fa47b480dabf7/Report_for_Wilman_Reyes_Marizan_2023_01_23_20_20.pdf</v>
      </c>
      <c r="AD645" t="s">
        <v>118</v>
      </c>
      <c r="AE645" t="s">
        <v>729</v>
      </c>
      <c r="AF645" t="s">
        <v>197</v>
      </c>
      <c r="AG645">
        <v>14.0</v>
      </c>
      <c r="AH645" s="4" t="s">
        <v>547</v>
      </c>
      <c r="AI645" t="s">
        <v>386</v>
      </c>
      <c r="AL645" t="s">
        <v>199</v>
      </c>
      <c r="AO645" t="s">
        <v>486</v>
      </c>
      <c r="AP645">
        <v>5.0</v>
      </c>
      <c r="AQ645" t="s">
        <v>1520</v>
      </c>
      <c r="AR645" t="s">
        <v>12942</v>
      </c>
      <c r="AS645" t="b">
        <v>1</v>
      </c>
      <c r="AT645" t="b">
        <v>0</v>
      </c>
      <c r="AV645">
        <v>3.0</v>
      </c>
      <c r="AW645" t="b">
        <v>1</v>
      </c>
      <c r="AX645" t="s">
        <v>1902</v>
      </c>
      <c r="AY645" s="4" t="s">
        <v>518</v>
      </c>
      <c r="AZ645" t="b">
        <v>0</v>
      </c>
      <c r="BA645" t="b">
        <v>0</v>
      </c>
      <c r="BD645" t="s">
        <v>12943</v>
      </c>
      <c r="BH645" t="s">
        <v>132</v>
      </c>
      <c r="BI645">
        <v>7.0</v>
      </c>
      <c r="BJ645" t="s">
        <v>12944</v>
      </c>
      <c r="BK645">
        <v>4.0</v>
      </c>
      <c r="BL645">
        <v>7.0</v>
      </c>
      <c r="BM645" t="s">
        <v>12945</v>
      </c>
      <c r="BN645">
        <v>5.0</v>
      </c>
      <c r="BO645">
        <v>5.0</v>
      </c>
      <c r="BP645" t="s">
        <v>12946</v>
      </c>
      <c r="BQ645" t="s">
        <v>3728</v>
      </c>
      <c r="BR645" t="s">
        <v>12947</v>
      </c>
      <c r="BS645" t="s">
        <v>12948</v>
      </c>
      <c r="BU645" t="s">
        <v>12949</v>
      </c>
      <c r="BV645" s="3" t="str">
        <f>HYPERLINK("https://api.typeform.com/responses/files/c6be7ea923775e385655e6b055c7a638dd4435be13286cf92afaf6abfd697fe8/SPEAKHIRE_Parent.Guardian_Consent_Form__1_.pdf")</f>
        <v>https://api.typeform.com/responses/files/c6be7ea923775e385655e6b055c7a638dd4435be13286cf92afaf6abfd697fe8/SPEAKHIRE_Parent.Guardian_Consent_Form__1_.pdf</v>
      </c>
      <c r="BW645" t="b">
        <v>1</v>
      </c>
      <c r="BX645" t="s">
        <v>1394</v>
      </c>
      <c r="BY645" t="s">
        <v>140</v>
      </c>
      <c r="CA645" t="s">
        <v>1395</v>
      </c>
      <c r="CD645">
        <v>0.0</v>
      </c>
      <c r="CF645" t="b">
        <v>1</v>
      </c>
      <c r="CG645" t="b">
        <v>0</v>
      </c>
      <c r="CH645" t="s">
        <v>12950</v>
      </c>
      <c r="CJ645" t="b">
        <v>1</v>
      </c>
      <c r="CK645" t="b">
        <v>1</v>
      </c>
      <c r="CL645" t="s">
        <v>387</v>
      </c>
      <c r="CO645" t="s">
        <v>12951</v>
      </c>
      <c r="CR645" t="b">
        <v>1</v>
      </c>
      <c r="CT645">
        <v>8.0</v>
      </c>
      <c r="CU645">
        <v>2.0</v>
      </c>
      <c r="CX645" s="4" t="s">
        <v>2447</v>
      </c>
      <c r="CZ645" s="5">
        <v>44949.870671296296</v>
      </c>
      <c r="DA645" t="s">
        <v>12952</v>
      </c>
    </row>
    <row r="646">
      <c r="A646" t="s">
        <v>98</v>
      </c>
      <c r="D646" t="s">
        <v>12953</v>
      </c>
      <c r="E646" t="s">
        <v>12954</v>
      </c>
      <c r="F646" s="2">
        <v>38734.0</v>
      </c>
      <c r="G646" t="s">
        <v>1360</v>
      </c>
      <c r="I646" s="3" t="str">
        <f>HYPERLINK("https://api.typeform.com/responses/files/61c5d46e458a329ac322f3ca1f483796b7a30530e50617ae1ac5daab0b774a2f/IMG_2675.jpg")</f>
        <v>https://api.typeform.com/responses/files/61c5d46e458a329ac322f3ca1f483796b7a30530e50617ae1ac5daab0b774a2f/IMG_2675.jpg</v>
      </c>
      <c r="J646" t="s">
        <v>12955</v>
      </c>
      <c r="K646" t="b">
        <v>1</v>
      </c>
      <c r="L646" s="4" t="s">
        <v>12956</v>
      </c>
      <c r="M646" t="s">
        <v>12957</v>
      </c>
      <c r="N646" t="s">
        <v>354</v>
      </c>
      <c r="O646" t="s">
        <v>4036</v>
      </c>
      <c r="P646" t="s">
        <v>12958</v>
      </c>
      <c r="Q646" t="s">
        <v>189</v>
      </c>
      <c r="R646" t="s">
        <v>12959</v>
      </c>
      <c r="S646" t="s">
        <v>12960</v>
      </c>
      <c r="T646" s="4" t="s">
        <v>12961</v>
      </c>
      <c r="U646" t="s">
        <v>933</v>
      </c>
      <c r="V646" t="s">
        <v>12962</v>
      </c>
      <c r="W646" t="s">
        <v>113</v>
      </c>
      <c r="Y646" t="s">
        <v>114</v>
      </c>
      <c r="Z646" t="s">
        <v>262</v>
      </c>
      <c r="AC646" s="3" t="str">
        <f>HYPERLINK("https://api.typeform.com/responses/files/0770bad3afe1300e568a55407e5dd14f59c1544036c33ff5607c926e22e0418d/Report_for_Lesly_Chucino_Zhicay_2023_01_23_20_26.pdf")</f>
        <v>https://api.typeform.com/responses/files/0770bad3afe1300e568a55407e5dd14f59c1544036c33ff5607c926e22e0418d/Report_for_Lesly_Chucino_Zhicay_2023_01_23_20_26.pdf</v>
      </c>
      <c r="AD646" t="s">
        <v>118</v>
      </c>
      <c r="AE646" t="s">
        <v>729</v>
      </c>
      <c r="AF646" t="s">
        <v>2651</v>
      </c>
      <c r="AG646">
        <v>15.0</v>
      </c>
      <c r="AH646" t="s">
        <v>6536</v>
      </c>
      <c r="AI646" t="s">
        <v>386</v>
      </c>
      <c r="AK646" t="s">
        <v>139</v>
      </c>
      <c r="AL646" t="s">
        <v>199</v>
      </c>
      <c r="AO646" t="s">
        <v>335</v>
      </c>
      <c r="AP646">
        <v>7.0</v>
      </c>
      <c r="AQ646" t="s">
        <v>126</v>
      </c>
      <c r="AR646" t="s">
        <v>12963</v>
      </c>
      <c r="AS646" t="b">
        <v>1</v>
      </c>
      <c r="AT646" t="b">
        <v>0</v>
      </c>
      <c r="AV646">
        <v>6.0</v>
      </c>
      <c r="AW646" t="b">
        <v>0</v>
      </c>
      <c r="AZ646" t="b">
        <v>1</v>
      </c>
      <c r="BA646" t="b">
        <v>0</v>
      </c>
      <c r="BD646" t="s">
        <v>12964</v>
      </c>
      <c r="BH646" t="s">
        <v>132</v>
      </c>
      <c r="BI646">
        <v>1.0</v>
      </c>
      <c r="BJ646" t="s">
        <v>12965</v>
      </c>
      <c r="BK646">
        <v>1.0</v>
      </c>
      <c r="BL646">
        <v>2.0</v>
      </c>
      <c r="BM646" t="s">
        <v>12966</v>
      </c>
      <c r="BN646">
        <v>1.0</v>
      </c>
      <c r="BO646">
        <v>2.0</v>
      </c>
      <c r="BP646" t="s">
        <v>12967</v>
      </c>
      <c r="BQ646" t="s">
        <v>916</v>
      </c>
      <c r="BR646" t="s">
        <v>12968</v>
      </c>
      <c r="BS646" t="s">
        <v>12969</v>
      </c>
      <c r="BU646" t="s">
        <v>139</v>
      </c>
      <c r="BV646" s="3" t="str">
        <f>HYPERLINK("https://api.typeform.com/responses/files/79fa574cb93adeb565c74b0b4bb6f6d618f91ff06d19f3767274dec67cf1ab38/SPEAKHIRE_Parent.Guardian_Consent_Form__1_.pdf")</f>
        <v>https://api.typeform.com/responses/files/79fa574cb93adeb565c74b0b4bb6f6d618f91ff06d19f3767274dec67cf1ab38/SPEAKHIRE_Parent.Guardian_Consent_Form__1_.pdf</v>
      </c>
      <c r="BW646" t="b">
        <v>1</v>
      </c>
      <c r="BX646" t="s">
        <v>1394</v>
      </c>
      <c r="BY646" t="s">
        <v>140</v>
      </c>
      <c r="CA646" t="s">
        <v>1395</v>
      </c>
      <c r="CD646">
        <v>0.0</v>
      </c>
      <c r="CF646" t="b">
        <v>1</v>
      </c>
      <c r="CG646" t="b">
        <v>1</v>
      </c>
      <c r="CH646" t="s">
        <v>12970</v>
      </c>
      <c r="CJ646" t="b">
        <v>1</v>
      </c>
      <c r="CK646" t="b">
        <v>1</v>
      </c>
      <c r="CL646" t="s">
        <v>2301</v>
      </c>
      <c r="CO646" t="s">
        <v>12971</v>
      </c>
      <c r="CR646" t="b">
        <v>1</v>
      </c>
      <c r="CT646">
        <v>0.0</v>
      </c>
      <c r="CU646">
        <v>0.0</v>
      </c>
      <c r="CX646" s="4" t="s">
        <v>12543</v>
      </c>
      <c r="CZ646" s="5">
        <v>44949.87230324074</v>
      </c>
      <c r="DA646" t="s">
        <v>12972</v>
      </c>
    </row>
    <row r="647">
      <c r="A647" t="s">
        <v>98</v>
      </c>
      <c r="D647" t="s">
        <v>12973</v>
      </c>
      <c r="E647" t="s">
        <v>12974</v>
      </c>
      <c r="F647" s="2">
        <v>37744.0</v>
      </c>
      <c r="G647" t="s">
        <v>1360</v>
      </c>
      <c r="I647" s="3" t="str">
        <f>HYPERLINK("https://api.typeform.com/responses/files/8fe86664b6837509e2a2f077c76b88cfc7301458dc343560c113a651bfe99bb4/herrera.jpeg")</f>
        <v>https://api.typeform.com/responses/files/8fe86664b6837509e2a2f077c76b88cfc7301458dc343560c113a651bfe99bb4/herrera.jpeg</v>
      </c>
      <c r="J647" t="s">
        <v>12975</v>
      </c>
      <c r="K647" t="b">
        <v>1</v>
      </c>
      <c r="L647" s="4" t="s">
        <v>12976</v>
      </c>
      <c r="M647" t="s">
        <v>12977</v>
      </c>
      <c r="N647" t="s">
        <v>354</v>
      </c>
      <c r="P647" t="s">
        <v>12978</v>
      </c>
      <c r="Q647" t="s">
        <v>152</v>
      </c>
      <c r="R647" t="s">
        <v>12979</v>
      </c>
      <c r="S647" t="s">
        <v>12980</v>
      </c>
      <c r="T647" s="4" t="s">
        <v>12981</v>
      </c>
      <c r="U647" t="s">
        <v>12982</v>
      </c>
      <c r="V647" t="s">
        <v>4106</v>
      </c>
      <c r="W647" t="s">
        <v>261</v>
      </c>
      <c r="Y647" t="s">
        <v>114</v>
      </c>
      <c r="Z647" t="s">
        <v>262</v>
      </c>
      <c r="AC647" s="3" t="str">
        <f>HYPERLINK("https://api.typeform.com/responses/files/3b0e5c517fd9f1671ad08ac4c7b4c61788b2978da5b5c7efce2953e2eb1ed16f/Report_for_Karilyne_Suazo_Herrera_2023_01_23_20_30.pdf")</f>
        <v>https://api.typeform.com/responses/files/3b0e5c517fd9f1671ad08ac4c7b4c61788b2978da5b5c7efce2953e2eb1ed16f/Report_for_Karilyne_Suazo_Herrera_2023_01_23_20_30.pdf</v>
      </c>
      <c r="AD647" t="s">
        <v>118</v>
      </c>
      <c r="AE647" t="s">
        <v>729</v>
      </c>
      <c r="AF647" t="s">
        <v>1019</v>
      </c>
      <c r="AG647">
        <v>17.0</v>
      </c>
      <c r="AH647" t="s">
        <v>12983</v>
      </c>
      <c r="AI647" t="s">
        <v>162</v>
      </c>
      <c r="AK647" t="s">
        <v>139</v>
      </c>
      <c r="AL647" t="s">
        <v>12984</v>
      </c>
      <c r="AO647" t="s">
        <v>125</v>
      </c>
      <c r="AP647">
        <v>1.0</v>
      </c>
      <c r="AQ647" t="s">
        <v>126</v>
      </c>
      <c r="AR647" t="s">
        <v>12985</v>
      </c>
      <c r="AS647" t="b">
        <v>1</v>
      </c>
      <c r="AT647" t="b">
        <v>0</v>
      </c>
      <c r="AV647">
        <v>5.0</v>
      </c>
      <c r="AW647" t="b">
        <v>0</v>
      </c>
      <c r="AZ647" t="b">
        <v>1</v>
      </c>
      <c r="BA647" t="b">
        <v>0</v>
      </c>
      <c r="BD647" t="s">
        <v>12986</v>
      </c>
      <c r="BH647" t="s">
        <v>132</v>
      </c>
      <c r="BI647">
        <v>1.0</v>
      </c>
      <c r="BJ647" t="s">
        <v>12987</v>
      </c>
      <c r="BK647">
        <v>2.0</v>
      </c>
      <c r="BL647">
        <v>3.0</v>
      </c>
      <c r="BM647" t="s">
        <v>12988</v>
      </c>
      <c r="BN647">
        <v>1.0</v>
      </c>
      <c r="BO647">
        <v>6.0</v>
      </c>
      <c r="BP647" t="s">
        <v>4092</v>
      </c>
      <c r="BQ647" t="s">
        <v>1931</v>
      </c>
      <c r="BR647" t="s">
        <v>12989</v>
      </c>
      <c r="BS647" t="s">
        <v>12990</v>
      </c>
      <c r="BU647" t="s">
        <v>139</v>
      </c>
      <c r="BV647" s="3" t="str">
        <f>HYPERLINK("https://api.typeform.com/responses/files/802a41b216147a61da1aaca485b987ad493070d6a0097fdc08ee83c90620bfdf/Vista_previa_del_archivo_adjunto_SPEAKHIRE_Parent.Guardian_Consent_Form__1_.pdfSPEAKHIRE_Parent.Guardian_Consent_Form__1_.pdf740_KB.webloc")</f>
        <v>https://api.typeform.com/responses/files/802a41b216147a61da1aaca485b987ad493070d6a0097fdc08ee83c90620bfdf/Vista_previa_del_archivo_adjunto_SPEAKHIRE_Parent.Guardian_Consent_Form__1_.pdfSPEAKHIRE_Parent.Guardian_Consent_Form__1_.pdf740_KB.webloc</v>
      </c>
      <c r="BW647" t="b">
        <v>1</v>
      </c>
      <c r="BX647" t="s">
        <v>1394</v>
      </c>
      <c r="BY647" t="s">
        <v>140</v>
      </c>
      <c r="CA647" t="s">
        <v>1395</v>
      </c>
      <c r="CD647">
        <v>0.0</v>
      </c>
      <c r="CF647" t="b">
        <v>1</v>
      </c>
      <c r="CG647" t="b">
        <v>1</v>
      </c>
      <c r="CH647" t="s">
        <v>12930</v>
      </c>
      <c r="CJ647" t="b">
        <v>1</v>
      </c>
      <c r="CK647" t="b">
        <v>1</v>
      </c>
      <c r="CL647" t="s">
        <v>387</v>
      </c>
      <c r="CM647" t="s">
        <v>387</v>
      </c>
      <c r="CO647" t="s">
        <v>4605</v>
      </c>
      <c r="CQ647" t="s">
        <v>387</v>
      </c>
      <c r="CR647" t="b">
        <v>1</v>
      </c>
      <c r="CT647">
        <v>0.0</v>
      </c>
      <c r="CU647">
        <v>0.0</v>
      </c>
      <c r="CX647" s="4" t="s">
        <v>7350</v>
      </c>
      <c r="CZ647" s="5">
        <v>44949.87726851852</v>
      </c>
      <c r="DA647" t="s">
        <v>12991</v>
      </c>
    </row>
    <row r="648">
      <c r="A648" t="s">
        <v>98</v>
      </c>
      <c r="D648" t="s">
        <v>12992</v>
      </c>
      <c r="E648" t="s">
        <v>12993</v>
      </c>
      <c r="F648" s="2">
        <v>38959.0</v>
      </c>
      <c r="G648" t="s">
        <v>1360</v>
      </c>
      <c r="I648" s="3" t="str">
        <f>HYPERLINK("https://api.typeform.com/responses/files/cfba5ad70627bb03a3e8ca762ccfb42f8885837431690dcf86e5fe413090815c/0.jpg")</f>
        <v>https://api.typeform.com/responses/files/cfba5ad70627bb03a3e8ca762ccfb42f8885837431690dcf86e5fe413090815c/0.jpg</v>
      </c>
      <c r="J648" t="s">
        <v>12994</v>
      </c>
      <c r="K648" t="b">
        <v>1</v>
      </c>
      <c r="L648" s="4" t="s">
        <v>12995</v>
      </c>
      <c r="M648" t="s">
        <v>12996</v>
      </c>
      <c r="N648" t="s">
        <v>354</v>
      </c>
      <c r="O648" t="s">
        <v>12997</v>
      </c>
      <c r="P648" t="s">
        <v>12998</v>
      </c>
      <c r="Q648" t="s">
        <v>108</v>
      </c>
      <c r="R648" t="s">
        <v>12999</v>
      </c>
      <c r="S648" t="s">
        <v>13000</v>
      </c>
      <c r="T648" s="4" t="s">
        <v>13001</v>
      </c>
      <c r="U648" t="s">
        <v>13002</v>
      </c>
      <c r="V648" t="s">
        <v>13003</v>
      </c>
      <c r="W648" t="s">
        <v>113</v>
      </c>
      <c r="Y648" t="s">
        <v>114</v>
      </c>
      <c r="Z648" t="s">
        <v>262</v>
      </c>
      <c r="AC648" s="3" t="str">
        <f>HYPERLINK("https://api.typeform.com/responses/files/875b28b7b17ad29896f27ed9fde7f11bf0331f9b6920ba1a00129c34d8c7ead8/Report_for_Yamilette_Rodriguez_Franjul_2023_01_23_20_50.pdf")</f>
        <v>https://api.typeform.com/responses/files/875b28b7b17ad29896f27ed9fde7f11bf0331f9b6920ba1a00129c34d8c7ead8/Report_for_Yamilette_Rodriguez_Franjul_2023_01_23_20_50.pdf</v>
      </c>
      <c r="AD648" t="s">
        <v>118</v>
      </c>
      <c r="AE648" t="s">
        <v>1780</v>
      </c>
      <c r="AI648" t="s">
        <v>162</v>
      </c>
      <c r="AK648" t="s">
        <v>13004</v>
      </c>
      <c r="AL648" t="s">
        <v>3981</v>
      </c>
      <c r="AO648" t="s">
        <v>125</v>
      </c>
      <c r="AP648">
        <v>4.0</v>
      </c>
      <c r="AQ648" t="s">
        <v>126</v>
      </c>
      <c r="AR648" t="s">
        <v>13005</v>
      </c>
      <c r="AS648" t="b">
        <v>0</v>
      </c>
      <c r="AV648">
        <v>6.0</v>
      </c>
      <c r="AW648" t="b">
        <v>0</v>
      </c>
      <c r="AZ648" t="b">
        <v>0</v>
      </c>
      <c r="BA648" t="b">
        <v>0</v>
      </c>
      <c r="BD648" t="s">
        <v>13006</v>
      </c>
      <c r="BH648" t="s">
        <v>132</v>
      </c>
      <c r="BI648">
        <v>1.0</v>
      </c>
      <c r="BJ648" t="s">
        <v>13007</v>
      </c>
      <c r="BK648">
        <v>1.0</v>
      </c>
      <c r="BL648">
        <v>1.0</v>
      </c>
      <c r="BM648" t="s">
        <v>13008</v>
      </c>
      <c r="BN648">
        <v>2.0</v>
      </c>
      <c r="BO648">
        <v>4.0</v>
      </c>
      <c r="BP648" t="s">
        <v>13009</v>
      </c>
      <c r="BQ648" t="s">
        <v>6363</v>
      </c>
      <c r="BR648" t="s">
        <v>13010</v>
      </c>
      <c r="BS648" t="s">
        <v>13011</v>
      </c>
      <c r="BU648" t="s">
        <v>179</v>
      </c>
      <c r="BV648" s="3" t="str">
        <f>HYPERLINK("https://api.typeform.com/responses/files/4b0adcf123e9d4e7ccb5a427d9794c03c8993e30bf59af49188d6b368770c0cb/SPEAKHIRE_Parent.Guardian_Consent_Form__1_.pdf")</f>
        <v>https://api.typeform.com/responses/files/4b0adcf123e9d4e7ccb5a427d9794c03c8993e30bf59af49188d6b368770c0cb/SPEAKHIRE_Parent.Guardian_Consent_Form__1_.pdf</v>
      </c>
      <c r="BW648" t="b">
        <v>1</v>
      </c>
      <c r="BX648" t="s">
        <v>1394</v>
      </c>
      <c r="BY648" t="s">
        <v>140</v>
      </c>
      <c r="CA648" t="s">
        <v>1395</v>
      </c>
      <c r="CD648">
        <v>0.0</v>
      </c>
      <c r="CF648" t="b">
        <v>1</v>
      </c>
      <c r="CG648" t="b">
        <v>1</v>
      </c>
      <c r="CH648" t="s">
        <v>4029</v>
      </c>
      <c r="CJ648" t="b">
        <v>0</v>
      </c>
      <c r="CK648" t="b">
        <v>1</v>
      </c>
      <c r="CL648" t="s">
        <v>387</v>
      </c>
      <c r="CM648" t="s">
        <v>387</v>
      </c>
      <c r="CO648" t="s">
        <v>13012</v>
      </c>
      <c r="CQ648" t="s">
        <v>387</v>
      </c>
      <c r="CR648" t="b">
        <v>1</v>
      </c>
      <c r="CT648">
        <v>0.0</v>
      </c>
      <c r="CU648">
        <v>0.0</v>
      </c>
      <c r="CX648" s="4" t="s">
        <v>12543</v>
      </c>
      <c r="CZ648" s="5">
        <v>44949.88738425926</v>
      </c>
      <c r="DA648" t="s">
        <v>13013</v>
      </c>
    </row>
    <row r="649">
      <c r="A649" t="s">
        <v>98</v>
      </c>
      <c r="D649" t="s">
        <v>1134</v>
      </c>
      <c r="E649" t="s">
        <v>1135</v>
      </c>
      <c r="F649" s="2">
        <v>38813.0</v>
      </c>
      <c r="G649" t="s">
        <v>1360</v>
      </c>
      <c r="I649" s="3" t="str">
        <f>HYPERLINK("https://api.typeform.com/responses/files/b76a680d28366e6e63a3a751aa251631132e1d3b4faeb12b9f8035784c05a1e9/0974F9A6_637D_4019_87F5_3AE796EF12DD.jpeg")</f>
        <v>https://api.typeform.com/responses/files/b76a680d28366e6e63a3a751aa251631132e1d3b4faeb12b9f8035784c05a1e9/0974F9A6_637D_4019_87F5_3AE796EF12DD.jpeg</v>
      </c>
      <c r="J649" t="s">
        <v>1137</v>
      </c>
      <c r="K649" t="b">
        <v>1</v>
      </c>
      <c r="L649" s="4" t="s">
        <v>1138</v>
      </c>
      <c r="M649" t="s">
        <v>13014</v>
      </c>
      <c r="N649" t="s">
        <v>149</v>
      </c>
      <c r="P649" t="s">
        <v>1141</v>
      </c>
      <c r="Q649" t="s">
        <v>189</v>
      </c>
      <c r="R649" t="s">
        <v>1115</v>
      </c>
      <c r="S649" t="s">
        <v>13014</v>
      </c>
      <c r="T649" s="4" t="s">
        <v>1116</v>
      </c>
      <c r="U649" t="s">
        <v>933</v>
      </c>
      <c r="V649" t="s">
        <v>13015</v>
      </c>
      <c r="W649" t="s">
        <v>113</v>
      </c>
      <c r="Y649" t="s">
        <v>158</v>
      </c>
      <c r="Z649" t="s">
        <v>262</v>
      </c>
      <c r="AC649" s="3" t="str">
        <f>HYPERLINK("https://api.typeform.com/responses/files/35ea22e7f0fd218d5a88b58099082482f8ae9d680869325b726bbd78d0a9168d/2022_11_15_1339_Garcia_Encarnacion_Tariana_250224029.pdf")</f>
        <v>https://api.typeform.com/responses/files/35ea22e7f0fd218d5a88b58099082482f8ae9d680869325b726bbd78d0a9168d/2022_11_15_1339_Garcia_Encarnacion_Tariana_250224029.pdf</v>
      </c>
      <c r="AD649" t="s">
        <v>118</v>
      </c>
      <c r="AE649" t="s">
        <v>729</v>
      </c>
      <c r="AF649" t="s">
        <v>5316</v>
      </c>
      <c r="AG649">
        <v>13.0</v>
      </c>
      <c r="AH649" t="s">
        <v>13016</v>
      </c>
      <c r="AI649" t="s">
        <v>162</v>
      </c>
      <c r="AL649" t="s">
        <v>199</v>
      </c>
      <c r="AO649" t="s">
        <v>125</v>
      </c>
      <c r="AP649">
        <v>6.0</v>
      </c>
      <c r="AQ649" t="s">
        <v>201</v>
      </c>
      <c r="AR649" t="s">
        <v>3350</v>
      </c>
      <c r="AS649" t="b">
        <v>1</v>
      </c>
      <c r="AT649" t="b">
        <v>0</v>
      </c>
      <c r="AV649">
        <v>5.0</v>
      </c>
      <c r="AW649" t="b">
        <v>0</v>
      </c>
      <c r="AZ649" t="b">
        <v>1</v>
      </c>
      <c r="BA649" t="b">
        <v>0</v>
      </c>
      <c r="BD649" t="s">
        <v>13017</v>
      </c>
      <c r="BH649" t="s">
        <v>132</v>
      </c>
      <c r="BI649">
        <v>4.0</v>
      </c>
      <c r="BJ649" t="s">
        <v>13018</v>
      </c>
      <c r="BK649">
        <v>2.0</v>
      </c>
      <c r="BL649">
        <v>4.0</v>
      </c>
      <c r="BM649" t="s">
        <v>13019</v>
      </c>
      <c r="BN649">
        <v>3.0</v>
      </c>
      <c r="BO649">
        <v>4.0</v>
      </c>
      <c r="BP649" t="s">
        <v>13020</v>
      </c>
      <c r="BQ649" t="s">
        <v>916</v>
      </c>
      <c r="BR649" t="s">
        <v>13021</v>
      </c>
      <c r="BS649" t="s">
        <v>13022</v>
      </c>
      <c r="BU649" t="s">
        <v>5913</v>
      </c>
      <c r="BV649" s="3" t="str">
        <f>HYPERLINK("https://api.typeform.com/responses/files/bdec32c376cc19f5f99ed564bfb7c80651c935c4fc526112897a1899d8069e75/Copy_of_Parent.Guardian_Consent_Form.pdf")</f>
        <v>https://api.typeform.com/responses/files/bdec32c376cc19f5f99ed564bfb7c80651c935c4fc526112897a1899d8069e75/Copy_of_Parent.Guardian_Consent_Form.pdf</v>
      </c>
      <c r="BW649" t="b">
        <v>1</v>
      </c>
      <c r="BX649" t="s">
        <v>1394</v>
      </c>
      <c r="BY649" t="s">
        <v>140</v>
      </c>
      <c r="CA649" t="s">
        <v>1395</v>
      </c>
      <c r="CD649">
        <v>0.0</v>
      </c>
      <c r="CF649" t="b">
        <v>1</v>
      </c>
      <c r="CG649" t="b">
        <v>0</v>
      </c>
      <c r="CH649" t="s">
        <v>366</v>
      </c>
      <c r="CJ649" t="b">
        <v>0</v>
      </c>
      <c r="CK649" t="b">
        <v>0</v>
      </c>
      <c r="CL649" t="s">
        <v>198</v>
      </c>
      <c r="CM649" t="s">
        <v>387</v>
      </c>
      <c r="CO649" t="s">
        <v>1635</v>
      </c>
      <c r="CR649" t="b">
        <v>1</v>
      </c>
      <c r="CT649">
        <v>1.0</v>
      </c>
      <c r="CU649">
        <v>0.0</v>
      </c>
      <c r="CX649" s="4" t="s">
        <v>3727</v>
      </c>
      <c r="CZ649" s="5">
        <v>44950.014386574076</v>
      </c>
      <c r="DA649" t="s">
        <v>13023</v>
      </c>
    </row>
    <row r="650">
      <c r="A650" t="s">
        <v>98</v>
      </c>
      <c r="D650" t="s">
        <v>13024</v>
      </c>
      <c r="E650" t="s">
        <v>13025</v>
      </c>
      <c r="F650" s="2">
        <v>38991.0</v>
      </c>
      <c r="G650" t="s">
        <v>1360</v>
      </c>
      <c r="I650" s="3" t="str">
        <f>HYPERLINK("https://api.typeform.com/responses/files/1f3b0756d8cd4ba44c5968ef797c18894a83a9811b7fe3b0f21cf59c68c656cc/nerely_picture.jpg")</f>
        <v>https://api.typeform.com/responses/files/1f3b0756d8cd4ba44c5968ef797c18894a83a9811b7fe3b0f21cf59c68c656cc/nerely_picture.jpg</v>
      </c>
      <c r="J650" t="s">
        <v>13026</v>
      </c>
      <c r="K650" t="b">
        <v>1</v>
      </c>
      <c r="L650" s="4" t="s">
        <v>13027</v>
      </c>
      <c r="M650" t="s">
        <v>13028</v>
      </c>
      <c r="N650" t="s">
        <v>149</v>
      </c>
      <c r="O650" t="s">
        <v>164</v>
      </c>
      <c r="P650" t="s">
        <v>13029</v>
      </c>
      <c r="Q650" t="s">
        <v>189</v>
      </c>
      <c r="R650" t="s">
        <v>13030</v>
      </c>
      <c r="S650" t="s">
        <v>13028</v>
      </c>
      <c r="T650" s="4" t="s">
        <v>13027</v>
      </c>
      <c r="U650" t="s">
        <v>933</v>
      </c>
      <c r="V650" t="s">
        <v>4496</v>
      </c>
      <c r="W650" t="s">
        <v>113</v>
      </c>
      <c r="Y650" t="s">
        <v>158</v>
      </c>
      <c r="Z650" t="s">
        <v>262</v>
      </c>
      <c r="AC650" s="3" t="str">
        <f>HYPERLINK("https://api.typeform.com/responses/files/59d893c3646a5b4916edaf86b4405333645a3fcc3a639e6071630f98880ababf/Report_for_Nerely_Roa_Medina_2023_02_03_19_32.pdf")</f>
        <v>https://api.typeform.com/responses/files/59d893c3646a5b4916edaf86b4405333645a3fcc3a639e6071630f98880ababf/Report_for_Nerely_Roa_Medina_2023_02_03_19_32.pdf</v>
      </c>
      <c r="AD650" t="s">
        <v>118</v>
      </c>
      <c r="AE650" t="s">
        <v>4219</v>
      </c>
      <c r="AF650" t="s">
        <v>197</v>
      </c>
      <c r="AG650">
        <v>12.0</v>
      </c>
      <c r="AH650" s="4" t="s">
        <v>520</v>
      </c>
      <c r="AI650" t="s">
        <v>162</v>
      </c>
      <c r="AL650" t="s">
        <v>199</v>
      </c>
      <c r="AO650" t="s">
        <v>125</v>
      </c>
      <c r="AP650">
        <v>6.0</v>
      </c>
      <c r="AQ650" t="s">
        <v>5671</v>
      </c>
      <c r="AR650" t="s">
        <v>13031</v>
      </c>
      <c r="AS650" t="b">
        <v>1</v>
      </c>
      <c r="AT650" t="b">
        <v>0</v>
      </c>
      <c r="AV650">
        <v>5.0</v>
      </c>
      <c r="AW650" t="b">
        <v>0</v>
      </c>
      <c r="AZ650" t="b">
        <v>1</v>
      </c>
      <c r="BA650" t="b">
        <v>0</v>
      </c>
      <c r="BD650" t="s">
        <v>13032</v>
      </c>
      <c r="BH650" t="s">
        <v>132</v>
      </c>
      <c r="BI650">
        <v>4.0</v>
      </c>
      <c r="BJ650" t="s">
        <v>13033</v>
      </c>
      <c r="BK650">
        <v>4.0</v>
      </c>
      <c r="BL650">
        <v>4.0</v>
      </c>
      <c r="BM650" t="s">
        <v>13034</v>
      </c>
      <c r="BN650">
        <v>4.0</v>
      </c>
      <c r="BO650">
        <v>4.0</v>
      </c>
      <c r="BP650" t="s">
        <v>13035</v>
      </c>
      <c r="BQ650" t="s">
        <v>1050</v>
      </c>
      <c r="BR650" t="s">
        <v>13036</v>
      </c>
      <c r="BS650" t="s">
        <v>13037</v>
      </c>
      <c r="BU650" t="s">
        <v>139</v>
      </c>
      <c r="BV650" s="3" t="str">
        <f>HYPERLINK("https://api.typeform.com/responses/files/2ec78cd676726eaae6f9c44f1354b70556f66cef7fdca681aa5256b7a5d0328e/SPEAKHIRE_Parent.Guardian_Consent_Form__1_.pdf")</f>
        <v>https://api.typeform.com/responses/files/2ec78cd676726eaae6f9c44f1354b70556f66cef7fdca681aa5256b7a5d0328e/SPEAKHIRE_Parent.Guardian_Consent_Form__1_.pdf</v>
      </c>
      <c r="BW650" t="b">
        <v>1</v>
      </c>
      <c r="BX650" t="s">
        <v>1394</v>
      </c>
      <c r="BY650" t="s">
        <v>140</v>
      </c>
      <c r="CA650" t="s">
        <v>1395</v>
      </c>
      <c r="CD650">
        <v>0.0</v>
      </c>
      <c r="CF650" t="b">
        <v>0</v>
      </c>
      <c r="CG650" t="b">
        <v>1</v>
      </c>
      <c r="CH650" t="s">
        <v>2994</v>
      </c>
      <c r="CJ650" t="b">
        <v>1</v>
      </c>
      <c r="CK650" t="b">
        <v>0</v>
      </c>
      <c r="CL650" t="s">
        <v>387</v>
      </c>
      <c r="CO650" t="s">
        <v>1635</v>
      </c>
      <c r="CR650" t="b">
        <v>1</v>
      </c>
      <c r="CT650">
        <v>1.0</v>
      </c>
      <c r="CU650">
        <v>0.0</v>
      </c>
      <c r="CX650" s="4" t="s">
        <v>13038</v>
      </c>
      <c r="CZ650" s="5">
        <v>44960.85039351852</v>
      </c>
      <c r="DA650" t="s">
        <v>13039</v>
      </c>
    </row>
    <row r="651">
      <c r="A651" t="s">
        <v>98</v>
      </c>
      <c r="D651" t="s">
        <v>13040</v>
      </c>
      <c r="E651" t="s">
        <v>13041</v>
      </c>
      <c r="F651" s="2">
        <v>35107.0</v>
      </c>
      <c r="G651" t="s">
        <v>1360</v>
      </c>
      <c r="I651" s="3" t="str">
        <f>HYPERLINK("https://api.typeform.com/responses/files/a98fdfc92cdfed2d72877633cff6bd041905fdaaa51cf64463b39cbc15e7fd7f/Niyati.jpeg")</f>
        <v>https://api.typeform.com/responses/files/a98fdfc92cdfed2d72877633cff6bd041905fdaaa51cf64463b39cbc15e7fd7f/Niyati.jpeg</v>
      </c>
      <c r="J651" t="s">
        <v>13042</v>
      </c>
      <c r="K651" t="b">
        <v>1</v>
      </c>
      <c r="L651" s="4" t="s">
        <v>13043</v>
      </c>
      <c r="M651" t="s">
        <v>13044</v>
      </c>
      <c r="N651" t="s">
        <v>255</v>
      </c>
      <c r="O651" t="s">
        <v>13045</v>
      </c>
      <c r="P651" t="s">
        <v>13046</v>
      </c>
      <c r="Q651" t="s">
        <v>152</v>
      </c>
      <c r="R651" t="s">
        <v>13047</v>
      </c>
      <c r="S651" t="s">
        <v>13048</v>
      </c>
      <c r="T651" s="4" t="s">
        <v>13049</v>
      </c>
      <c r="U651" t="s">
        <v>13050</v>
      </c>
      <c r="V651" t="s">
        <v>13051</v>
      </c>
      <c r="W651" t="s">
        <v>261</v>
      </c>
      <c r="Y651" t="s">
        <v>1476</v>
      </c>
      <c r="AA651" t="s">
        <v>115</v>
      </c>
      <c r="AB651" t="s">
        <v>2700</v>
      </c>
      <c r="AC651" s="3" t="str">
        <f>HYPERLINK("https://api.typeform.com/responses/files/1136a6bed450734fe8688bed8bb4b5147085e247c69019693cbe63bac9794a02/Transcript_NIYATITRIVEDI.pdf")</f>
        <v>https://api.typeform.com/responses/files/1136a6bed450734fe8688bed8bb4b5147085e247c69019693cbe63bac9794a02/Transcript_NIYATITRIVEDI.pdf</v>
      </c>
      <c r="AD651" t="s">
        <v>758</v>
      </c>
      <c r="AE651" t="s">
        <v>729</v>
      </c>
      <c r="AF651" t="s">
        <v>13052</v>
      </c>
      <c r="AG651">
        <v>26.0</v>
      </c>
      <c r="AH651" s="4" t="s">
        <v>130</v>
      </c>
      <c r="AI651" t="s">
        <v>543</v>
      </c>
      <c r="AL651" t="s">
        <v>13053</v>
      </c>
      <c r="AO651" t="s">
        <v>125</v>
      </c>
      <c r="AP651">
        <v>4.0</v>
      </c>
      <c r="AQ651" t="s">
        <v>2240</v>
      </c>
      <c r="AR651" t="s">
        <v>13054</v>
      </c>
      <c r="AS651" t="b">
        <v>1</v>
      </c>
      <c r="AT651" t="b">
        <v>1</v>
      </c>
      <c r="AV651">
        <v>3.0</v>
      </c>
      <c r="AW651" t="b">
        <v>1</v>
      </c>
      <c r="AX651" s="4" t="s">
        <v>130</v>
      </c>
      <c r="AY651" s="4" t="s">
        <v>518</v>
      </c>
      <c r="AZ651" t="b">
        <v>0</v>
      </c>
      <c r="BA651" t="b">
        <v>0</v>
      </c>
      <c r="BD651" t="s">
        <v>13055</v>
      </c>
      <c r="BH651" t="s">
        <v>974</v>
      </c>
      <c r="BL651">
        <v>5.0</v>
      </c>
      <c r="BM651" t="s">
        <v>13056</v>
      </c>
      <c r="BN651">
        <v>4.0</v>
      </c>
      <c r="BO651">
        <v>6.0</v>
      </c>
      <c r="BP651" t="s">
        <v>13057</v>
      </c>
      <c r="BQ651" t="s">
        <v>1931</v>
      </c>
      <c r="BR651" t="s">
        <v>13058</v>
      </c>
      <c r="BS651" t="s">
        <v>13059</v>
      </c>
      <c r="BU651" t="s">
        <v>7593</v>
      </c>
      <c r="BV651" s="3" t="str">
        <f>HYPERLINK("https://api.typeform.com/responses/files/c1393a9bc91bd8bac4f9b5cd83301ef12fb97b84fe59152db88ea964c91439b9/Niyati_Trivedi_Software_Engineering_AI_Internship_.pdf")</f>
        <v>https://api.typeform.com/responses/files/c1393a9bc91bd8bac4f9b5cd83301ef12fb97b84fe59152db88ea964c91439b9/Niyati_Trivedi_Software_Engineering_AI_Internship_.pdf</v>
      </c>
      <c r="BW651" t="b">
        <v>1</v>
      </c>
      <c r="BX651" t="s">
        <v>497</v>
      </c>
      <c r="BY651" t="s">
        <v>822</v>
      </c>
      <c r="BZ651" t="s">
        <v>1419</v>
      </c>
      <c r="CD651">
        <v>0.0</v>
      </c>
      <c r="CF651" t="b">
        <v>1</v>
      </c>
      <c r="CG651" t="b">
        <v>1</v>
      </c>
      <c r="CH651" t="s">
        <v>1557</v>
      </c>
      <c r="CJ651" t="b">
        <v>1</v>
      </c>
      <c r="CK651" t="b">
        <v>1</v>
      </c>
      <c r="CL651" t="s">
        <v>636</v>
      </c>
      <c r="CM651" t="s">
        <v>362</v>
      </c>
      <c r="CN651" t="s">
        <v>13060</v>
      </c>
      <c r="CO651" t="s">
        <v>1397</v>
      </c>
      <c r="CQ651" t="s">
        <v>362</v>
      </c>
      <c r="CR651" t="b">
        <v>1</v>
      </c>
      <c r="CT651">
        <v>0.0</v>
      </c>
      <c r="CU651">
        <v>0.0</v>
      </c>
      <c r="CX651" s="4" t="s">
        <v>13061</v>
      </c>
      <c r="CZ651" s="5">
        <v>45122.21642361111</v>
      </c>
      <c r="DA651" t="s">
        <v>13062</v>
      </c>
    </row>
    <row r="652">
      <c r="A652" t="s">
        <v>1399</v>
      </c>
      <c r="D652" t="s">
        <v>12890</v>
      </c>
      <c r="E652" t="s">
        <v>9749</v>
      </c>
      <c r="F652" s="2">
        <v>37110.0</v>
      </c>
      <c r="G652" t="s">
        <v>1466</v>
      </c>
      <c r="I652" s="3" t="str">
        <f>HYPERLINK("https://api.typeform.com/responses/files/8312bc652e44f29adbe272174a24b6ddebeedc0d9649b9d913da00ea151a356e/SPEAKHIRE_Circle_Logo_2022.png")</f>
        <v>https://api.typeform.com/responses/files/8312bc652e44f29adbe272174a24b6ddebeedc0d9649b9d913da00ea151a356e/SPEAKHIRE_Circle_Logo_2022.png</v>
      </c>
      <c r="J652" t="s">
        <v>9750</v>
      </c>
      <c r="K652" t="b">
        <v>1</v>
      </c>
      <c r="L652" s="4" t="s">
        <v>13063</v>
      </c>
      <c r="M652" t="s">
        <v>12892</v>
      </c>
      <c r="N652" t="s">
        <v>354</v>
      </c>
      <c r="P652" t="s">
        <v>13064</v>
      </c>
      <c r="Q652" t="s">
        <v>152</v>
      </c>
      <c r="R652" t="s">
        <v>9750</v>
      </c>
      <c r="S652" t="s">
        <v>12892</v>
      </c>
      <c r="T652" s="4" t="s">
        <v>13065</v>
      </c>
      <c r="U652" t="s">
        <v>13064</v>
      </c>
      <c r="V652" t="s">
        <v>13064</v>
      </c>
      <c r="W652" t="s">
        <v>1388</v>
      </c>
      <c r="Y652" t="s">
        <v>1476</v>
      </c>
      <c r="AA652" t="s">
        <v>1497</v>
      </c>
      <c r="AB652" t="s">
        <v>6087</v>
      </c>
      <c r="AC652" s="3" t="str">
        <f>HYPERLINK("https://api.typeform.com/responses/files/acd8f003276d4eda7c53c0e9e5889e811c0e04fc3f72e3b9ddc7daa363850ff0/SPEAKHIRE_Circle_Logo_2022.png")</f>
        <v>https://api.typeform.com/responses/files/acd8f003276d4eda7c53c0e9e5889e811c0e04fc3f72e3b9ddc7daa363850ff0/SPEAKHIRE_Circle_Logo_2022.png</v>
      </c>
      <c r="AD652" t="s">
        <v>1014</v>
      </c>
      <c r="AE652" t="s">
        <v>1780</v>
      </c>
      <c r="AI652" t="s">
        <v>121</v>
      </c>
      <c r="AK652" t="s">
        <v>139</v>
      </c>
      <c r="AL652" t="s">
        <v>2490</v>
      </c>
      <c r="AO652" t="s">
        <v>125</v>
      </c>
      <c r="AP652">
        <v>2.0</v>
      </c>
      <c r="AQ652" t="s">
        <v>1520</v>
      </c>
      <c r="AR652" t="s">
        <v>13064</v>
      </c>
      <c r="AS652" t="b">
        <v>1</v>
      </c>
      <c r="AT652" t="b">
        <v>1</v>
      </c>
      <c r="AV652">
        <v>5.0</v>
      </c>
      <c r="AW652" t="b">
        <v>1</v>
      </c>
      <c r="AX652" t="s">
        <v>1902</v>
      </c>
      <c r="AY652" t="s">
        <v>1451</v>
      </c>
      <c r="AZ652" t="b">
        <v>0</v>
      </c>
      <c r="BA652" t="b">
        <v>1</v>
      </c>
      <c r="BB652" t="b">
        <v>0</v>
      </c>
      <c r="BC652" t="s">
        <v>13064</v>
      </c>
      <c r="BH652" t="s">
        <v>974</v>
      </c>
      <c r="BL652">
        <v>2.0</v>
      </c>
      <c r="BM652" s="4" t="s">
        <v>273</v>
      </c>
      <c r="BN652">
        <v>2.0</v>
      </c>
      <c r="BO652">
        <v>2.0</v>
      </c>
      <c r="BP652" s="4" t="s">
        <v>273</v>
      </c>
      <c r="BQ652" t="s">
        <v>13066</v>
      </c>
      <c r="BR652" s="4" t="s">
        <v>273</v>
      </c>
      <c r="BS652" s="4" t="s">
        <v>273</v>
      </c>
      <c r="BU652" s="4" t="s">
        <v>273</v>
      </c>
      <c r="BV652" s="3" t="str">
        <f>HYPERLINK("https://api.typeform.com/responses/files/4ccf8b10bd8e08b5d0ce1c637407928693f3baa183fb1f08b68c8ede6f184041/SPEAKHIRE_Circle_Logo_2022.png")</f>
        <v>https://api.typeform.com/responses/files/4ccf8b10bd8e08b5d0ce1c637407928693f3baa183fb1f08b68c8ede6f184041/SPEAKHIRE_Circle_Logo_2022.png</v>
      </c>
      <c r="BW652" t="b">
        <v>1</v>
      </c>
      <c r="BX652" t="s">
        <v>1394</v>
      </c>
      <c r="BY652" t="s">
        <v>822</v>
      </c>
      <c r="BZ652" t="s">
        <v>1419</v>
      </c>
      <c r="CD652">
        <v>0.0</v>
      </c>
      <c r="CF652" t="b">
        <v>1</v>
      </c>
      <c r="CG652" t="b">
        <v>1</v>
      </c>
      <c r="CH652" t="s">
        <v>13064</v>
      </c>
      <c r="CJ652" t="b">
        <v>0</v>
      </c>
      <c r="CK652" t="b">
        <v>1</v>
      </c>
      <c r="CL652" t="s">
        <v>413</v>
      </c>
      <c r="CM652" t="s">
        <v>387</v>
      </c>
      <c r="CO652" t="s">
        <v>2068</v>
      </c>
      <c r="CQ652" t="s">
        <v>387</v>
      </c>
      <c r="CS652" t="b">
        <v>1</v>
      </c>
      <c r="CT652">
        <v>2.0</v>
      </c>
      <c r="CU652">
        <v>2.0</v>
      </c>
      <c r="CX652" s="4" t="s">
        <v>273</v>
      </c>
      <c r="CZ652" s="5">
        <v>45128.67236111111</v>
      </c>
      <c r="DA652" t="s">
        <v>13067</v>
      </c>
    </row>
    <row r="653">
      <c r="A653" t="s">
        <v>98</v>
      </c>
      <c r="D653" t="s">
        <v>13068</v>
      </c>
      <c r="E653" t="s">
        <v>13069</v>
      </c>
      <c r="F653" s="2">
        <v>39018.0</v>
      </c>
      <c r="G653" t="s">
        <v>1360</v>
      </c>
      <c r="I653" s="3" t="str">
        <f>HYPERLINK("https://api.typeform.com/responses/files/9f2a4328cd85defb84068e31b5cb9b42edb93a08383d05dc9ea6d9ca66100e63/IMG_5990.jpeg")</f>
        <v>https://api.typeform.com/responses/files/9f2a4328cd85defb84068e31b5cb9b42edb93a08383d05dc9ea6d9ca66100e63/IMG_5990.jpeg</v>
      </c>
      <c r="J653" t="s">
        <v>13070</v>
      </c>
      <c r="K653" t="b">
        <v>1</v>
      </c>
      <c r="L653" s="4" t="s">
        <v>13071</v>
      </c>
      <c r="M653" t="s">
        <v>13072</v>
      </c>
      <c r="N653" t="s">
        <v>255</v>
      </c>
      <c r="O653" t="s">
        <v>13073</v>
      </c>
      <c r="P653" t="s">
        <v>13074</v>
      </c>
      <c r="Q653" t="s">
        <v>189</v>
      </c>
      <c r="R653" t="s">
        <v>13075</v>
      </c>
      <c r="S653" t="s">
        <v>13072</v>
      </c>
      <c r="T653" s="4" t="s">
        <v>13076</v>
      </c>
      <c r="U653" t="s">
        <v>8273</v>
      </c>
      <c r="V653" t="s">
        <v>8336</v>
      </c>
      <c r="W653" t="s">
        <v>261</v>
      </c>
      <c r="Y653" t="s">
        <v>158</v>
      </c>
      <c r="Z653" t="s">
        <v>262</v>
      </c>
      <c r="AC653" s="3" t="str">
        <f>HYPERLINK("https://api.typeform.com/responses/files/ab8ea857d48d5c7cb027a9ab222e1d62edad5b6820a3d80a312683d2e8ec5d07/Kesang_Penjoy_Transcript.pdf")</f>
        <v>https://api.typeform.com/responses/files/ab8ea857d48d5c7cb027a9ab222e1d62edad5b6820a3d80a312683d2e8ec5d07/Kesang_Penjoy_Transcript.pdf</v>
      </c>
      <c r="AD653" t="s">
        <v>118</v>
      </c>
      <c r="AE653" t="s">
        <v>1220</v>
      </c>
      <c r="AF653" t="s">
        <v>8774</v>
      </c>
      <c r="AG653">
        <v>14.0</v>
      </c>
      <c r="AH653" t="s">
        <v>13077</v>
      </c>
      <c r="AI653" t="s">
        <v>121</v>
      </c>
      <c r="AK653" t="s">
        <v>620</v>
      </c>
      <c r="AL653" t="s">
        <v>13078</v>
      </c>
      <c r="AO653" t="s">
        <v>335</v>
      </c>
      <c r="AP653">
        <v>6.0</v>
      </c>
      <c r="AQ653" t="s">
        <v>126</v>
      </c>
      <c r="AR653" t="s">
        <v>1348</v>
      </c>
      <c r="AS653" t="b">
        <v>1</v>
      </c>
      <c r="AT653" t="b">
        <v>1</v>
      </c>
      <c r="AV653">
        <v>7.0</v>
      </c>
      <c r="AW653" t="b">
        <v>0</v>
      </c>
      <c r="AZ653" t="b">
        <v>1</v>
      </c>
      <c r="BA653" t="b">
        <v>1</v>
      </c>
      <c r="BB653" t="b">
        <v>0</v>
      </c>
      <c r="BC653" t="s">
        <v>13079</v>
      </c>
      <c r="BH653" t="s">
        <v>132</v>
      </c>
      <c r="BI653">
        <v>4.0</v>
      </c>
      <c r="BJ653" t="s">
        <v>13080</v>
      </c>
      <c r="BK653">
        <v>5.0</v>
      </c>
      <c r="BL653">
        <v>4.0</v>
      </c>
      <c r="BM653" t="s">
        <v>13081</v>
      </c>
      <c r="BN653">
        <v>4.0</v>
      </c>
      <c r="BO653">
        <v>5.0</v>
      </c>
      <c r="BP653" t="s">
        <v>13082</v>
      </c>
      <c r="BQ653" t="s">
        <v>2827</v>
      </c>
      <c r="BR653" t="s">
        <v>13083</v>
      </c>
      <c r="BS653" t="s">
        <v>13084</v>
      </c>
      <c r="BU653" t="s">
        <v>620</v>
      </c>
      <c r="BV653" s="3" t="str">
        <f>HYPERLINK("https://api.typeform.com/responses/files/9a4ceda09af96db42008181992a0b219326346f70de044ac35bec66488fe365a/Kesang_Penjor_Speakhire_Parent_Consent.pdf")</f>
        <v>https://api.typeform.com/responses/files/9a4ceda09af96db42008181992a0b219326346f70de044ac35bec66488fe365a/Kesang_Penjor_Speakhire_Parent_Consent.pdf</v>
      </c>
      <c r="BW653" t="b">
        <v>1</v>
      </c>
      <c r="BX653" t="s">
        <v>1394</v>
      </c>
      <c r="BY653" t="s">
        <v>140</v>
      </c>
      <c r="CA653" t="s">
        <v>1395</v>
      </c>
      <c r="CD653">
        <v>0.0</v>
      </c>
      <c r="CF653" t="b">
        <v>0</v>
      </c>
      <c r="CG653" t="b">
        <v>0</v>
      </c>
      <c r="CH653" t="s">
        <v>168</v>
      </c>
      <c r="CJ653" t="b">
        <v>0</v>
      </c>
      <c r="CK653" t="b">
        <v>1</v>
      </c>
      <c r="CL653" t="s">
        <v>636</v>
      </c>
      <c r="CO653" t="s">
        <v>2325</v>
      </c>
      <c r="CR653" t="b">
        <v>1</v>
      </c>
      <c r="CT653">
        <v>2.0</v>
      </c>
      <c r="CU653">
        <v>2.0</v>
      </c>
      <c r="CX653" s="4" t="s">
        <v>13085</v>
      </c>
      <c r="CZ653" s="5">
        <v>45314.03732638889</v>
      </c>
      <c r="DA653" t="s">
        <v>13086</v>
      </c>
    </row>
  </sheetData>
  <hyperlinks>
    <hyperlink r:id="rId1" ref="I2"/>
    <hyperlink r:id="rId2" ref="AC2"/>
    <hyperlink r:id="rId3" ref="I3"/>
    <hyperlink r:id="rId4" ref="AC3"/>
    <hyperlink r:id="rId5" ref="I4"/>
    <hyperlink r:id="rId6" ref="AC4"/>
    <hyperlink r:id="rId7" ref="I5"/>
    <hyperlink r:id="rId8" ref="AC5"/>
    <hyperlink r:id="rId9" ref="I6"/>
    <hyperlink r:id="rId10" ref="AC6"/>
    <hyperlink r:id="rId11" ref="I7"/>
    <hyperlink r:id="rId12" ref="AC7"/>
    <hyperlink r:id="rId13" ref="I8"/>
    <hyperlink r:id="rId14" ref="AC8"/>
    <hyperlink r:id="rId15" ref="I9"/>
    <hyperlink r:id="rId16" ref="AC9"/>
    <hyperlink r:id="rId17" ref="I10"/>
    <hyperlink r:id="rId18" ref="AC10"/>
    <hyperlink r:id="rId19" ref="I11"/>
    <hyperlink r:id="rId20" ref="AC11"/>
    <hyperlink r:id="rId21" ref="I12"/>
    <hyperlink r:id="rId22" ref="AC12"/>
    <hyperlink r:id="rId23" ref="I13"/>
    <hyperlink r:id="rId24" ref="AC13"/>
    <hyperlink r:id="rId25" ref="I14"/>
    <hyperlink r:id="rId26" ref="AC14"/>
    <hyperlink r:id="rId27" ref="I15"/>
    <hyperlink r:id="rId28" ref="AC15"/>
    <hyperlink r:id="rId29" ref="I16"/>
    <hyperlink r:id="rId30" ref="AC16"/>
    <hyperlink r:id="rId31" ref="I17"/>
    <hyperlink r:id="rId32" ref="AC17"/>
    <hyperlink r:id="rId33" ref="I18"/>
    <hyperlink r:id="rId34" ref="AC18"/>
    <hyperlink r:id="rId35" ref="I19"/>
    <hyperlink r:id="rId36" ref="AC19"/>
    <hyperlink r:id="rId37" ref="I20"/>
    <hyperlink r:id="rId38" ref="AC20"/>
    <hyperlink r:id="rId39" ref="I21"/>
    <hyperlink r:id="rId40" ref="AC21"/>
    <hyperlink r:id="rId41" ref="I22"/>
    <hyperlink r:id="rId42" ref="AC22"/>
    <hyperlink r:id="rId43" ref="I23"/>
    <hyperlink r:id="rId44" ref="AC23"/>
    <hyperlink r:id="rId45" ref="I24"/>
    <hyperlink r:id="rId46" ref="AC24"/>
    <hyperlink r:id="rId47" ref="I25"/>
    <hyperlink r:id="rId48" ref="AC25"/>
    <hyperlink r:id="rId49" ref="BV25"/>
    <hyperlink r:id="rId50" ref="I26"/>
    <hyperlink r:id="rId51" ref="AC26"/>
    <hyperlink r:id="rId52" ref="BV26"/>
    <hyperlink r:id="rId53" ref="I27"/>
    <hyperlink r:id="rId54" ref="AC27"/>
    <hyperlink r:id="rId55" ref="BV27"/>
    <hyperlink r:id="rId56" ref="I28"/>
    <hyperlink r:id="rId57" ref="AC28"/>
    <hyperlink r:id="rId58" ref="BV28"/>
    <hyperlink r:id="rId59" ref="I29"/>
    <hyperlink r:id="rId60" ref="AC29"/>
    <hyperlink r:id="rId61" ref="BV29"/>
    <hyperlink r:id="rId62" ref="I30"/>
    <hyperlink r:id="rId63" ref="AC30"/>
    <hyperlink r:id="rId64" ref="BV30"/>
    <hyperlink r:id="rId65" ref="I31"/>
    <hyperlink r:id="rId66" ref="AC31"/>
    <hyperlink r:id="rId67" ref="BV31"/>
    <hyperlink r:id="rId68" ref="I32"/>
    <hyperlink r:id="rId69" ref="AC32"/>
    <hyperlink r:id="rId70" ref="BV32"/>
    <hyperlink r:id="rId71" ref="I33"/>
    <hyperlink r:id="rId72" ref="AC33"/>
    <hyperlink r:id="rId73" ref="BV33"/>
    <hyperlink r:id="rId74" ref="I34"/>
    <hyperlink r:id="rId75" ref="AC34"/>
    <hyperlink r:id="rId76" ref="BV34"/>
    <hyperlink r:id="rId77" ref="I35"/>
    <hyperlink r:id="rId78" ref="AC35"/>
    <hyperlink r:id="rId79" ref="BV35"/>
    <hyperlink r:id="rId80" ref="I36"/>
    <hyperlink r:id="rId81" ref="AC36"/>
    <hyperlink r:id="rId82" ref="BV36"/>
    <hyperlink r:id="rId83" ref="I37"/>
    <hyperlink r:id="rId84" ref="AC37"/>
    <hyperlink r:id="rId85" ref="BV37"/>
    <hyperlink r:id="rId86" ref="I38"/>
    <hyperlink r:id="rId87" ref="AC38"/>
    <hyperlink r:id="rId88" ref="BV38"/>
    <hyperlink r:id="rId89" ref="I39"/>
    <hyperlink r:id="rId90" ref="AC39"/>
    <hyperlink r:id="rId91" ref="BV39"/>
    <hyperlink r:id="rId92" ref="I40"/>
    <hyperlink r:id="rId93" ref="AC40"/>
    <hyperlink r:id="rId94" ref="BV40"/>
    <hyperlink r:id="rId95" ref="I41"/>
    <hyperlink r:id="rId96" ref="AC41"/>
    <hyperlink r:id="rId97" ref="BV41"/>
    <hyperlink r:id="rId98" ref="I42"/>
    <hyperlink r:id="rId99" ref="AC42"/>
    <hyperlink r:id="rId100" ref="BV42"/>
    <hyperlink r:id="rId101" ref="I43"/>
    <hyperlink r:id="rId102" ref="AC43"/>
    <hyperlink r:id="rId103" ref="BV43"/>
    <hyperlink r:id="rId104" ref="I44"/>
    <hyperlink r:id="rId105" ref="AC44"/>
    <hyperlink r:id="rId106" ref="BV44"/>
    <hyperlink r:id="rId107" ref="I45"/>
    <hyperlink r:id="rId108" ref="AC45"/>
    <hyperlink r:id="rId109" ref="BV45"/>
    <hyperlink r:id="rId110" ref="I46"/>
    <hyperlink r:id="rId111" ref="AC46"/>
    <hyperlink r:id="rId112" ref="BV46"/>
    <hyperlink r:id="rId113" ref="I47"/>
    <hyperlink r:id="rId114" ref="AC47"/>
    <hyperlink r:id="rId115" ref="BV47"/>
    <hyperlink r:id="rId116" ref="I48"/>
    <hyperlink r:id="rId117" ref="AC48"/>
    <hyperlink r:id="rId118" ref="BV48"/>
    <hyperlink r:id="rId119" ref="AC49"/>
    <hyperlink r:id="rId120" ref="BV49"/>
    <hyperlink r:id="rId121" ref="AC50"/>
    <hyperlink r:id="rId122" ref="BV50"/>
    <hyperlink r:id="rId123" ref="I51"/>
    <hyperlink r:id="rId124" ref="AC51"/>
    <hyperlink r:id="rId125" ref="BV51"/>
    <hyperlink r:id="rId126" ref="I52"/>
    <hyperlink r:id="rId127" ref="AC52"/>
    <hyperlink r:id="rId128" ref="BV52"/>
    <hyperlink r:id="rId129" ref="I53"/>
    <hyperlink r:id="rId130" ref="AC53"/>
    <hyperlink r:id="rId131" ref="BV53"/>
    <hyperlink r:id="rId132" ref="I54"/>
    <hyperlink r:id="rId133" ref="AC54"/>
    <hyperlink r:id="rId134" ref="BV54"/>
    <hyperlink r:id="rId135" ref="I55"/>
    <hyperlink r:id="rId136" ref="AC55"/>
    <hyperlink r:id="rId137" ref="BV55"/>
    <hyperlink r:id="rId138" ref="I56"/>
    <hyperlink r:id="rId139" ref="AC56"/>
    <hyperlink r:id="rId140" ref="BV56"/>
    <hyperlink r:id="rId141" ref="I57"/>
    <hyperlink r:id="rId142" ref="AC57"/>
    <hyperlink r:id="rId143" ref="BV57"/>
    <hyperlink r:id="rId144" ref="I58"/>
    <hyperlink r:id="rId145" ref="AC58"/>
    <hyperlink r:id="rId146" ref="BV58"/>
    <hyperlink r:id="rId147" ref="I59"/>
    <hyperlink r:id="rId148" ref="AC59"/>
    <hyperlink r:id="rId149" ref="BV59"/>
    <hyperlink r:id="rId150" ref="I60"/>
    <hyperlink r:id="rId151" ref="AC60"/>
    <hyperlink r:id="rId152" ref="BV60"/>
    <hyperlink r:id="rId153" ref="I61"/>
    <hyperlink r:id="rId154" ref="AC61"/>
    <hyperlink r:id="rId155" ref="BV61"/>
    <hyperlink r:id="rId156" ref="I62"/>
    <hyperlink r:id="rId157" ref="AC62"/>
    <hyperlink r:id="rId158" ref="BV62"/>
    <hyperlink r:id="rId159" ref="I63"/>
    <hyperlink r:id="rId160" ref="AC63"/>
    <hyperlink r:id="rId161" ref="BV63"/>
    <hyperlink r:id="rId162" ref="I64"/>
    <hyperlink r:id="rId163" ref="AC64"/>
    <hyperlink r:id="rId164" ref="BV64"/>
    <hyperlink r:id="rId165" ref="I65"/>
    <hyperlink r:id="rId166" ref="AC65"/>
    <hyperlink r:id="rId167" ref="BV65"/>
    <hyperlink r:id="rId168" ref="I66"/>
    <hyperlink r:id="rId169" ref="AC66"/>
    <hyperlink r:id="rId170" ref="BV66"/>
    <hyperlink r:id="rId171" ref="I67"/>
    <hyperlink r:id="rId172" ref="AC67"/>
    <hyperlink r:id="rId173" ref="BV67"/>
    <hyperlink r:id="rId174" ref="I68"/>
    <hyperlink r:id="rId175" ref="AC68"/>
    <hyperlink r:id="rId176" ref="BV68"/>
    <hyperlink r:id="rId177" ref="I69"/>
    <hyperlink r:id="rId178" ref="AC69"/>
    <hyperlink r:id="rId179" ref="BV69"/>
    <hyperlink r:id="rId180" ref="I70"/>
    <hyperlink r:id="rId181" ref="O70"/>
    <hyperlink r:id="rId182" ref="AC70"/>
    <hyperlink r:id="rId183" ref="BV70"/>
    <hyperlink r:id="rId184" ref="I71"/>
    <hyperlink r:id="rId185" ref="AC71"/>
    <hyperlink r:id="rId186" ref="BV71"/>
    <hyperlink r:id="rId187" ref="I72"/>
    <hyperlink r:id="rId188" ref="AC72"/>
    <hyperlink r:id="rId189" ref="BV72"/>
    <hyperlink r:id="rId190" ref="I73"/>
    <hyperlink r:id="rId191" ref="AC73"/>
    <hyperlink r:id="rId192" ref="BV73"/>
    <hyperlink r:id="rId193" ref="I74"/>
    <hyperlink r:id="rId194" ref="O74"/>
    <hyperlink r:id="rId195" ref="AC74"/>
    <hyperlink r:id="rId196" ref="BV74"/>
    <hyperlink r:id="rId197" ref="I75"/>
    <hyperlink r:id="rId198" ref="AC75"/>
    <hyperlink r:id="rId199" ref="BV75"/>
    <hyperlink r:id="rId200" ref="I76"/>
    <hyperlink r:id="rId201" ref="AC76"/>
    <hyperlink r:id="rId202" ref="BV76"/>
    <hyperlink r:id="rId203" ref="I77"/>
    <hyperlink r:id="rId204" ref="AC77"/>
    <hyperlink r:id="rId205" ref="BV77"/>
    <hyperlink r:id="rId206" ref="I78"/>
    <hyperlink r:id="rId207" ref="AC78"/>
    <hyperlink r:id="rId208" ref="BV78"/>
    <hyperlink r:id="rId209" ref="I79"/>
    <hyperlink r:id="rId210" ref="AC79"/>
    <hyperlink r:id="rId211" ref="BV79"/>
    <hyperlink r:id="rId212" ref="I80"/>
    <hyperlink r:id="rId213" ref="AC80"/>
    <hyperlink r:id="rId214" ref="BV80"/>
    <hyperlink r:id="rId215" ref="I81"/>
    <hyperlink r:id="rId216" ref="AC81"/>
    <hyperlink r:id="rId217" ref="BV81"/>
    <hyperlink r:id="rId218" ref="I82"/>
    <hyperlink r:id="rId219" ref="AC82"/>
    <hyperlink r:id="rId220" ref="BV82"/>
    <hyperlink r:id="rId221" ref="I83"/>
    <hyperlink r:id="rId222" ref="AC83"/>
    <hyperlink r:id="rId223" ref="BV83"/>
    <hyperlink r:id="rId224" ref="I84"/>
    <hyperlink r:id="rId225" ref="AC84"/>
    <hyperlink r:id="rId226" ref="BV84"/>
    <hyperlink r:id="rId227" ref="I85"/>
    <hyperlink r:id="rId228" ref="AC85"/>
    <hyperlink r:id="rId229" ref="BV85"/>
    <hyperlink r:id="rId230" ref="I86"/>
    <hyperlink r:id="rId231" ref="O86"/>
    <hyperlink r:id="rId232" ref="AC86"/>
    <hyperlink r:id="rId233" ref="BV86"/>
    <hyperlink r:id="rId234" ref="I87"/>
    <hyperlink r:id="rId235" ref="AC87"/>
    <hyperlink r:id="rId236" ref="BV87"/>
    <hyperlink r:id="rId237" ref="I88"/>
    <hyperlink r:id="rId238" ref="AC88"/>
    <hyperlink r:id="rId239" ref="BV88"/>
    <hyperlink r:id="rId240" ref="I89"/>
    <hyperlink r:id="rId241" ref="AC89"/>
    <hyperlink r:id="rId242" ref="BV89"/>
    <hyperlink r:id="rId243" ref="I90"/>
    <hyperlink r:id="rId244" ref="AC90"/>
    <hyperlink r:id="rId245" ref="BV90"/>
    <hyperlink r:id="rId246" ref="I91"/>
    <hyperlink r:id="rId247" ref="AC91"/>
    <hyperlink r:id="rId248" ref="BV91"/>
    <hyperlink r:id="rId249" ref="I92"/>
    <hyperlink r:id="rId250" ref="AC92"/>
    <hyperlink r:id="rId251" ref="BV92"/>
    <hyperlink r:id="rId252" ref="I93"/>
    <hyperlink r:id="rId253" ref="AC93"/>
    <hyperlink r:id="rId254" ref="BV93"/>
    <hyperlink r:id="rId255" ref="I94"/>
    <hyperlink r:id="rId256" ref="AC94"/>
    <hyperlink r:id="rId257" ref="BV94"/>
    <hyperlink r:id="rId258" ref="I95"/>
    <hyperlink r:id="rId259" ref="AC95"/>
    <hyperlink r:id="rId260" ref="BV95"/>
    <hyperlink r:id="rId261" ref="I96"/>
    <hyperlink r:id="rId262" ref="AC96"/>
    <hyperlink r:id="rId263" ref="BV96"/>
    <hyperlink r:id="rId264" ref="I97"/>
    <hyperlink r:id="rId265" ref="AC97"/>
    <hyperlink r:id="rId266" ref="BV97"/>
    <hyperlink r:id="rId267" ref="I98"/>
    <hyperlink r:id="rId268" ref="AC98"/>
    <hyperlink r:id="rId269" ref="BV98"/>
    <hyperlink r:id="rId270" ref="I99"/>
    <hyperlink r:id="rId271" ref="AC99"/>
    <hyperlink r:id="rId272" ref="BV99"/>
    <hyperlink r:id="rId273" ref="I100"/>
    <hyperlink r:id="rId274" ref="AC100"/>
    <hyperlink r:id="rId275" ref="BV100"/>
    <hyperlink r:id="rId276" ref="I101"/>
    <hyperlink r:id="rId277" ref="AC101"/>
    <hyperlink r:id="rId278" ref="BV101"/>
    <hyperlink r:id="rId279" ref="I102"/>
    <hyperlink r:id="rId280" ref="AC102"/>
    <hyperlink r:id="rId281" ref="BV102"/>
    <hyperlink r:id="rId282" ref="I103"/>
    <hyperlink r:id="rId283" ref="AC103"/>
    <hyperlink r:id="rId284" ref="BV103"/>
    <hyperlink r:id="rId285" ref="I105"/>
    <hyperlink r:id="rId286" ref="AC105"/>
    <hyperlink r:id="rId287" ref="BV105"/>
    <hyperlink r:id="rId288" ref="I106"/>
    <hyperlink r:id="rId289" ref="AC106"/>
    <hyperlink r:id="rId290" ref="BV106"/>
    <hyperlink r:id="rId291" ref="I107"/>
    <hyperlink r:id="rId292" ref="O107"/>
    <hyperlink r:id="rId293" ref="AC107"/>
    <hyperlink r:id="rId294" ref="BV107"/>
    <hyperlink r:id="rId295" ref="I108"/>
    <hyperlink r:id="rId296" ref="AC108"/>
    <hyperlink r:id="rId297" ref="BV108"/>
    <hyperlink r:id="rId298" ref="I109"/>
    <hyperlink r:id="rId299" ref="AC109"/>
    <hyperlink r:id="rId300" ref="BV109"/>
    <hyperlink r:id="rId301" ref="I110"/>
    <hyperlink r:id="rId302" ref="AC110"/>
    <hyperlink r:id="rId303" ref="BV110"/>
    <hyperlink r:id="rId304" ref="I111"/>
    <hyperlink r:id="rId305" ref="AC111"/>
    <hyperlink r:id="rId306" ref="BV111"/>
    <hyperlink r:id="rId307" ref="I112"/>
    <hyperlink r:id="rId308" ref="AC112"/>
    <hyperlink r:id="rId309" ref="BV112"/>
    <hyperlink r:id="rId310" ref="I113"/>
    <hyperlink r:id="rId311" ref="AC113"/>
    <hyperlink r:id="rId312" ref="BV113"/>
    <hyperlink r:id="rId313" ref="I114"/>
    <hyperlink r:id="rId314" ref="AC114"/>
    <hyperlink r:id="rId315" ref="BV114"/>
    <hyperlink r:id="rId316" ref="I115"/>
    <hyperlink r:id="rId317" ref="AC115"/>
    <hyperlink r:id="rId318" ref="BV115"/>
    <hyperlink r:id="rId319" ref="I116"/>
    <hyperlink r:id="rId320" ref="AC116"/>
    <hyperlink r:id="rId321" ref="BV116"/>
    <hyperlink r:id="rId322" ref="I117"/>
    <hyperlink r:id="rId323" ref="AC117"/>
    <hyperlink r:id="rId324" ref="BV117"/>
    <hyperlink r:id="rId325" ref="I118"/>
    <hyperlink r:id="rId326" ref="AC118"/>
    <hyperlink r:id="rId327" ref="BV118"/>
    <hyperlink r:id="rId328" ref="I119"/>
    <hyperlink r:id="rId329" ref="AC119"/>
    <hyperlink r:id="rId330" ref="BV119"/>
    <hyperlink r:id="rId331" ref="I120"/>
    <hyperlink r:id="rId332" ref="AC120"/>
    <hyperlink r:id="rId333" ref="BV120"/>
    <hyperlink r:id="rId334" ref="I121"/>
    <hyperlink r:id="rId335" ref="AC121"/>
    <hyperlink r:id="rId336" ref="BV121"/>
    <hyperlink r:id="rId337" ref="I122"/>
    <hyperlink r:id="rId338" ref="AC122"/>
    <hyperlink r:id="rId339" ref="BV122"/>
    <hyperlink r:id="rId340" ref="I123"/>
    <hyperlink r:id="rId341" ref="AC123"/>
    <hyperlink r:id="rId342" ref="BV123"/>
    <hyperlink r:id="rId343" ref="I124"/>
    <hyperlink r:id="rId344" ref="AC124"/>
    <hyperlink r:id="rId345" ref="BV124"/>
    <hyperlink r:id="rId346" ref="I125"/>
    <hyperlink r:id="rId347" ref="AC125"/>
    <hyperlink r:id="rId348" ref="BV125"/>
    <hyperlink r:id="rId349" ref="I126"/>
    <hyperlink r:id="rId350" ref="AC126"/>
    <hyperlink r:id="rId351" ref="BV126"/>
    <hyperlink r:id="rId352" ref="I127"/>
    <hyperlink r:id="rId353" ref="AC127"/>
    <hyperlink r:id="rId354" ref="BV127"/>
    <hyperlink r:id="rId355" ref="I128"/>
    <hyperlink r:id="rId356" ref="AC128"/>
    <hyperlink r:id="rId357" ref="BV128"/>
    <hyperlink r:id="rId358" ref="I129"/>
    <hyperlink r:id="rId359" ref="AC129"/>
    <hyperlink r:id="rId360" ref="BV129"/>
    <hyperlink r:id="rId361" ref="I130"/>
    <hyperlink r:id="rId362" ref="AC130"/>
    <hyperlink r:id="rId363" ref="BV130"/>
    <hyperlink r:id="rId364" ref="I131"/>
    <hyperlink r:id="rId365" ref="AC131"/>
    <hyperlink r:id="rId366" ref="BV131"/>
    <hyperlink r:id="rId367" ref="I132"/>
    <hyperlink r:id="rId368" ref="AC132"/>
    <hyperlink r:id="rId369" ref="BV132"/>
    <hyperlink r:id="rId370" ref="I133"/>
    <hyperlink r:id="rId371" ref="AC133"/>
    <hyperlink r:id="rId372" ref="BV133"/>
    <hyperlink r:id="rId373" ref="I134"/>
    <hyperlink r:id="rId374" ref="AC134"/>
    <hyperlink r:id="rId375" ref="BV134"/>
    <hyperlink r:id="rId376" ref="I135"/>
    <hyperlink r:id="rId377" ref="AC135"/>
    <hyperlink r:id="rId378" ref="BV135"/>
    <hyperlink r:id="rId379" ref="I136"/>
    <hyperlink r:id="rId380" ref="AC136"/>
    <hyperlink r:id="rId381" ref="BV136"/>
  </hyperlinks>
  <drawing r:id="rId3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13087</v>
      </c>
      <c r="B1" s="6" t="s">
        <v>13088</v>
      </c>
      <c r="C1" s="6" t="s">
        <v>13089</v>
      </c>
      <c r="D1" s="6" t="s">
        <v>13090</v>
      </c>
      <c r="E1" s="6" t="s">
        <v>13091</v>
      </c>
      <c r="F1" s="6" t="s">
        <v>13092</v>
      </c>
      <c r="G1" s="6" t="s">
        <v>13093</v>
      </c>
      <c r="H1" s="6" t="s">
        <v>13094</v>
      </c>
      <c r="I1" s="6" t="s">
        <v>13095</v>
      </c>
      <c r="J1" s="6" t="s">
        <v>13096</v>
      </c>
      <c r="K1" s="6" t="s">
        <v>13097</v>
      </c>
      <c r="L1" s="6" t="s">
        <v>13098</v>
      </c>
      <c r="M1" s="6" t="s">
        <v>13099</v>
      </c>
      <c r="N1" s="6" t="s">
        <v>13100</v>
      </c>
      <c r="O1" s="6" t="s">
        <v>13101</v>
      </c>
      <c r="P1" s="6" t="s">
        <v>13102</v>
      </c>
      <c r="Q1" s="6" t="s">
        <v>13103</v>
      </c>
      <c r="R1" s="6" t="s">
        <v>13104</v>
      </c>
      <c r="S1" s="6" t="s">
        <v>13105</v>
      </c>
      <c r="T1" s="6" t="s">
        <v>13106</v>
      </c>
      <c r="U1" s="6" t="s">
        <v>13107</v>
      </c>
      <c r="V1" s="6" t="s">
        <v>13108</v>
      </c>
      <c r="W1" s="6" t="s">
        <v>13109</v>
      </c>
      <c r="X1" s="6" t="s">
        <v>13110</v>
      </c>
      <c r="Y1" s="6" t="s">
        <v>13111</v>
      </c>
      <c r="Z1" s="6" t="s">
        <v>13112</v>
      </c>
      <c r="AA1" s="6" t="s">
        <v>13113</v>
      </c>
      <c r="AB1" s="6" t="s">
        <v>13114</v>
      </c>
      <c r="AC1" s="6" t="s">
        <v>13115</v>
      </c>
      <c r="AD1" s="6" t="s">
        <v>13116</v>
      </c>
      <c r="AE1" s="6" t="s">
        <v>13117</v>
      </c>
      <c r="AF1" s="6" t="s">
        <v>13118</v>
      </c>
      <c r="AG1" s="6" t="s">
        <v>13119</v>
      </c>
      <c r="AH1" s="6" t="s">
        <v>13120</v>
      </c>
      <c r="AI1" s="6" t="s">
        <v>13121</v>
      </c>
      <c r="AJ1" s="6" t="s">
        <v>13122</v>
      </c>
      <c r="AK1" s="6" t="s">
        <v>13123</v>
      </c>
      <c r="AL1" s="6" t="s">
        <v>13124</v>
      </c>
      <c r="AM1" s="6" t="s">
        <v>13125</v>
      </c>
      <c r="AN1" s="6" t="s">
        <v>13126</v>
      </c>
      <c r="AO1" s="6" t="s">
        <v>13127</v>
      </c>
      <c r="AP1" s="6" t="s">
        <v>13128</v>
      </c>
      <c r="AQ1" s="6" t="s">
        <v>13129</v>
      </c>
      <c r="AR1" s="6" t="s">
        <v>13130</v>
      </c>
      <c r="AS1" s="6" t="s">
        <v>13131</v>
      </c>
      <c r="AT1" s="6" t="s">
        <v>13132</v>
      </c>
      <c r="AU1" s="6" t="s">
        <v>13133</v>
      </c>
      <c r="AV1" s="6" t="s">
        <v>13134</v>
      </c>
      <c r="AW1" s="6" t="s">
        <v>13135</v>
      </c>
      <c r="AX1" s="7" t="s">
        <v>13136</v>
      </c>
      <c r="AY1" s="8"/>
      <c r="AZ1" s="8"/>
      <c r="BA1" s="8"/>
    </row>
    <row r="2">
      <c r="A2" s="9">
        <v>42918.85932581019</v>
      </c>
      <c r="B2" s="10" t="s">
        <v>4075</v>
      </c>
      <c r="C2" s="10" t="s">
        <v>13137</v>
      </c>
      <c r="D2" s="11" t="s">
        <v>13138</v>
      </c>
      <c r="E2" s="10" t="s">
        <v>620</v>
      </c>
      <c r="F2" s="10" t="s">
        <v>13139</v>
      </c>
      <c r="G2" s="10"/>
      <c r="H2" s="12">
        <v>5.0</v>
      </c>
      <c r="I2" s="10" t="s">
        <v>3668</v>
      </c>
      <c r="J2" s="10"/>
      <c r="K2" s="10" t="s">
        <v>13140</v>
      </c>
      <c r="L2" s="10" t="s">
        <v>13141</v>
      </c>
      <c r="M2" s="13" t="s">
        <v>13142</v>
      </c>
      <c r="N2" s="10"/>
      <c r="O2" s="10" t="s">
        <v>3668</v>
      </c>
      <c r="P2" s="10"/>
      <c r="Q2" s="10"/>
      <c r="R2" s="10"/>
      <c r="S2" s="13" t="s">
        <v>13143</v>
      </c>
      <c r="T2" s="14"/>
      <c r="U2" s="14"/>
      <c r="V2" s="14"/>
      <c r="W2" s="14"/>
      <c r="X2" s="14"/>
      <c r="Y2" s="14"/>
      <c r="Z2" s="14"/>
      <c r="AA2" s="14"/>
      <c r="AB2" s="14"/>
      <c r="AC2" s="14"/>
      <c r="AD2" s="10"/>
      <c r="AE2" s="10"/>
      <c r="AF2" s="10"/>
      <c r="AG2" s="10"/>
      <c r="AH2" s="10"/>
      <c r="AI2" s="10"/>
      <c r="AJ2" s="10"/>
      <c r="AK2" s="13" t="s">
        <v>13144</v>
      </c>
      <c r="AL2" s="14"/>
      <c r="AM2" s="14"/>
      <c r="AN2" s="14"/>
      <c r="AO2" s="14"/>
      <c r="AP2" s="14"/>
      <c r="AQ2" s="14"/>
      <c r="AR2" s="10"/>
      <c r="AS2" s="10"/>
      <c r="AT2" s="10"/>
      <c r="AU2" s="10" t="s">
        <v>13145</v>
      </c>
      <c r="AV2" s="13" t="s">
        <v>13146</v>
      </c>
      <c r="AW2" s="14"/>
      <c r="AX2" s="14"/>
      <c r="AY2" s="10"/>
      <c r="AZ2" s="10"/>
      <c r="BA2" s="10"/>
    </row>
    <row r="3">
      <c r="A3" s="9">
        <v>43144.6109816088</v>
      </c>
      <c r="B3" s="10" t="s">
        <v>4075</v>
      </c>
      <c r="C3" s="10" t="s">
        <v>13147</v>
      </c>
      <c r="D3" s="11" t="s">
        <v>13138</v>
      </c>
      <c r="E3" s="10" t="s">
        <v>620</v>
      </c>
      <c r="F3" s="10" t="s">
        <v>13148</v>
      </c>
      <c r="G3" s="10"/>
      <c r="H3" s="12">
        <v>3.0</v>
      </c>
      <c r="I3" s="10" t="s">
        <v>3668</v>
      </c>
      <c r="J3" s="10" t="s">
        <v>13149</v>
      </c>
      <c r="K3" s="10" t="s">
        <v>13150</v>
      </c>
      <c r="L3" s="10" t="s">
        <v>13151</v>
      </c>
      <c r="M3" s="10" t="s">
        <v>13152</v>
      </c>
      <c r="N3" s="10" t="s">
        <v>179</v>
      </c>
      <c r="O3" s="10" t="s">
        <v>3668</v>
      </c>
      <c r="P3" s="10"/>
      <c r="Q3" s="10"/>
      <c r="R3" s="10"/>
      <c r="S3" s="10" t="s">
        <v>179</v>
      </c>
      <c r="T3" s="10" t="s">
        <v>179</v>
      </c>
      <c r="U3" s="13" t="s">
        <v>13153</v>
      </c>
      <c r="V3" s="14"/>
      <c r="W3" s="14"/>
      <c r="X3" s="10"/>
      <c r="Y3" s="10"/>
      <c r="Z3" s="10"/>
      <c r="AA3" s="10"/>
      <c r="AB3" s="10"/>
      <c r="AC3" s="10"/>
      <c r="AD3" s="10"/>
      <c r="AE3" s="10"/>
      <c r="AF3" s="10"/>
      <c r="AG3" s="10"/>
      <c r="AH3" s="10"/>
      <c r="AI3" s="10"/>
      <c r="AJ3" s="10"/>
      <c r="AK3" s="10" t="s">
        <v>620</v>
      </c>
      <c r="AL3" s="13" t="s">
        <v>13154</v>
      </c>
      <c r="AM3" s="14"/>
      <c r="AN3" s="14"/>
      <c r="AO3" s="10"/>
      <c r="AP3" s="10"/>
      <c r="AQ3" s="10"/>
      <c r="AR3" s="10"/>
      <c r="AS3" s="10"/>
      <c r="AT3" s="10"/>
      <c r="AU3" s="10" t="s">
        <v>620</v>
      </c>
      <c r="AV3" s="10" t="s">
        <v>179</v>
      </c>
      <c r="AW3" s="13" t="s">
        <v>13155</v>
      </c>
      <c r="AX3" s="14"/>
      <c r="AY3" s="10"/>
      <c r="AZ3" s="10"/>
      <c r="BA3" s="10"/>
    </row>
    <row r="4">
      <c r="A4" s="9">
        <v>43144.76517663195</v>
      </c>
      <c r="B4" s="10" t="s">
        <v>4075</v>
      </c>
      <c r="C4" s="10" t="s">
        <v>13156</v>
      </c>
      <c r="D4" s="10" t="s">
        <v>13157</v>
      </c>
      <c r="E4" s="10" t="s">
        <v>13158</v>
      </c>
      <c r="F4" s="10" t="s">
        <v>1417</v>
      </c>
      <c r="G4" s="10"/>
      <c r="H4" s="12">
        <v>5.0</v>
      </c>
      <c r="I4" s="10" t="s">
        <v>3668</v>
      </c>
      <c r="J4" s="10" t="s">
        <v>13159</v>
      </c>
      <c r="K4" s="10" t="s">
        <v>13160</v>
      </c>
      <c r="L4" s="10" t="s">
        <v>1417</v>
      </c>
      <c r="M4" s="10" t="s">
        <v>1417</v>
      </c>
      <c r="N4" s="10" t="s">
        <v>3668</v>
      </c>
      <c r="O4" s="10" t="s">
        <v>13161</v>
      </c>
      <c r="P4" s="10"/>
      <c r="Q4" s="10"/>
      <c r="R4" s="10"/>
      <c r="S4" s="10" t="s">
        <v>13162</v>
      </c>
      <c r="T4" s="10" t="s">
        <v>1417</v>
      </c>
      <c r="U4" s="10" t="s">
        <v>1417</v>
      </c>
      <c r="V4" s="10"/>
      <c r="W4" s="10"/>
      <c r="X4" s="10"/>
      <c r="Y4" s="10"/>
      <c r="Z4" s="10"/>
      <c r="AA4" s="10"/>
      <c r="AB4" s="10"/>
      <c r="AC4" s="10"/>
      <c r="AD4" s="10"/>
      <c r="AE4" s="10"/>
      <c r="AF4" s="10"/>
      <c r="AG4" s="10"/>
      <c r="AH4" s="10"/>
      <c r="AI4" s="10"/>
      <c r="AJ4" s="10"/>
      <c r="AK4" s="10" t="s">
        <v>3668</v>
      </c>
      <c r="AL4" s="10" t="s">
        <v>1417</v>
      </c>
      <c r="AM4" s="10"/>
      <c r="AN4" s="10"/>
      <c r="AO4" s="10"/>
      <c r="AP4" s="10"/>
      <c r="AQ4" s="10"/>
      <c r="AR4" s="10"/>
      <c r="AS4" s="10"/>
      <c r="AT4" s="10"/>
      <c r="AU4" s="10" t="s">
        <v>1417</v>
      </c>
      <c r="AV4" s="10" t="s">
        <v>13163</v>
      </c>
      <c r="AW4" s="10" t="s">
        <v>13164</v>
      </c>
      <c r="AX4" s="10"/>
      <c r="AY4" s="10"/>
      <c r="AZ4" s="10"/>
      <c r="BA4" s="10"/>
    </row>
    <row r="5">
      <c r="A5" s="9">
        <v>43145.41076240741</v>
      </c>
      <c r="B5" s="10" t="s">
        <v>4075</v>
      </c>
      <c r="C5" s="10" t="s">
        <v>13165</v>
      </c>
      <c r="D5" s="11" t="s">
        <v>13138</v>
      </c>
      <c r="E5" s="10" t="s">
        <v>620</v>
      </c>
      <c r="F5" s="10" t="s">
        <v>13166</v>
      </c>
      <c r="G5" s="10"/>
      <c r="H5" s="12">
        <v>5.0</v>
      </c>
      <c r="I5" s="10" t="s">
        <v>3668</v>
      </c>
      <c r="J5" s="10" t="s">
        <v>13167</v>
      </c>
      <c r="K5" s="10" t="s">
        <v>13168</v>
      </c>
      <c r="L5" s="10" t="s">
        <v>528</v>
      </c>
      <c r="M5" s="10" t="s">
        <v>13169</v>
      </c>
      <c r="N5" s="10" t="s">
        <v>179</v>
      </c>
      <c r="O5" s="10" t="s">
        <v>13161</v>
      </c>
      <c r="P5" s="10"/>
      <c r="Q5" s="10"/>
      <c r="R5" s="10"/>
      <c r="S5" s="10" t="s">
        <v>179</v>
      </c>
      <c r="T5" s="10" t="s">
        <v>179</v>
      </c>
      <c r="U5" s="10" t="s">
        <v>13170</v>
      </c>
      <c r="V5" s="10"/>
      <c r="W5" s="10"/>
      <c r="X5" s="10"/>
      <c r="Y5" s="10"/>
      <c r="Z5" s="10"/>
      <c r="AA5" s="10"/>
      <c r="AB5" s="10"/>
      <c r="AC5" s="10"/>
      <c r="AD5" s="10"/>
      <c r="AE5" s="10"/>
      <c r="AF5" s="10"/>
      <c r="AG5" s="10"/>
      <c r="AH5" s="10"/>
      <c r="AI5" s="10"/>
      <c r="AJ5" s="10"/>
      <c r="AK5" s="10" t="s">
        <v>620</v>
      </c>
      <c r="AL5" s="13" t="s">
        <v>13171</v>
      </c>
      <c r="AM5" s="14"/>
      <c r="AN5" s="14"/>
      <c r="AO5" s="14"/>
      <c r="AP5" s="10"/>
      <c r="AQ5" s="10"/>
      <c r="AR5" s="10"/>
      <c r="AS5" s="10"/>
      <c r="AT5" s="10"/>
      <c r="AU5" s="10" t="s">
        <v>620</v>
      </c>
      <c r="AV5" s="10" t="s">
        <v>179</v>
      </c>
      <c r="AW5" s="10" t="s">
        <v>13172</v>
      </c>
      <c r="AX5" s="10"/>
      <c r="AY5" s="10"/>
      <c r="AZ5" s="10"/>
      <c r="BA5" s="10"/>
    </row>
    <row r="6">
      <c r="A6" s="9">
        <v>43145.51598979167</v>
      </c>
      <c r="B6" s="10" t="s">
        <v>4075</v>
      </c>
      <c r="C6" s="10" t="s">
        <v>13173</v>
      </c>
      <c r="D6" s="10" t="s">
        <v>13157</v>
      </c>
      <c r="E6" s="10" t="s">
        <v>13174</v>
      </c>
      <c r="F6" s="10" t="s">
        <v>620</v>
      </c>
      <c r="G6" s="10"/>
      <c r="H6" s="12">
        <v>3.0</v>
      </c>
      <c r="I6" s="10" t="s">
        <v>13161</v>
      </c>
      <c r="J6" s="10" t="s">
        <v>13175</v>
      </c>
      <c r="K6" s="10" t="s">
        <v>13176</v>
      </c>
      <c r="L6" s="10" t="s">
        <v>13177</v>
      </c>
      <c r="M6" s="10" t="s">
        <v>13178</v>
      </c>
      <c r="N6" s="10" t="s">
        <v>179</v>
      </c>
      <c r="O6" s="10" t="s">
        <v>179</v>
      </c>
      <c r="P6" s="10"/>
      <c r="Q6" s="10"/>
      <c r="R6" s="10"/>
      <c r="S6" s="13" t="s">
        <v>13179</v>
      </c>
      <c r="T6" s="10"/>
      <c r="U6" s="13" t="s">
        <v>13180</v>
      </c>
      <c r="V6" s="14"/>
      <c r="W6" s="14"/>
      <c r="X6" s="14"/>
      <c r="Y6" s="14"/>
      <c r="Z6" s="10"/>
      <c r="AA6" s="10"/>
      <c r="AB6" s="10"/>
      <c r="AC6" s="10"/>
      <c r="AD6" s="10"/>
      <c r="AE6" s="10"/>
      <c r="AF6" s="10"/>
      <c r="AG6" s="10"/>
      <c r="AH6" s="10"/>
      <c r="AI6" s="10"/>
      <c r="AJ6" s="10"/>
      <c r="AK6" s="10" t="s">
        <v>13181</v>
      </c>
      <c r="AL6" s="10" t="s">
        <v>620</v>
      </c>
      <c r="AM6" s="10"/>
      <c r="AN6" s="10"/>
      <c r="AO6" s="10"/>
      <c r="AP6" s="10"/>
      <c r="AQ6" s="10"/>
      <c r="AR6" s="10"/>
      <c r="AS6" s="10"/>
      <c r="AT6" s="10"/>
      <c r="AU6" s="10" t="s">
        <v>620</v>
      </c>
      <c r="AV6" s="10" t="s">
        <v>13182</v>
      </c>
      <c r="AW6" s="13" t="s">
        <v>13183</v>
      </c>
      <c r="AX6" s="14"/>
      <c r="AY6" s="10"/>
      <c r="AZ6" s="10"/>
      <c r="BA6" s="10"/>
    </row>
    <row r="7">
      <c r="A7" s="9">
        <v>43146.33907962963</v>
      </c>
      <c r="B7" s="10" t="s">
        <v>4075</v>
      </c>
      <c r="C7" s="10" t="s">
        <v>13184</v>
      </c>
      <c r="D7" s="11" t="s">
        <v>13138</v>
      </c>
      <c r="E7" s="10" t="s">
        <v>620</v>
      </c>
      <c r="F7" s="10" t="s">
        <v>13148</v>
      </c>
      <c r="G7" s="10"/>
      <c r="H7" s="12">
        <v>5.0</v>
      </c>
      <c r="I7" s="10" t="s">
        <v>3668</v>
      </c>
      <c r="J7" s="10" t="s">
        <v>13185</v>
      </c>
      <c r="K7" s="10" t="s">
        <v>13186</v>
      </c>
      <c r="L7" s="10" t="s">
        <v>13187</v>
      </c>
      <c r="M7" s="10" t="s">
        <v>13188</v>
      </c>
      <c r="N7" s="10" t="s">
        <v>179</v>
      </c>
      <c r="O7" s="10" t="s">
        <v>3668</v>
      </c>
      <c r="P7" s="10"/>
      <c r="Q7" s="10"/>
      <c r="R7" s="10"/>
      <c r="S7" s="10" t="s">
        <v>620</v>
      </c>
      <c r="T7" s="10" t="s">
        <v>620</v>
      </c>
      <c r="U7" s="13" t="s">
        <v>13189</v>
      </c>
      <c r="V7" s="10"/>
      <c r="W7" s="10"/>
      <c r="X7" s="10"/>
      <c r="Y7" s="10"/>
      <c r="Z7" s="10"/>
      <c r="AA7" s="10"/>
      <c r="AB7" s="10"/>
      <c r="AC7" s="10"/>
      <c r="AD7" s="10"/>
      <c r="AE7" s="10"/>
      <c r="AF7" s="10"/>
      <c r="AG7" s="10"/>
      <c r="AH7" s="10"/>
      <c r="AI7" s="10"/>
      <c r="AJ7" s="10"/>
      <c r="AK7" s="10" t="s">
        <v>620</v>
      </c>
      <c r="AL7" s="13" t="s">
        <v>13190</v>
      </c>
      <c r="AM7" s="14"/>
      <c r="AN7" s="14"/>
      <c r="AO7" s="10"/>
      <c r="AP7" s="10"/>
      <c r="AQ7" s="10"/>
      <c r="AR7" s="10"/>
      <c r="AS7" s="10"/>
      <c r="AT7" s="10"/>
      <c r="AU7" s="10" t="s">
        <v>258</v>
      </c>
      <c r="AV7" s="10" t="s">
        <v>620</v>
      </c>
      <c r="AW7" s="10" t="s">
        <v>1417</v>
      </c>
      <c r="AX7" s="10"/>
      <c r="AY7" s="10"/>
      <c r="AZ7" s="10"/>
      <c r="BA7" s="10"/>
    </row>
    <row r="8">
      <c r="A8" s="9">
        <v>43146.80078568287</v>
      </c>
      <c r="B8" s="10" t="s">
        <v>4075</v>
      </c>
      <c r="C8" s="10" t="s">
        <v>13191</v>
      </c>
      <c r="D8" s="11" t="s">
        <v>13138</v>
      </c>
      <c r="E8" s="10" t="s">
        <v>620</v>
      </c>
      <c r="F8" s="10" t="s">
        <v>13192</v>
      </c>
      <c r="G8" s="10"/>
      <c r="H8" s="12">
        <v>4.0</v>
      </c>
      <c r="I8" s="10" t="s">
        <v>3668</v>
      </c>
      <c r="J8" s="10" t="s">
        <v>13193</v>
      </c>
      <c r="K8" s="10" t="s">
        <v>13194</v>
      </c>
      <c r="L8" s="10" t="s">
        <v>528</v>
      </c>
      <c r="M8" s="10" t="s">
        <v>13195</v>
      </c>
      <c r="N8" s="10" t="s">
        <v>3668</v>
      </c>
      <c r="O8" s="10" t="s">
        <v>3668</v>
      </c>
      <c r="P8" s="10"/>
      <c r="Q8" s="10"/>
      <c r="R8" s="10"/>
      <c r="S8" s="10"/>
      <c r="T8" s="10"/>
      <c r="U8" s="13" t="s">
        <v>13196</v>
      </c>
      <c r="V8" s="10"/>
      <c r="W8" s="10"/>
      <c r="X8" s="10"/>
      <c r="Y8" s="10"/>
      <c r="Z8" s="10"/>
      <c r="AA8" s="10"/>
      <c r="AB8" s="10"/>
      <c r="AC8" s="10"/>
      <c r="AD8" s="10"/>
      <c r="AE8" s="10"/>
      <c r="AF8" s="10"/>
      <c r="AG8" s="10"/>
      <c r="AH8" s="10"/>
      <c r="AI8" s="10"/>
      <c r="AJ8" s="10"/>
      <c r="AK8" s="10" t="s">
        <v>620</v>
      </c>
      <c r="AL8" s="13" t="s">
        <v>13197</v>
      </c>
      <c r="AM8" s="14"/>
      <c r="AN8" s="14"/>
      <c r="AO8" s="14"/>
      <c r="AP8" s="10"/>
      <c r="AQ8" s="10"/>
      <c r="AR8" s="10"/>
      <c r="AS8" s="10"/>
      <c r="AT8" s="10"/>
      <c r="AU8" s="10" t="s">
        <v>620</v>
      </c>
      <c r="AV8" s="10" t="s">
        <v>179</v>
      </c>
      <c r="AW8" s="13" t="s">
        <v>13198</v>
      </c>
      <c r="AX8" s="10"/>
      <c r="AY8" s="10"/>
      <c r="AZ8" s="10"/>
      <c r="BA8" s="10"/>
    </row>
    <row r="9">
      <c r="A9" s="9">
        <v>43147.63593752315</v>
      </c>
      <c r="B9" s="10" t="s">
        <v>4075</v>
      </c>
      <c r="C9" s="10" t="s">
        <v>13199</v>
      </c>
      <c r="D9" s="11" t="s">
        <v>13138</v>
      </c>
      <c r="E9" s="10" t="s">
        <v>1417</v>
      </c>
      <c r="F9" s="10" t="s">
        <v>13200</v>
      </c>
      <c r="G9" s="10"/>
      <c r="H9" s="12">
        <v>5.0</v>
      </c>
      <c r="I9" s="10" t="s">
        <v>3668</v>
      </c>
      <c r="J9" s="10" t="s">
        <v>13201</v>
      </c>
      <c r="K9" s="10" t="s">
        <v>13202</v>
      </c>
      <c r="L9" s="10" t="s">
        <v>13203</v>
      </c>
      <c r="M9" s="10" t="s">
        <v>13204</v>
      </c>
      <c r="N9" s="10" t="s">
        <v>13205</v>
      </c>
      <c r="O9" s="10" t="s">
        <v>3668</v>
      </c>
      <c r="P9" s="10"/>
      <c r="Q9" s="10"/>
      <c r="R9" s="10"/>
      <c r="S9" s="13" t="s">
        <v>13206</v>
      </c>
      <c r="T9" s="10"/>
      <c r="U9" s="13" t="s">
        <v>13207</v>
      </c>
      <c r="V9" s="14"/>
      <c r="W9" s="14"/>
      <c r="X9" s="10"/>
      <c r="Y9" s="10"/>
      <c r="Z9" s="10"/>
      <c r="AA9" s="10"/>
      <c r="AB9" s="10"/>
      <c r="AC9" s="10"/>
      <c r="AD9" s="10"/>
      <c r="AE9" s="10"/>
      <c r="AF9" s="10"/>
      <c r="AG9" s="10"/>
      <c r="AH9" s="10"/>
      <c r="AI9" s="10"/>
      <c r="AJ9" s="10"/>
      <c r="AK9" s="10" t="s">
        <v>1417</v>
      </c>
      <c r="AL9" s="13" t="s">
        <v>13208</v>
      </c>
      <c r="AM9" s="14"/>
      <c r="AN9" s="14"/>
      <c r="AO9" s="14"/>
      <c r="AP9" s="10"/>
      <c r="AQ9" s="10"/>
      <c r="AR9" s="10"/>
      <c r="AS9" s="10"/>
      <c r="AT9" s="10"/>
      <c r="AU9" s="10" t="s">
        <v>1417</v>
      </c>
      <c r="AV9" s="10"/>
      <c r="AW9" s="13" t="s">
        <v>13209</v>
      </c>
      <c r="AX9" s="14"/>
      <c r="AY9" s="10"/>
      <c r="AZ9" s="10"/>
      <c r="BA9" s="10"/>
    </row>
    <row r="10">
      <c r="A10" s="9">
        <v>43149.50260461806</v>
      </c>
      <c r="B10" s="10" t="s">
        <v>4075</v>
      </c>
      <c r="C10" s="10" t="s">
        <v>13210</v>
      </c>
      <c r="D10" s="11" t="s">
        <v>13138</v>
      </c>
      <c r="E10" s="10" t="s">
        <v>620</v>
      </c>
      <c r="F10" s="10" t="s">
        <v>13211</v>
      </c>
      <c r="G10" s="10"/>
      <c r="H10" s="12">
        <v>5.0</v>
      </c>
      <c r="I10" s="10" t="s">
        <v>3668</v>
      </c>
      <c r="J10" s="10" t="s">
        <v>13212</v>
      </c>
      <c r="K10" s="10" t="s">
        <v>13213</v>
      </c>
      <c r="L10" s="10" t="s">
        <v>13214</v>
      </c>
      <c r="M10" s="10" t="s">
        <v>13215</v>
      </c>
      <c r="N10" s="10" t="s">
        <v>13216</v>
      </c>
      <c r="O10" s="10" t="s">
        <v>3668</v>
      </c>
      <c r="P10" s="10"/>
      <c r="Q10" s="10"/>
      <c r="R10" s="10"/>
      <c r="S10" s="13" t="s">
        <v>13217</v>
      </c>
      <c r="T10" s="10"/>
      <c r="U10" s="13" t="s">
        <v>13218</v>
      </c>
      <c r="V10" s="14"/>
      <c r="W10" s="10"/>
      <c r="X10" s="10"/>
      <c r="Y10" s="10"/>
      <c r="Z10" s="10"/>
      <c r="AA10" s="10"/>
      <c r="AB10" s="10"/>
      <c r="AC10" s="10"/>
      <c r="AD10" s="10"/>
      <c r="AE10" s="10"/>
      <c r="AF10" s="10"/>
      <c r="AG10" s="10"/>
      <c r="AH10" s="10"/>
      <c r="AI10" s="10"/>
      <c r="AJ10" s="10"/>
      <c r="AK10" s="10" t="s">
        <v>620</v>
      </c>
      <c r="AL10" s="13" t="s">
        <v>13219</v>
      </c>
      <c r="AM10" s="14"/>
      <c r="AN10" s="10"/>
      <c r="AO10" s="10"/>
      <c r="AP10" s="10"/>
      <c r="AQ10" s="10"/>
      <c r="AR10" s="10"/>
      <c r="AS10" s="10"/>
      <c r="AT10" s="10"/>
      <c r="AU10" s="10" t="s">
        <v>620</v>
      </c>
      <c r="AV10" s="10"/>
      <c r="AW10" s="10" t="s">
        <v>620</v>
      </c>
      <c r="AX10" s="10"/>
      <c r="AY10" s="10"/>
      <c r="AZ10" s="10"/>
      <c r="BA10" s="10"/>
    </row>
    <row r="11">
      <c r="A11" s="9">
        <v>43150.5038656713</v>
      </c>
      <c r="B11" s="10" t="s">
        <v>13220</v>
      </c>
      <c r="C11" s="10" t="s">
        <v>13221</v>
      </c>
      <c r="D11" s="10" t="s">
        <v>13157</v>
      </c>
      <c r="E11" s="10" t="s">
        <v>13222</v>
      </c>
      <c r="F11" s="10" t="s">
        <v>620</v>
      </c>
      <c r="G11" s="10"/>
      <c r="H11" s="12">
        <v>4.0</v>
      </c>
      <c r="I11" s="10" t="s">
        <v>3668</v>
      </c>
      <c r="J11" s="10" t="s">
        <v>13223</v>
      </c>
      <c r="K11" s="10" t="s">
        <v>13224</v>
      </c>
      <c r="L11" s="10" t="s">
        <v>13225</v>
      </c>
      <c r="M11" s="10" t="s">
        <v>13226</v>
      </c>
      <c r="N11" s="10" t="s">
        <v>3668</v>
      </c>
      <c r="O11" s="10" t="s">
        <v>179</v>
      </c>
      <c r="P11" s="10"/>
      <c r="Q11" s="10"/>
      <c r="R11" s="10"/>
      <c r="S11" s="10"/>
      <c r="T11" s="10"/>
      <c r="U11" s="13" t="s">
        <v>13227</v>
      </c>
      <c r="V11" s="14"/>
      <c r="W11" s="10"/>
      <c r="X11" s="10"/>
      <c r="Y11" s="10"/>
      <c r="Z11" s="10"/>
      <c r="AA11" s="10"/>
      <c r="AB11" s="10"/>
      <c r="AC11" s="10"/>
      <c r="AD11" s="10"/>
      <c r="AE11" s="10"/>
      <c r="AF11" s="10"/>
      <c r="AG11" s="10"/>
      <c r="AH11" s="10"/>
      <c r="AI11" s="10"/>
      <c r="AJ11" s="10"/>
      <c r="AK11" s="10" t="s">
        <v>3668</v>
      </c>
      <c r="AL11" s="10" t="s">
        <v>620</v>
      </c>
      <c r="AM11" s="10"/>
      <c r="AN11" s="10"/>
      <c r="AO11" s="10"/>
      <c r="AP11" s="10"/>
      <c r="AQ11" s="10"/>
      <c r="AR11" s="10"/>
      <c r="AS11" s="10"/>
      <c r="AT11" s="10"/>
      <c r="AU11" s="10" t="s">
        <v>620</v>
      </c>
      <c r="AV11" s="10"/>
      <c r="AW11" s="13" t="s">
        <v>13228</v>
      </c>
      <c r="AX11" s="14"/>
      <c r="AY11" s="10"/>
      <c r="AZ11" s="10"/>
      <c r="BA11" s="10"/>
    </row>
    <row r="12">
      <c r="A12" s="9">
        <v>43150.54030613426</v>
      </c>
      <c r="B12" s="10" t="s">
        <v>13229</v>
      </c>
      <c r="C12" s="10" t="s">
        <v>13230</v>
      </c>
      <c r="D12" s="11" t="s">
        <v>13138</v>
      </c>
      <c r="E12" s="10" t="s">
        <v>620</v>
      </c>
      <c r="F12" s="10" t="s">
        <v>13231</v>
      </c>
      <c r="G12" s="10"/>
      <c r="H12" s="12">
        <v>4.0</v>
      </c>
      <c r="I12" s="10" t="s">
        <v>3668</v>
      </c>
      <c r="J12" s="10" t="s">
        <v>13232</v>
      </c>
      <c r="K12" s="10" t="s">
        <v>13233</v>
      </c>
      <c r="L12" s="10" t="s">
        <v>13234</v>
      </c>
      <c r="M12" s="10" t="s">
        <v>13235</v>
      </c>
      <c r="N12" s="10" t="s">
        <v>13236</v>
      </c>
      <c r="O12" s="10" t="s">
        <v>3668</v>
      </c>
      <c r="P12" s="10"/>
      <c r="Q12" s="10"/>
      <c r="R12" s="10"/>
      <c r="S12" s="10" t="s">
        <v>13237</v>
      </c>
      <c r="T12" s="10" t="s">
        <v>13238</v>
      </c>
      <c r="U12" s="13" t="s">
        <v>13239</v>
      </c>
      <c r="V12" s="14"/>
      <c r="W12" s="14"/>
      <c r="X12" s="14"/>
      <c r="Y12" s="14"/>
      <c r="Z12" s="14"/>
      <c r="AA12" s="10"/>
      <c r="AB12" s="10"/>
      <c r="AC12" s="10"/>
      <c r="AD12" s="10"/>
      <c r="AE12" s="10"/>
      <c r="AF12" s="10"/>
      <c r="AG12" s="10"/>
      <c r="AH12" s="10"/>
      <c r="AI12" s="10"/>
      <c r="AJ12" s="10"/>
      <c r="AK12" s="10" t="s">
        <v>620</v>
      </c>
      <c r="AL12" s="13" t="s">
        <v>13240</v>
      </c>
      <c r="AM12" s="14"/>
      <c r="AN12" s="14"/>
      <c r="AO12" s="14"/>
      <c r="AP12" s="14"/>
      <c r="AQ12" s="14"/>
      <c r="AR12" s="14"/>
      <c r="AS12" s="10"/>
      <c r="AT12" s="10"/>
      <c r="AU12" s="10" t="s">
        <v>620</v>
      </c>
      <c r="AV12" s="10" t="s">
        <v>13241</v>
      </c>
      <c r="AW12" s="13" t="s">
        <v>13242</v>
      </c>
      <c r="AX12" s="14"/>
      <c r="AY12" s="10"/>
      <c r="AZ12" s="10"/>
      <c r="BA12" s="10"/>
    </row>
    <row r="13">
      <c r="A13" s="9">
        <v>43150.588727905095</v>
      </c>
      <c r="B13" s="10" t="s">
        <v>13243</v>
      </c>
      <c r="C13" s="10" t="s">
        <v>13244</v>
      </c>
      <c r="D13" s="10" t="s">
        <v>13157</v>
      </c>
      <c r="E13" s="10" t="s">
        <v>13245</v>
      </c>
      <c r="F13" s="10" t="s">
        <v>620</v>
      </c>
      <c r="G13" s="10"/>
      <c r="H13" s="12">
        <v>1.0</v>
      </c>
      <c r="I13" s="10" t="s">
        <v>179</v>
      </c>
      <c r="J13" s="10" t="s">
        <v>13246</v>
      </c>
      <c r="K13" s="10" t="s">
        <v>13247</v>
      </c>
      <c r="L13" s="10" t="s">
        <v>13248</v>
      </c>
      <c r="M13" s="10" t="s">
        <v>555</v>
      </c>
      <c r="N13" s="10" t="s">
        <v>620</v>
      </c>
      <c r="O13" s="10" t="s">
        <v>179</v>
      </c>
      <c r="P13" s="10"/>
      <c r="Q13" s="10"/>
      <c r="R13" s="10"/>
      <c r="S13" s="10"/>
      <c r="T13" s="10"/>
      <c r="U13" s="10" t="s">
        <v>620</v>
      </c>
      <c r="V13" s="10"/>
      <c r="W13" s="10"/>
      <c r="X13" s="10"/>
      <c r="Y13" s="10"/>
      <c r="Z13" s="10"/>
      <c r="AA13" s="10"/>
      <c r="AB13" s="10"/>
      <c r="AC13" s="10"/>
      <c r="AD13" s="10"/>
      <c r="AE13" s="10"/>
      <c r="AF13" s="10"/>
      <c r="AG13" s="10"/>
      <c r="AH13" s="10"/>
      <c r="AI13" s="10"/>
      <c r="AJ13" s="10"/>
      <c r="AK13" s="10" t="s">
        <v>555</v>
      </c>
      <c r="AL13" s="10" t="s">
        <v>620</v>
      </c>
      <c r="AM13" s="10"/>
      <c r="AN13" s="10"/>
      <c r="AO13" s="10"/>
      <c r="AP13" s="10"/>
      <c r="AQ13" s="10"/>
      <c r="AR13" s="10"/>
      <c r="AS13" s="10"/>
      <c r="AT13" s="10"/>
      <c r="AU13" s="10" t="s">
        <v>620</v>
      </c>
      <c r="AV13" s="10" t="s">
        <v>13247</v>
      </c>
      <c r="AW13" s="10" t="s">
        <v>620</v>
      </c>
      <c r="AX13" s="10"/>
      <c r="AY13" s="6" t="s">
        <v>13134</v>
      </c>
      <c r="AZ13" s="6" t="s">
        <v>13135</v>
      </c>
      <c r="BA13" s="7" t="s">
        <v>13136</v>
      </c>
    </row>
    <row r="14">
      <c r="A14" s="9">
        <v>43150.67930732639</v>
      </c>
      <c r="B14" s="10" t="s">
        <v>13249</v>
      </c>
      <c r="C14" s="10" t="s">
        <v>8030</v>
      </c>
      <c r="D14" s="15" t="s">
        <v>13138</v>
      </c>
      <c r="E14" s="10" t="s">
        <v>620</v>
      </c>
      <c r="F14" s="10" t="s">
        <v>13148</v>
      </c>
      <c r="G14" s="10"/>
      <c r="H14" s="12">
        <v>4.0</v>
      </c>
      <c r="I14" s="10" t="s">
        <v>3668</v>
      </c>
      <c r="J14" s="10" t="s">
        <v>13250</v>
      </c>
      <c r="K14" s="10" t="s">
        <v>13251</v>
      </c>
      <c r="L14" s="10" t="s">
        <v>13252</v>
      </c>
      <c r="M14" s="10" t="s">
        <v>13253</v>
      </c>
      <c r="N14" s="10" t="s">
        <v>13254</v>
      </c>
      <c r="O14" s="10" t="s">
        <v>3668</v>
      </c>
      <c r="P14" s="10"/>
      <c r="Q14" s="10"/>
      <c r="R14" s="10"/>
      <c r="S14" s="10"/>
      <c r="T14" s="10"/>
      <c r="U14" s="13" t="s">
        <v>13255</v>
      </c>
      <c r="V14" s="10"/>
      <c r="W14" s="10"/>
      <c r="X14" s="10"/>
      <c r="Y14" s="10"/>
      <c r="Z14" s="10"/>
      <c r="AA14" s="10"/>
      <c r="AB14" s="10"/>
      <c r="AC14" s="10"/>
      <c r="AD14" s="10"/>
      <c r="AE14" s="10"/>
      <c r="AF14" s="10"/>
      <c r="AG14" s="10"/>
      <c r="AH14" s="10"/>
      <c r="AI14" s="10"/>
      <c r="AJ14" s="10"/>
      <c r="AK14" s="10" t="s">
        <v>620</v>
      </c>
      <c r="AL14" s="13" t="s">
        <v>13256</v>
      </c>
      <c r="AM14" s="14"/>
      <c r="AN14" s="14"/>
      <c r="AO14" s="14"/>
      <c r="AP14" s="14"/>
      <c r="AQ14" s="10"/>
      <c r="AR14" s="10"/>
      <c r="AS14" s="10"/>
      <c r="AT14" s="10"/>
      <c r="AU14" s="10" t="s">
        <v>620</v>
      </c>
      <c r="AV14" s="10"/>
      <c r="AW14" s="13" t="s">
        <v>13257</v>
      </c>
      <c r="AX14" s="10"/>
      <c r="AY14" s="13" t="s">
        <v>13146</v>
      </c>
      <c r="AZ14" s="14"/>
      <c r="BA14" s="14"/>
    </row>
    <row r="15">
      <c r="A15" s="9">
        <v>43150.9032528588</v>
      </c>
      <c r="B15" s="10" t="s">
        <v>13258</v>
      </c>
      <c r="C15" s="10" t="s">
        <v>13259</v>
      </c>
      <c r="D15" s="15" t="s">
        <v>13138</v>
      </c>
      <c r="E15" s="10" t="s">
        <v>1417</v>
      </c>
      <c r="F15" s="10" t="s">
        <v>13260</v>
      </c>
      <c r="G15" s="10"/>
      <c r="H15" s="12">
        <v>5.0</v>
      </c>
      <c r="I15" s="10" t="s">
        <v>13161</v>
      </c>
      <c r="J15" s="10" t="s">
        <v>13261</v>
      </c>
      <c r="K15" s="10" t="s">
        <v>13262</v>
      </c>
      <c r="L15" s="10" t="s">
        <v>13263</v>
      </c>
      <c r="M15" s="10" t="s">
        <v>13264</v>
      </c>
      <c r="N15" s="10" t="s">
        <v>13265</v>
      </c>
      <c r="O15" s="10" t="s">
        <v>13161</v>
      </c>
      <c r="P15" s="10"/>
      <c r="Q15" s="10"/>
      <c r="R15" s="10"/>
      <c r="S15" s="10" t="s">
        <v>13266</v>
      </c>
      <c r="T15" s="10" t="s">
        <v>1417</v>
      </c>
      <c r="U15" s="13" t="s">
        <v>13267</v>
      </c>
      <c r="V15" s="14"/>
      <c r="W15" s="14"/>
      <c r="X15" s="14"/>
      <c r="Y15" s="14"/>
      <c r="Z15" s="14"/>
      <c r="AA15" s="14"/>
      <c r="AB15" s="14"/>
      <c r="AC15" s="10"/>
      <c r="AD15" s="10"/>
      <c r="AE15" s="10"/>
      <c r="AF15" s="10"/>
      <c r="AG15" s="10"/>
      <c r="AH15" s="10"/>
      <c r="AI15" s="10"/>
      <c r="AJ15" s="10"/>
      <c r="AK15" s="10" t="s">
        <v>1417</v>
      </c>
      <c r="AL15" s="13" t="s">
        <v>13268</v>
      </c>
      <c r="AM15" s="14"/>
      <c r="AN15" s="14"/>
      <c r="AO15" s="14"/>
      <c r="AP15" s="14"/>
      <c r="AQ15" s="14"/>
      <c r="AR15" s="14"/>
      <c r="AS15" s="14"/>
      <c r="AT15" s="10"/>
      <c r="AU15" s="10" t="s">
        <v>13269</v>
      </c>
      <c r="AV15" s="10" t="s">
        <v>13270</v>
      </c>
      <c r="AW15" s="13" t="s">
        <v>13271</v>
      </c>
      <c r="AX15" s="14"/>
      <c r="AY15" s="10" t="s">
        <v>179</v>
      </c>
      <c r="AZ15" s="13" t="s">
        <v>13155</v>
      </c>
      <c r="BA15" s="14"/>
    </row>
    <row r="16">
      <c r="A16" s="9">
        <v>43151.55194614583</v>
      </c>
      <c r="B16" s="10" t="s">
        <v>13272</v>
      </c>
      <c r="C16" s="10" t="s">
        <v>13273</v>
      </c>
      <c r="D16" s="16" t="s">
        <v>13157</v>
      </c>
      <c r="E16" s="10" t="s">
        <v>13274</v>
      </c>
      <c r="F16" s="10" t="s">
        <v>258</v>
      </c>
      <c r="G16" s="10"/>
      <c r="H16" s="12">
        <v>4.0</v>
      </c>
      <c r="I16" s="10" t="s">
        <v>3668</v>
      </c>
      <c r="J16" s="10" t="s">
        <v>13275</v>
      </c>
      <c r="K16" s="10" t="s">
        <v>13276</v>
      </c>
      <c r="L16" s="10" t="s">
        <v>13277</v>
      </c>
      <c r="M16" s="10" t="s">
        <v>13278</v>
      </c>
      <c r="N16" s="10" t="s">
        <v>13279</v>
      </c>
      <c r="O16" s="10" t="s">
        <v>179</v>
      </c>
      <c r="P16" s="10"/>
      <c r="Q16" s="10"/>
      <c r="R16" s="10"/>
      <c r="S16" s="10"/>
      <c r="T16" s="10"/>
      <c r="U16" s="13" t="s">
        <v>13280</v>
      </c>
      <c r="V16" s="14"/>
      <c r="W16" s="14"/>
      <c r="X16" s="14"/>
      <c r="Y16" s="10"/>
      <c r="Z16" s="10"/>
      <c r="AA16" s="10"/>
      <c r="AB16" s="10"/>
      <c r="AC16" s="10"/>
      <c r="AD16" s="10"/>
      <c r="AE16" s="10"/>
      <c r="AF16" s="10"/>
      <c r="AG16" s="10"/>
      <c r="AH16" s="10"/>
      <c r="AI16" s="10"/>
      <c r="AJ16" s="10"/>
      <c r="AK16" s="10" t="s">
        <v>4299</v>
      </c>
      <c r="AL16" s="10" t="s">
        <v>258</v>
      </c>
      <c r="AM16" s="10"/>
      <c r="AN16" s="10"/>
      <c r="AO16" s="10"/>
      <c r="AP16" s="10"/>
      <c r="AQ16" s="10"/>
      <c r="AR16" s="10"/>
      <c r="AS16" s="10"/>
      <c r="AT16" s="10"/>
      <c r="AU16" s="10" t="s">
        <v>258</v>
      </c>
      <c r="AV16" s="10" t="s">
        <v>13281</v>
      </c>
      <c r="AW16" s="13" t="s">
        <v>13282</v>
      </c>
      <c r="AX16" s="10"/>
      <c r="AY16" s="10" t="s">
        <v>13163</v>
      </c>
      <c r="AZ16" s="10" t="s">
        <v>13164</v>
      </c>
      <c r="BA16" s="10"/>
    </row>
    <row r="17">
      <c r="A17" s="9">
        <v>43152.61961333333</v>
      </c>
      <c r="B17" s="10" t="s">
        <v>13283</v>
      </c>
      <c r="C17" s="10" t="s">
        <v>13284</v>
      </c>
      <c r="D17" s="16" t="s">
        <v>13157</v>
      </c>
      <c r="E17" s="10" t="s">
        <v>13285</v>
      </c>
      <c r="F17" s="10" t="s">
        <v>620</v>
      </c>
      <c r="G17" s="10"/>
      <c r="H17" s="12">
        <v>5.0</v>
      </c>
      <c r="I17" s="10" t="s">
        <v>3668</v>
      </c>
      <c r="J17" s="10" t="s">
        <v>13286</v>
      </c>
      <c r="K17" s="10" t="s">
        <v>13287</v>
      </c>
      <c r="L17" s="10" t="s">
        <v>13288</v>
      </c>
      <c r="M17" s="10" t="s">
        <v>13289</v>
      </c>
      <c r="N17" s="10" t="s">
        <v>13290</v>
      </c>
      <c r="O17" s="10" t="s">
        <v>179</v>
      </c>
      <c r="P17" s="10"/>
      <c r="Q17" s="10"/>
      <c r="R17" s="10"/>
      <c r="S17" s="13" t="s">
        <v>13291</v>
      </c>
      <c r="T17" s="10"/>
      <c r="U17" s="13" t="s">
        <v>13292</v>
      </c>
      <c r="V17" s="14"/>
      <c r="W17" s="14"/>
      <c r="X17" s="14"/>
      <c r="Y17" s="14"/>
      <c r="Z17" s="14"/>
      <c r="AA17" s="10"/>
      <c r="AB17" s="10"/>
      <c r="AC17" s="10"/>
      <c r="AD17" s="10"/>
      <c r="AE17" s="10"/>
      <c r="AF17" s="10"/>
      <c r="AG17" s="10"/>
      <c r="AH17" s="10"/>
      <c r="AI17" s="10"/>
      <c r="AJ17" s="10"/>
      <c r="AK17" s="10" t="s">
        <v>4299</v>
      </c>
      <c r="AL17" s="10" t="s">
        <v>620</v>
      </c>
      <c r="AM17" s="10"/>
      <c r="AN17" s="10"/>
      <c r="AO17" s="10"/>
      <c r="AP17" s="10"/>
      <c r="AQ17" s="10"/>
      <c r="AR17" s="10"/>
      <c r="AS17" s="10"/>
      <c r="AT17" s="10"/>
      <c r="AU17" s="10" t="s">
        <v>620</v>
      </c>
      <c r="AV17" s="10"/>
      <c r="AW17" s="13" t="s">
        <v>13293</v>
      </c>
      <c r="AX17" s="14"/>
      <c r="AY17" s="10" t="s">
        <v>179</v>
      </c>
      <c r="AZ17" s="10" t="s">
        <v>13172</v>
      </c>
      <c r="BA17" s="10"/>
    </row>
    <row r="18">
      <c r="A18" s="9">
        <v>43152.779257476854</v>
      </c>
      <c r="B18" s="10" t="s">
        <v>13294</v>
      </c>
      <c r="C18" s="10" t="s">
        <v>13295</v>
      </c>
      <c r="D18" s="15" t="s">
        <v>13138</v>
      </c>
      <c r="E18" s="10" t="s">
        <v>13296</v>
      </c>
      <c r="F18" s="10" t="s">
        <v>13297</v>
      </c>
      <c r="G18" s="10"/>
      <c r="H18" s="12">
        <v>5.0</v>
      </c>
      <c r="I18" s="10" t="s">
        <v>3668</v>
      </c>
      <c r="J18" s="10" t="s">
        <v>13298</v>
      </c>
      <c r="K18" s="10" t="s">
        <v>13299</v>
      </c>
      <c r="L18" s="10" t="s">
        <v>13300</v>
      </c>
      <c r="M18" s="10" t="s">
        <v>13301</v>
      </c>
      <c r="N18" s="10" t="s">
        <v>13302</v>
      </c>
      <c r="O18" s="10" t="s">
        <v>3668</v>
      </c>
      <c r="P18" s="10"/>
      <c r="Q18" s="10"/>
      <c r="R18" s="10"/>
      <c r="S18" s="13" t="s">
        <v>13303</v>
      </c>
      <c r="T18" s="10"/>
      <c r="U18" s="13" t="s">
        <v>13304</v>
      </c>
      <c r="V18" s="14"/>
      <c r="W18" s="14"/>
      <c r="X18" s="10"/>
      <c r="Y18" s="10"/>
      <c r="Z18" s="10"/>
      <c r="AA18" s="10"/>
      <c r="AB18" s="10"/>
      <c r="AC18" s="10"/>
      <c r="AD18" s="10"/>
      <c r="AE18" s="10"/>
      <c r="AF18" s="10"/>
      <c r="AG18" s="10"/>
      <c r="AH18" s="10"/>
      <c r="AI18" s="10"/>
      <c r="AJ18" s="10"/>
      <c r="AK18" s="10" t="s">
        <v>620</v>
      </c>
      <c r="AL18" s="13" t="s">
        <v>13305</v>
      </c>
      <c r="AM18" s="14"/>
      <c r="AN18" s="14"/>
      <c r="AO18" s="14"/>
      <c r="AP18" s="14"/>
      <c r="AQ18" s="10"/>
      <c r="AR18" s="10"/>
      <c r="AS18" s="10"/>
      <c r="AT18" s="10"/>
      <c r="AU18" s="13" t="s">
        <v>13306</v>
      </c>
      <c r="AV18" s="10"/>
      <c r="AW18" s="13" t="s">
        <v>13307</v>
      </c>
      <c r="AX18" s="14"/>
      <c r="AY18" s="10" t="s">
        <v>13182</v>
      </c>
      <c r="AZ18" s="13" t="s">
        <v>13183</v>
      </c>
      <c r="BA18" s="14"/>
    </row>
    <row r="19">
      <c r="A19" s="9">
        <v>43159.656534027774</v>
      </c>
      <c r="B19" s="10" t="s">
        <v>13308</v>
      </c>
      <c r="C19" s="10" t="s">
        <v>13309</v>
      </c>
      <c r="D19" s="16" t="s">
        <v>13157</v>
      </c>
      <c r="E19" s="10" t="s">
        <v>13310</v>
      </c>
      <c r="F19" s="10" t="s">
        <v>258</v>
      </c>
      <c r="G19" s="10"/>
      <c r="H19" s="12">
        <v>4.0</v>
      </c>
      <c r="I19" s="10" t="s">
        <v>13161</v>
      </c>
      <c r="J19" s="10" t="s">
        <v>13311</v>
      </c>
      <c r="K19" s="10" t="s">
        <v>13312</v>
      </c>
      <c r="L19" s="10" t="s">
        <v>13313</v>
      </c>
      <c r="M19" s="10" t="s">
        <v>13314</v>
      </c>
      <c r="N19" s="10" t="s">
        <v>13315</v>
      </c>
      <c r="O19" s="10" t="s">
        <v>179</v>
      </c>
      <c r="P19" s="10"/>
      <c r="Q19" s="10"/>
      <c r="R19" s="10"/>
      <c r="S19" s="10"/>
      <c r="T19" s="10"/>
      <c r="U19" s="13" t="s">
        <v>13316</v>
      </c>
      <c r="V19" s="14"/>
      <c r="W19" s="14"/>
      <c r="X19" s="14"/>
      <c r="Y19" s="14"/>
      <c r="Z19" s="10"/>
      <c r="AA19" s="10"/>
      <c r="AB19" s="10"/>
      <c r="AC19" s="10"/>
      <c r="AD19" s="10"/>
      <c r="AE19" s="10"/>
      <c r="AF19" s="10"/>
      <c r="AG19" s="10"/>
      <c r="AH19" s="10"/>
      <c r="AI19" s="10"/>
      <c r="AJ19" s="10"/>
      <c r="AK19" s="10" t="s">
        <v>3668</v>
      </c>
      <c r="AL19" s="10" t="s">
        <v>258</v>
      </c>
      <c r="AM19" s="10"/>
      <c r="AN19" s="10"/>
      <c r="AO19" s="10"/>
      <c r="AP19" s="10"/>
      <c r="AQ19" s="10"/>
      <c r="AR19" s="10"/>
      <c r="AS19" s="10"/>
      <c r="AT19" s="10"/>
      <c r="AU19" s="10" t="s">
        <v>258</v>
      </c>
      <c r="AV19" s="10" t="s">
        <v>13317</v>
      </c>
      <c r="AW19" s="10" t="s">
        <v>13318</v>
      </c>
      <c r="AX19" s="10"/>
      <c r="AY19" s="10" t="s">
        <v>620</v>
      </c>
      <c r="AZ19" s="10" t="s">
        <v>1417</v>
      </c>
      <c r="BA19" s="10"/>
    </row>
    <row r="20">
      <c r="A20" s="9">
        <v>43166.020929618055</v>
      </c>
      <c r="B20" s="10" t="s">
        <v>13319</v>
      </c>
      <c r="C20" s="10" t="s">
        <v>13137</v>
      </c>
      <c r="D20" s="15" t="s">
        <v>13138</v>
      </c>
      <c r="E20" s="10" t="s">
        <v>258</v>
      </c>
      <c r="F20" s="10" t="s">
        <v>13320</v>
      </c>
      <c r="G20" s="10"/>
      <c r="H20" s="12">
        <v>4.0</v>
      </c>
      <c r="I20" s="10" t="s">
        <v>13161</v>
      </c>
      <c r="J20" s="10" t="s">
        <v>13321</v>
      </c>
      <c r="K20" s="10" t="s">
        <v>13322</v>
      </c>
      <c r="L20" s="10" t="s">
        <v>13323</v>
      </c>
      <c r="M20" s="10" t="s">
        <v>13324</v>
      </c>
      <c r="N20" s="10" t="s">
        <v>13325</v>
      </c>
      <c r="O20" s="10" t="s">
        <v>3668</v>
      </c>
      <c r="P20" s="10"/>
      <c r="Q20" s="10"/>
      <c r="R20" s="10"/>
      <c r="S20" s="10" t="s">
        <v>13326</v>
      </c>
      <c r="T20" s="10" t="s">
        <v>620</v>
      </c>
      <c r="U20" s="10" t="s">
        <v>13327</v>
      </c>
      <c r="V20" s="10"/>
      <c r="W20" s="10"/>
      <c r="X20" s="10"/>
      <c r="Y20" s="10"/>
      <c r="Z20" s="10"/>
      <c r="AA20" s="10"/>
      <c r="AB20" s="10"/>
      <c r="AC20" s="10"/>
      <c r="AD20" s="10"/>
      <c r="AE20" s="10"/>
      <c r="AF20" s="10"/>
      <c r="AG20" s="10"/>
      <c r="AH20" s="10"/>
      <c r="AI20" s="10"/>
      <c r="AJ20" s="10"/>
      <c r="AK20" s="10" t="s">
        <v>258</v>
      </c>
      <c r="AL20" s="13" t="s">
        <v>13328</v>
      </c>
      <c r="AM20" s="14"/>
      <c r="AN20" s="14"/>
      <c r="AO20" s="14"/>
      <c r="AP20" s="14"/>
      <c r="AQ20" s="10"/>
      <c r="AR20" s="10"/>
      <c r="AS20" s="10"/>
      <c r="AT20" s="10"/>
      <c r="AU20" s="10" t="s">
        <v>258</v>
      </c>
      <c r="AV20" s="10"/>
      <c r="AW20" s="10" t="s">
        <v>13318</v>
      </c>
      <c r="AX20" s="10"/>
      <c r="AY20" s="10" t="s">
        <v>179</v>
      </c>
      <c r="AZ20" s="13" t="s">
        <v>13198</v>
      </c>
      <c r="BA20" s="10"/>
    </row>
    <row r="21">
      <c r="A21" s="9">
        <v>43166.020929618055</v>
      </c>
      <c r="B21" s="10" t="s">
        <v>13319</v>
      </c>
      <c r="C21" s="10" t="s">
        <v>13137</v>
      </c>
      <c r="D21" s="15" t="s">
        <v>13138</v>
      </c>
      <c r="E21" s="10" t="s">
        <v>258</v>
      </c>
      <c r="F21" s="10" t="s">
        <v>13329</v>
      </c>
      <c r="G21" s="10"/>
      <c r="H21" s="12">
        <v>4.0</v>
      </c>
      <c r="I21" s="10" t="s">
        <v>13161</v>
      </c>
      <c r="J21" s="10" t="s">
        <v>13321</v>
      </c>
      <c r="K21" s="10" t="s">
        <v>13322</v>
      </c>
      <c r="L21" s="10" t="s">
        <v>13323</v>
      </c>
      <c r="M21" s="10" t="s">
        <v>13324</v>
      </c>
      <c r="N21" s="10" t="s">
        <v>13325</v>
      </c>
      <c r="O21" s="10" t="s">
        <v>3668</v>
      </c>
      <c r="P21" s="10"/>
      <c r="Q21" s="10"/>
      <c r="R21" s="10"/>
      <c r="S21" s="10" t="s">
        <v>13326</v>
      </c>
      <c r="T21" s="10" t="s">
        <v>620</v>
      </c>
      <c r="U21" s="10" t="s">
        <v>13327</v>
      </c>
      <c r="V21" s="10"/>
      <c r="W21" s="10"/>
      <c r="X21" s="10"/>
      <c r="Y21" s="10"/>
      <c r="Z21" s="10"/>
      <c r="AA21" s="10"/>
      <c r="AB21" s="10"/>
      <c r="AC21" s="10"/>
      <c r="AD21" s="10"/>
      <c r="AE21" s="10"/>
      <c r="AF21" s="10"/>
      <c r="AG21" s="10"/>
      <c r="AH21" s="10"/>
      <c r="AI21" s="10"/>
      <c r="AJ21" s="10"/>
      <c r="AK21" s="10" t="s">
        <v>258</v>
      </c>
      <c r="AL21" s="13" t="s">
        <v>13328</v>
      </c>
      <c r="AM21" s="14"/>
      <c r="AN21" s="14"/>
      <c r="AO21" s="14"/>
      <c r="AP21" s="14"/>
      <c r="AQ21" s="10"/>
      <c r="AR21" s="10"/>
      <c r="AS21" s="10"/>
      <c r="AT21" s="10"/>
      <c r="AU21" s="10" t="s">
        <v>258</v>
      </c>
      <c r="AV21" s="10"/>
      <c r="AW21" s="10" t="s">
        <v>13318</v>
      </c>
      <c r="AX21" s="10"/>
      <c r="AY21" s="10"/>
      <c r="AZ21" s="13" t="s">
        <v>13209</v>
      </c>
      <c r="BA21" s="14"/>
    </row>
    <row r="22">
      <c r="A22" s="9">
        <v>43206.90029204861</v>
      </c>
      <c r="B22" s="10" t="s">
        <v>13330</v>
      </c>
      <c r="C22" s="10" t="s">
        <v>13331</v>
      </c>
      <c r="D22" s="15" t="s">
        <v>13138</v>
      </c>
      <c r="E22" s="10" t="s">
        <v>620</v>
      </c>
      <c r="F22" s="10" t="s">
        <v>13332</v>
      </c>
      <c r="G22" s="10"/>
      <c r="H22" s="12">
        <v>4.0</v>
      </c>
      <c r="I22" s="10" t="s">
        <v>3668</v>
      </c>
      <c r="J22" s="10" t="s">
        <v>13333</v>
      </c>
      <c r="K22" s="10" t="s">
        <v>13334</v>
      </c>
      <c r="L22" s="10" t="s">
        <v>13335</v>
      </c>
      <c r="M22" s="10" t="s">
        <v>13336</v>
      </c>
      <c r="N22" s="10" t="s">
        <v>13337</v>
      </c>
      <c r="O22" s="10" t="s">
        <v>13161</v>
      </c>
      <c r="P22" s="10"/>
      <c r="Q22" s="10"/>
      <c r="R22" s="10"/>
      <c r="S22" s="13" t="s">
        <v>13338</v>
      </c>
      <c r="T22" s="10"/>
      <c r="U22" s="13" t="s">
        <v>13339</v>
      </c>
      <c r="V22" s="14"/>
      <c r="W22" s="14"/>
      <c r="X22" s="10"/>
      <c r="Y22" s="10"/>
      <c r="Z22" s="10"/>
      <c r="AA22" s="10"/>
      <c r="AB22" s="10"/>
      <c r="AC22" s="10"/>
      <c r="AD22" s="10"/>
      <c r="AE22" s="10"/>
      <c r="AF22" s="10"/>
      <c r="AG22" s="10"/>
      <c r="AH22" s="10"/>
      <c r="AI22" s="10"/>
      <c r="AJ22" s="10"/>
      <c r="AK22" s="10" t="s">
        <v>620</v>
      </c>
      <c r="AL22" s="13" t="s">
        <v>13340</v>
      </c>
      <c r="AM22" s="14"/>
      <c r="AN22" s="10"/>
      <c r="AO22" s="10"/>
      <c r="AP22" s="10"/>
      <c r="AQ22" s="10"/>
      <c r="AR22" s="10"/>
      <c r="AS22" s="10"/>
      <c r="AT22" s="10"/>
      <c r="AU22" s="10" t="s">
        <v>620</v>
      </c>
      <c r="AV22" s="10" t="s">
        <v>13341</v>
      </c>
      <c r="AW22" s="13" t="s">
        <v>13342</v>
      </c>
      <c r="AX22" s="14"/>
      <c r="AY22" s="10"/>
      <c r="AZ22" s="10" t="s">
        <v>620</v>
      </c>
      <c r="BA22" s="10"/>
    </row>
    <row r="23">
      <c r="A23" s="9">
        <v>43236.881532893516</v>
      </c>
      <c r="B23" s="10" t="s">
        <v>13343</v>
      </c>
      <c r="C23" s="10" t="s">
        <v>13191</v>
      </c>
      <c r="D23" s="15" t="s">
        <v>13138</v>
      </c>
      <c r="E23" s="10" t="s">
        <v>620</v>
      </c>
      <c r="F23" s="10" t="s">
        <v>13344</v>
      </c>
      <c r="G23" s="10"/>
      <c r="H23" s="12">
        <v>4.0</v>
      </c>
      <c r="I23" s="10" t="s">
        <v>3668</v>
      </c>
      <c r="J23" s="10" t="s">
        <v>13345</v>
      </c>
      <c r="K23" s="10" t="s">
        <v>13346</v>
      </c>
      <c r="L23" s="10" t="s">
        <v>13347</v>
      </c>
      <c r="M23" s="10" t="s">
        <v>13348</v>
      </c>
      <c r="N23" s="10" t="s">
        <v>13349</v>
      </c>
      <c r="O23" s="10" t="s">
        <v>13161</v>
      </c>
      <c r="P23" s="10" t="s">
        <v>3668</v>
      </c>
      <c r="Q23" s="10"/>
      <c r="R23" s="10" t="s">
        <v>13350</v>
      </c>
      <c r="S23" s="10" t="s">
        <v>13351</v>
      </c>
      <c r="T23" s="10" t="s">
        <v>179</v>
      </c>
      <c r="U23" s="13" t="s">
        <v>13352</v>
      </c>
      <c r="V23" s="14"/>
      <c r="W23" s="14"/>
      <c r="X23" s="10"/>
      <c r="Y23" s="10"/>
      <c r="Z23" s="10"/>
      <c r="AA23" s="10"/>
      <c r="AB23" s="10"/>
      <c r="AC23" s="10"/>
      <c r="AD23" s="10"/>
      <c r="AE23" s="10"/>
      <c r="AF23" s="10"/>
      <c r="AG23" s="10"/>
      <c r="AH23" s="10"/>
      <c r="AI23" s="10"/>
      <c r="AJ23" s="10"/>
      <c r="AK23" s="10" t="s">
        <v>620</v>
      </c>
      <c r="AL23" s="13" t="s">
        <v>13353</v>
      </c>
      <c r="AM23" s="10"/>
      <c r="AN23" s="13" t="s">
        <v>13354</v>
      </c>
      <c r="AO23" s="14"/>
      <c r="AP23" s="14"/>
      <c r="AQ23" s="14"/>
      <c r="AR23" s="10"/>
      <c r="AS23" s="10"/>
      <c r="AT23" s="10"/>
      <c r="AU23" s="10" t="s">
        <v>620</v>
      </c>
      <c r="AV23" s="10" t="s">
        <v>179</v>
      </c>
      <c r="AW23" s="13" t="s">
        <v>13355</v>
      </c>
      <c r="AX23" s="10"/>
      <c r="AY23" s="10"/>
      <c r="AZ23" s="13" t="s">
        <v>13228</v>
      </c>
      <c r="BA23" s="14"/>
    </row>
    <row r="24">
      <c r="A24" s="9">
        <v>43236.90881630787</v>
      </c>
      <c r="B24" s="10" t="s">
        <v>13356</v>
      </c>
      <c r="C24" s="10" t="s">
        <v>13357</v>
      </c>
      <c r="D24" s="16" t="s">
        <v>13157</v>
      </c>
      <c r="E24" s="10" t="s">
        <v>13358</v>
      </c>
      <c r="F24" s="10" t="s">
        <v>620</v>
      </c>
      <c r="G24" s="10"/>
      <c r="H24" s="12">
        <v>5.0</v>
      </c>
      <c r="I24" s="10" t="s">
        <v>3668</v>
      </c>
      <c r="J24" s="10" t="s">
        <v>13359</v>
      </c>
      <c r="K24" s="10" t="s">
        <v>13360</v>
      </c>
      <c r="L24" s="10" t="s">
        <v>13361</v>
      </c>
      <c r="M24" s="10" t="s">
        <v>13362</v>
      </c>
      <c r="N24" s="10" t="s">
        <v>13363</v>
      </c>
      <c r="O24" s="10" t="s">
        <v>179</v>
      </c>
      <c r="P24" s="10" t="s">
        <v>179</v>
      </c>
      <c r="Q24" s="10"/>
      <c r="R24" s="10" t="s">
        <v>13364</v>
      </c>
      <c r="S24" s="10"/>
      <c r="T24" s="10"/>
      <c r="U24" s="13" t="s">
        <v>13365</v>
      </c>
      <c r="V24" s="14"/>
      <c r="W24" s="14"/>
      <c r="X24" s="14"/>
      <c r="Y24" s="14"/>
      <c r="Z24" s="14"/>
      <c r="AA24" s="14"/>
      <c r="AB24" s="10"/>
      <c r="AC24" s="10"/>
      <c r="AD24" s="10"/>
      <c r="AE24" s="10"/>
      <c r="AF24" s="10"/>
      <c r="AG24" s="10"/>
      <c r="AH24" s="10"/>
      <c r="AI24" s="10"/>
      <c r="AJ24" s="10"/>
      <c r="AK24" s="10" t="s">
        <v>13366</v>
      </c>
      <c r="AL24" s="10" t="s">
        <v>258</v>
      </c>
      <c r="AM24" s="10"/>
      <c r="AN24" s="10" t="s">
        <v>13367</v>
      </c>
      <c r="AO24" s="10"/>
      <c r="AP24" s="10"/>
      <c r="AQ24" s="10"/>
      <c r="AR24" s="10"/>
      <c r="AS24" s="10"/>
      <c r="AT24" s="10"/>
      <c r="AU24" s="10" t="s">
        <v>258</v>
      </c>
      <c r="AV24" s="10" t="s">
        <v>13368</v>
      </c>
      <c r="AW24" s="13" t="s">
        <v>13369</v>
      </c>
      <c r="AX24" s="14"/>
      <c r="AY24" s="10" t="s">
        <v>13241</v>
      </c>
      <c r="AZ24" s="13" t="s">
        <v>13242</v>
      </c>
      <c r="BA24" s="14"/>
    </row>
    <row r="25">
      <c r="A25" s="9">
        <v>43237.40856258102</v>
      </c>
      <c r="B25" s="10" t="s">
        <v>13370</v>
      </c>
      <c r="C25" s="10" t="s">
        <v>13371</v>
      </c>
      <c r="D25" s="15" t="s">
        <v>13138</v>
      </c>
      <c r="E25" s="10" t="s">
        <v>620</v>
      </c>
      <c r="F25" s="10" t="s">
        <v>13372</v>
      </c>
      <c r="G25" s="10"/>
      <c r="H25" s="12">
        <v>3.0</v>
      </c>
      <c r="I25" s="10" t="s">
        <v>13161</v>
      </c>
      <c r="J25" s="10" t="s">
        <v>13373</v>
      </c>
      <c r="K25" s="10" t="s">
        <v>13374</v>
      </c>
      <c r="L25" s="10" t="s">
        <v>13375</v>
      </c>
      <c r="M25" s="10" t="s">
        <v>13376</v>
      </c>
      <c r="N25" s="10" t="s">
        <v>13377</v>
      </c>
      <c r="O25" s="10" t="s">
        <v>13161</v>
      </c>
      <c r="P25" s="10" t="s">
        <v>13161</v>
      </c>
      <c r="Q25" s="10"/>
      <c r="R25" s="13" t="s">
        <v>13378</v>
      </c>
      <c r="S25" s="10"/>
      <c r="T25" s="10"/>
      <c r="U25" s="13" t="s">
        <v>13379</v>
      </c>
      <c r="V25" s="14"/>
      <c r="W25" s="10"/>
      <c r="X25" s="10"/>
      <c r="Y25" s="10"/>
      <c r="Z25" s="10"/>
      <c r="AA25" s="10"/>
      <c r="AB25" s="10"/>
      <c r="AC25" s="10"/>
      <c r="AD25" s="10"/>
      <c r="AE25" s="10"/>
      <c r="AF25" s="10"/>
      <c r="AG25" s="10"/>
      <c r="AH25" s="10"/>
      <c r="AI25" s="10"/>
      <c r="AJ25" s="10"/>
      <c r="AK25" s="10" t="s">
        <v>620</v>
      </c>
      <c r="AL25" s="13" t="s">
        <v>13380</v>
      </c>
      <c r="AM25" s="10"/>
      <c r="AN25" s="13" t="s">
        <v>13381</v>
      </c>
      <c r="AO25" s="14"/>
      <c r="AP25" s="10"/>
      <c r="AQ25" s="10"/>
      <c r="AR25" s="10"/>
      <c r="AS25" s="10"/>
      <c r="AT25" s="10"/>
      <c r="AU25" s="10" t="s">
        <v>620</v>
      </c>
      <c r="AV25" s="10" t="s">
        <v>13382</v>
      </c>
      <c r="AW25" s="10" t="s">
        <v>13383</v>
      </c>
      <c r="AX25" s="10"/>
      <c r="AY25" s="10" t="s">
        <v>13247</v>
      </c>
      <c r="AZ25" s="10" t="s">
        <v>620</v>
      </c>
      <c r="BA25" s="10"/>
    </row>
    <row r="26">
      <c r="A26" s="9">
        <v>43238.49784568287</v>
      </c>
      <c r="B26" s="10" t="s">
        <v>13384</v>
      </c>
      <c r="C26" s="10" t="s">
        <v>13385</v>
      </c>
      <c r="D26" s="15" t="s">
        <v>13138</v>
      </c>
      <c r="E26" s="10" t="s">
        <v>1417</v>
      </c>
      <c r="F26" s="10" t="s">
        <v>13386</v>
      </c>
      <c r="G26" s="10"/>
      <c r="H26" s="12">
        <v>4.0</v>
      </c>
      <c r="I26" s="10" t="s">
        <v>3668</v>
      </c>
      <c r="J26" s="10" t="s">
        <v>13387</v>
      </c>
      <c r="K26" s="10" t="s">
        <v>13388</v>
      </c>
      <c r="L26" s="10" t="s">
        <v>13389</v>
      </c>
      <c r="M26" s="10" t="s">
        <v>13390</v>
      </c>
      <c r="N26" s="10" t="s">
        <v>13391</v>
      </c>
      <c r="O26" s="10" t="s">
        <v>13161</v>
      </c>
      <c r="P26" s="10" t="s">
        <v>3668</v>
      </c>
      <c r="Q26" s="10"/>
      <c r="R26" s="10" t="s">
        <v>13392</v>
      </c>
      <c r="S26" s="10" t="s">
        <v>13393</v>
      </c>
      <c r="T26" s="10" t="s">
        <v>179</v>
      </c>
      <c r="U26" s="13" t="s">
        <v>13394</v>
      </c>
      <c r="V26" s="10"/>
      <c r="W26" s="10"/>
      <c r="X26" s="10"/>
      <c r="Y26" s="10"/>
      <c r="Z26" s="10"/>
      <c r="AA26" s="10"/>
      <c r="AB26" s="10"/>
      <c r="AC26" s="10"/>
      <c r="AD26" s="10"/>
      <c r="AE26" s="10"/>
      <c r="AF26" s="10"/>
      <c r="AG26" s="10"/>
      <c r="AH26" s="10"/>
      <c r="AI26" s="10"/>
      <c r="AJ26" s="10"/>
      <c r="AK26" s="10" t="s">
        <v>1417</v>
      </c>
      <c r="AL26" s="13" t="s">
        <v>13395</v>
      </c>
      <c r="AM26" s="10"/>
      <c r="AN26" s="13" t="s">
        <v>13396</v>
      </c>
      <c r="AO26" s="14"/>
      <c r="AP26" s="14"/>
      <c r="AQ26" s="10"/>
      <c r="AR26" s="10"/>
      <c r="AS26" s="10"/>
      <c r="AT26" s="10"/>
      <c r="AU26" s="10" t="s">
        <v>1417</v>
      </c>
      <c r="AV26" s="10" t="s">
        <v>301</v>
      </c>
      <c r="AW26" s="13" t="s">
        <v>13397</v>
      </c>
      <c r="AX26" s="10"/>
      <c r="AY26" s="10"/>
      <c r="AZ26" s="13" t="s">
        <v>13257</v>
      </c>
      <c r="BA26" s="10"/>
    </row>
    <row r="27">
      <c r="A27" s="9">
        <v>43238.523225578705</v>
      </c>
      <c r="B27" s="10" t="s">
        <v>13249</v>
      </c>
      <c r="C27" s="10" t="s">
        <v>13147</v>
      </c>
      <c r="D27" s="15" t="s">
        <v>13138</v>
      </c>
      <c r="E27" s="10" t="s">
        <v>620</v>
      </c>
      <c r="F27" s="10" t="s">
        <v>13398</v>
      </c>
      <c r="G27" s="10"/>
      <c r="H27" s="12">
        <v>4.0</v>
      </c>
      <c r="I27" s="10" t="s">
        <v>3668</v>
      </c>
      <c r="J27" s="10" t="s">
        <v>13399</v>
      </c>
      <c r="K27" s="10" t="s">
        <v>620</v>
      </c>
      <c r="L27" s="10" t="s">
        <v>620</v>
      </c>
      <c r="M27" s="10" t="s">
        <v>620</v>
      </c>
      <c r="N27" s="10" t="s">
        <v>620</v>
      </c>
      <c r="O27" s="10" t="s">
        <v>3668</v>
      </c>
      <c r="P27" s="10" t="s">
        <v>3668</v>
      </c>
      <c r="Q27" s="10"/>
      <c r="R27" s="10" t="s">
        <v>13392</v>
      </c>
      <c r="S27" s="10" t="s">
        <v>620</v>
      </c>
      <c r="T27" s="10" t="s">
        <v>179</v>
      </c>
      <c r="U27" s="13" t="s">
        <v>13400</v>
      </c>
      <c r="V27" s="14"/>
      <c r="W27" s="10"/>
      <c r="X27" s="10"/>
      <c r="Y27" s="10"/>
      <c r="Z27" s="10"/>
      <c r="AA27" s="10"/>
      <c r="AB27" s="10"/>
      <c r="AC27" s="10"/>
      <c r="AD27" s="10"/>
      <c r="AE27" s="10"/>
      <c r="AF27" s="10"/>
      <c r="AG27" s="10"/>
      <c r="AH27" s="10"/>
      <c r="AI27" s="10"/>
      <c r="AJ27" s="10"/>
      <c r="AK27" s="10" t="s">
        <v>620</v>
      </c>
      <c r="AL27" s="13" t="s">
        <v>13401</v>
      </c>
      <c r="AM27" s="10"/>
      <c r="AN27" s="13" t="s">
        <v>13402</v>
      </c>
      <c r="AO27" s="14"/>
      <c r="AP27" s="14"/>
      <c r="AQ27" s="14"/>
      <c r="AR27" s="14"/>
      <c r="AS27" s="14"/>
      <c r="AT27" s="10"/>
      <c r="AU27" s="10" t="s">
        <v>620</v>
      </c>
      <c r="AV27" s="10" t="s">
        <v>620</v>
      </c>
      <c r="AW27" s="10" t="s">
        <v>13403</v>
      </c>
      <c r="AX27" s="10"/>
      <c r="AY27" s="10" t="s">
        <v>13270</v>
      </c>
      <c r="AZ27" s="13" t="s">
        <v>13271</v>
      </c>
      <c r="BA27" s="14"/>
    </row>
    <row r="28">
      <c r="A28" s="9">
        <v>43239.44780734954</v>
      </c>
      <c r="B28" s="10" t="s">
        <v>13404</v>
      </c>
      <c r="C28" s="10" t="s">
        <v>13405</v>
      </c>
      <c r="D28" s="15" t="s">
        <v>13138</v>
      </c>
      <c r="E28" s="10" t="s">
        <v>620</v>
      </c>
      <c r="F28" s="10" t="s">
        <v>13406</v>
      </c>
      <c r="G28" s="10"/>
      <c r="H28" s="12">
        <v>5.0</v>
      </c>
      <c r="I28" s="10" t="s">
        <v>3668</v>
      </c>
      <c r="J28" s="10" t="s">
        <v>13407</v>
      </c>
      <c r="K28" s="10" t="s">
        <v>13408</v>
      </c>
      <c r="L28" s="10" t="s">
        <v>13409</v>
      </c>
      <c r="M28" s="10" t="s">
        <v>13410</v>
      </c>
      <c r="N28" s="10" t="s">
        <v>13411</v>
      </c>
      <c r="O28" s="10" t="s">
        <v>3668</v>
      </c>
      <c r="P28" s="10" t="s">
        <v>3668</v>
      </c>
      <c r="Q28" s="10"/>
      <c r="R28" s="10" t="s">
        <v>13392</v>
      </c>
      <c r="S28" s="10"/>
      <c r="T28" s="10"/>
      <c r="U28" s="13" t="s">
        <v>13412</v>
      </c>
      <c r="V28" s="10"/>
      <c r="W28" s="10"/>
      <c r="X28" s="10"/>
      <c r="Y28" s="10"/>
      <c r="Z28" s="10"/>
      <c r="AA28" s="10"/>
      <c r="AB28" s="10"/>
      <c r="AC28" s="10"/>
      <c r="AD28" s="10"/>
      <c r="AE28" s="10"/>
      <c r="AF28" s="10"/>
      <c r="AG28" s="10"/>
      <c r="AH28" s="10"/>
      <c r="AI28" s="10"/>
      <c r="AJ28" s="10"/>
      <c r="AK28" s="10" t="s">
        <v>620</v>
      </c>
      <c r="AL28" s="13" t="s">
        <v>13413</v>
      </c>
      <c r="AM28" s="10"/>
      <c r="AN28" s="13" t="s">
        <v>13402</v>
      </c>
      <c r="AO28" s="14"/>
      <c r="AP28" s="14"/>
      <c r="AQ28" s="14"/>
      <c r="AR28" s="14"/>
      <c r="AS28" s="14"/>
      <c r="AT28" s="10"/>
      <c r="AU28" s="10" t="s">
        <v>620</v>
      </c>
      <c r="AV28" s="10"/>
      <c r="AW28" s="13" t="s">
        <v>13414</v>
      </c>
      <c r="AX28" s="14"/>
      <c r="AY28" s="10" t="s">
        <v>13281</v>
      </c>
      <c r="AZ28" s="13" t="s">
        <v>13282</v>
      </c>
      <c r="BA28" s="10"/>
    </row>
    <row r="29">
      <c r="A29" s="9">
        <v>43241.99238447916</v>
      </c>
      <c r="B29" s="10" t="s">
        <v>13415</v>
      </c>
      <c r="C29" s="10" t="s">
        <v>13406</v>
      </c>
      <c r="D29" s="16" t="s">
        <v>13157</v>
      </c>
      <c r="E29" s="10" t="s">
        <v>13416</v>
      </c>
      <c r="F29" s="10" t="s">
        <v>620</v>
      </c>
      <c r="G29" s="10"/>
      <c r="H29" s="12">
        <v>4.0</v>
      </c>
      <c r="I29" s="10" t="s">
        <v>3668</v>
      </c>
      <c r="J29" s="10" t="s">
        <v>13417</v>
      </c>
      <c r="K29" s="10" t="s">
        <v>13418</v>
      </c>
      <c r="L29" s="10" t="s">
        <v>13419</v>
      </c>
      <c r="M29" s="10" t="s">
        <v>13420</v>
      </c>
      <c r="N29" s="10" t="s">
        <v>13421</v>
      </c>
      <c r="O29" s="10" t="s">
        <v>13161</v>
      </c>
      <c r="P29" s="10" t="s">
        <v>13422</v>
      </c>
      <c r="Q29" s="10"/>
      <c r="R29" s="10"/>
      <c r="S29" s="10" t="s">
        <v>13423</v>
      </c>
      <c r="T29" s="10" t="s">
        <v>13424</v>
      </c>
      <c r="U29" s="13" t="s">
        <v>13425</v>
      </c>
      <c r="V29" s="14"/>
      <c r="W29" s="14"/>
      <c r="X29" s="14"/>
      <c r="Y29" s="14"/>
      <c r="Z29" s="14"/>
      <c r="AA29" s="10"/>
      <c r="AB29" s="10"/>
      <c r="AC29" s="10"/>
      <c r="AD29" s="10"/>
      <c r="AE29" s="10"/>
      <c r="AF29" s="10"/>
      <c r="AG29" s="10"/>
      <c r="AH29" s="10"/>
      <c r="AI29" s="10"/>
      <c r="AJ29" s="10"/>
      <c r="AK29" s="10" t="s">
        <v>620</v>
      </c>
      <c r="AL29" s="10" t="s">
        <v>620</v>
      </c>
      <c r="AM29" s="10"/>
      <c r="AN29" s="10" t="s">
        <v>13422</v>
      </c>
      <c r="AO29" s="10"/>
      <c r="AP29" s="10"/>
      <c r="AQ29" s="10"/>
      <c r="AR29" s="10"/>
      <c r="AS29" s="10"/>
      <c r="AT29" s="10"/>
      <c r="AU29" s="10" t="s">
        <v>620</v>
      </c>
      <c r="AV29" s="10"/>
      <c r="AW29" s="13" t="s">
        <v>13426</v>
      </c>
      <c r="AX29" s="14"/>
      <c r="AY29" s="10"/>
      <c r="AZ29" s="13" t="s">
        <v>13293</v>
      </c>
      <c r="BA29" s="14"/>
    </row>
    <row r="30">
      <c r="A30" s="9">
        <v>43242.602198877314</v>
      </c>
      <c r="B30" s="10" t="s">
        <v>13427</v>
      </c>
      <c r="C30" s="10" t="s">
        <v>13428</v>
      </c>
      <c r="D30" s="16" t="s">
        <v>13157</v>
      </c>
      <c r="E30" s="10" t="s">
        <v>13429</v>
      </c>
      <c r="F30" s="10" t="s">
        <v>620</v>
      </c>
      <c r="G30" s="12">
        <v>9.0</v>
      </c>
      <c r="H30" s="12">
        <v>5.0</v>
      </c>
      <c r="I30" s="10" t="s">
        <v>3668</v>
      </c>
      <c r="J30" s="10" t="s">
        <v>13430</v>
      </c>
      <c r="K30" s="10" t="s">
        <v>13431</v>
      </c>
      <c r="L30" s="10" t="s">
        <v>13432</v>
      </c>
      <c r="M30" s="10" t="s">
        <v>13433</v>
      </c>
      <c r="N30" s="10" t="s">
        <v>13434</v>
      </c>
      <c r="O30" s="10" t="s">
        <v>3668</v>
      </c>
      <c r="P30" s="10" t="s">
        <v>13422</v>
      </c>
      <c r="Q30" s="10" t="s">
        <v>13422</v>
      </c>
      <c r="R30" s="10"/>
      <c r="S30" s="13" t="s">
        <v>13435</v>
      </c>
      <c r="T30" s="10"/>
      <c r="U30" s="10" t="s">
        <v>13436</v>
      </c>
      <c r="V30" s="10" t="s">
        <v>620</v>
      </c>
      <c r="W30" s="10" t="s">
        <v>620</v>
      </c>
      <c r="X30" s="10" t="s">
        <v>620</v>
      </c>
      <c r="Y30" s="10" t="s">
        <v>620</v>
      </c>
      <c r="Z30" s="10" t="s">
        <v>620</v>
      </c>
      <c r="AA30" s="10" t="s">
        <v>620</v>
      </c>
      <c r="AB30" s="10" t="s">
        <v>620</v>
      </c>
      <c r="AC30" s="10" t="s">
        <v>620</v>
      </c>
      <c r="AD30" s="10" t="s">
        <v>620</v>
      </c>
      <c r="AE30" s="10" t="s">
        <v>620</v>
      </c>
      <c r="AF30" s="10" t="s">
        <v>620</v>
      </c>
      <c r="AG30" s="10" t="s">
        <v>620</v>
      </c>
      <c r="AH30" s="10" t="s">
        <v>620</v>
      </c>
      <c r="AI30" s="10" t="s">
        <v>620</v>
      </c>
      <c r="AJ30" s="10" t="s">
        <v>620</v>
      </c>
      <c r="AK30" s="10" t="s">
        <v>13437</v>
      </c>
      <c r="AL30" s="12">
        <v>1.0</v>
      </c>
      <c r="AM30" s="10" t="s">
        <v>620</v>
      </c>
      <c r="AN30" s="10" t="s">
        <v>620</v>
      </c>
      <c r="AO30" s="10" t="s">
        <v>620</v>
      </c>
      <c r="AP30" s="10" t="s">
        <v>620</v>
      </c>
      <c r="AQ30" s="10" t="s">
        <v>620</v>
      </c>
      <c r="AR30" s="10" t="s">
        <v>620</v>
      </c>
      <c r="AS30" s="10" t="s">
        <v>620</v>
      </c>
      <c r="AT30" s="10" t="s">
        <v>620</v>
      </c>
      <c r="AU30" s="10" t="s">
        <v>620</v>
      </c>
      <c r="AV30" s="10" t="s">
        <v>13438</v>
      </c>
      <c r="AW30" s="13" t="s">
        <v>13439</v>
      </c>
      <c r="AX30" s="14"/>
      <c r="AY30" s="10"/>
      <c r="AZ30" s="13" t="s">
        <v>13307</v>
      </c>
      <c r="BA30" s="14"/>
    </row>
    <row r="31">
      <c r="A31" s="9">
        <v>43242.827318807875</v>
      </c>
      <c r="B31" s="10" t="s">
        <v>13440</v>
      </c>
      <c r="C31" s="10" t="s">
        <v>13441</v>
      </c>
      <c r="D31" s="16" t="s">
        <v>13157</v>
      </c>
      <c r="E31" s="10" t="s">
        <v>13442</v>
      </c>
      <c r="F31" s="10" t="s">
        <v>7593</v>
      </c>
      <c r="G31" s="12">
        <v>1.0</v>
      </c>
      <c r="H31" s="12">
        <v>4.0</v>
      </c>
      <c r="I31" s="10" t="s">
        <v>179</v>
      </c>
      <c r="J31" s="10" t="s">
        <v>13443</v>
      </c>
      <c r="K31" s="10" t="s">
        <v>13444</v>
      </c>
      <c r="L31" s="10" t="s">
        <v>13445</v>
      </c>
      <c r="M31" s="10" t="s">
        <v>139</v>
      </c>
      <c r="N31" s="10" t="s">
        <v>13446</v>
      </c>
      <c r="O31" s="10" t="s">
        <v>179</v>
      </c>
      <c r="P31" s="10" t="s">
        <v>13422</v>
      </c>
      <c r="Q31" s="10" t="s">
        <v>13422</v>
      </c>
      <c r="R31" s="10"/>
      <c r="S31" s="10" t="s">
        <v>258</v>
      </c>
      <c r="T31" s="10" t="s">
        <v>258</v>
      </c>
      <c r="U31" s="10" t="s">
        <v>13447</v>
      </c>
      <c r="V31" s="10" t="s">
        <v>620</v>
      </c>
      <c r="W31" s="10" t="s">
        <v>620</v>
      </c>
      <c r="X31" s="10" t="s">
        <v>620</v>
      </c>
      <c r="Y31" s="10" t="s">
        <v>620</v>
      </c>
      <c r="Z31" s="10" t="s">
        <v>620</v>
      </c>
      <c r="AA31" s="10" t="s">
        <v>620</v>
      </c>
      <c r="AB31" s="10" t="s">
        <v>620</v>
      </c>
      <c r="AC31" s="10" t="s">
        <v>620</v>
      </c>
      <c r="AD31" s="10" t="s">
        <v>620</v>
      </c>
      <c r="AE31" s="10" t="s">
        <v>620</v>
      </c>
      <c r="AF31" s="10" t="s">
        <v>620</v>
      </c>
      <c r="AG31" s="10" t="s">
        <v>620</v>
      </c>
      <c r="AH31" s="10" t="s">
        <v>620</v>
      </c>
      <c r="AI31" s="10" t="s">
        <v>620</v>
      </c>
      <c r="AJ31" s="10" t="s">
        <v>620</v>
      </c>
      <c r="AK31" s="10" t="s">
        <v>13448</v>
      </c>
      <c r="AL31" s="12">
        <v>1.0</v>
      </c>
      <c r="AM31" s="10" t="s">
        <v>258</v>
      </c>
      <c r="AN31" s="10" t="s">
        <v>620</v>
      </c>
      <c r="AO31" s="10" t="s">
        <v>620</v>
      </c>
      <c r="AP31" s="10" t="s">
        <v>620</v>
      </c>
      <c r="AQ31" s="10" t="s">
        <v>620</v>
      </c>
      <c r="AR31" s="10" t="s">
        <v>620</v>
      </c>
      <c r="AS31" s="10" t="s">
        <v>620</v>
      </c>
      <c r="AT31" s="10" t="s">
        <v>620</v>
      </c>
      <c r="AU31" s="10" t="s">
        <v>620</v>
      </c>
      <c r="AV31" s="10" t="s">
        <v>13449</v>
      </c>
      <c r="AW31" s="13" t="s">
        <v>13450</v>
      </c>
      <c r="AX31" s="14"/>
      <c r="AY31" s="10" t="s">
        <v>13317</v>
      </c>
      <c r="AZ31" s="10" t="s">
        <v>13318</v>
      </c>
      <c r="BA31" s="10"/>
    </row>
    <row r="32">
      <c r="A32" s="9">
        <v>43243.35835704861</v>
      </c>
      <c r="B32" s="10" t="s">
        <v>13451</v>
      </c>
      <c r="C32" s="10" t="s">
        <v>13452</v>
      </c>
      <c r="D32" s="15" t="s">
        <v>13138</v>
      </c>
      <c r="E32" s="10" t="s">
        <v>620</v>
      </c>
      <c r="F32" s="10" t="s">
        <v>13406</v>
      </c>
      <c r="G32" s="12">
        <v>7.0</v>
      </c>
      <c r="H32" s="12">
        <v>4.0</v>
      </c>
      <c r="I32" s="10" t="s">
        <v>13161</v>
      </c>
      <c r="J32" s="10" t="s">
        <v>13453</v>
      </c>
      <c r="K32" s="10" t="s">
        <v>13454</v>
      </c>
      <c r="L32" s="10" t="s">
        <v>13455</v>
      </c>
      <c r="M32" s="10" t="s">
        <v>13456</v>
      </c>
      <c r="N32" s="10" t="s">
        <v>13457</v>
      </c>
      <c r="O32" s="10" t="s">
        <v>3668</v>
      </c>
      <c r="P32" s="10" t="s">
        <v>13161</v>
      </c>
      <c r="Q32" s="10" t="s">
        <v>3668</v>
      </c>
      <c r="R32" s="10" t="s">
        <v>13458</v>
      </c>
      <c r="S32" s="10"/>
      <c r="T32" s="10"/>
      <c r="U32" s="10" t="s">
        <v>13459</v>
      </c>
      <c r="V32" s="10" t="s">
        <v>3668</v>
      </c>
      <c r="W32" s="10" t="s">
        <v>3668</v>
      </c>
      <c r="X32" s="10" t="s">
        <v>3668</v>
      </c>
      <c r="Y32" s="10" t="s">
        <v>3668</v>
      </c>
      <c r="Z32" s="10" t="s">
        <v>3668</v>
      </c>
      <c r="AA32" s="10" t="s">
        <v>3668</v>
      </c>
      <c r="AB32" s="10" t="s">
        <v>179</v>
      </c>
      <c r="AC32" s="10" t="s">
        <v>3668</v>
      </c>
      <c r="AD32" s="10" t="s">
        <v>179</v>
      </c>
      <c r="AE32" s="10" t="s">
        <v>179</v>
      </c>
      <c r="AF32" s="10" t="s">
        <v>3668</v>
      </c>
      <c r="AG32" s="10" t="s">
        <v>3668</v>
      </c>
      <c r="AH32" s="10" t="s">
        <v>3668</v>
      </c>
      <c r="AI32" s="10" t="s">
        <v>3668</v>
      </c>
      <c r="AJ32" s="10" t="s">
        <v>3668</v>
      </c>
      <c r="AK32" s="10" t="s">
        <v>620</v>
      </c>
      <c r="AL32" s="12">
        <v>4.0</v>
      </c>
      <c r="AM32" s="10" t="s">
        <v>13460</v>
      </c>
      <c r="AN32" s="10" t="s">
        <v>13161</v>
      </c>
      <c r="AO32" s="10" t="s">
        <v>13461</v>
      </c>
      <c r="AP32" s="10" t="s">
        <v>13161</v>
      </c>
      <c r="AQ32" s="10" t="s">
        <v>13161</v>
      </c>
      <c r="AR32" s="10" t="s">
        <v>13161</v>
      </c>
      <c r="AS32" s="10" t="s">
        <v>13161</v>
      </c>
      <c r="AT32" s="10" t="s">
        <v>13161</v>
      </c>
      <c r="AU32" s="10" t="s">
        <v>620</v>
      </c>
      <c r="AV32" s="10"/>
      <c r="AW32" s="10" t="s">
        <v>13462</v>
      </c>
      <c r="AX32" s="10"/>
      <c r="AY32" s="10"/>
      <c r="AZ32" s="10" t="s">
        <v>13318</v>
      </c>
      <c r="BA32" s="10"/>
    </row>
    <row r="33">
      <c r="A33" s="9">
        <v>43243.35857748843</v>
      </c>
      <c r="B33" s="10" t="s">
        <v>13463</v>
      </c>
      <c r="C33" s="10" t="s">
        <v>13464</v>
      </c>
      <c r="D33" s="15" t="s">
        <v>13138</v>
      </c>
      <c r="E33" s="10" t="s">
        <v>620</v>
      </c>
      <c r="F33" s="10" t="s">
        <v>13398</v>
      </c>
      <c r="G33" s="12">
        <v>11.0</v>
      </c>
      <c r="H33" s="12">
        <v>5.0</v>
      </c>
      <c r="I33" s="10" t="s">
        <v>3668</v>
      </c>
      <c r="J33" s="10" t="s">
        <v>13465</v>
      </c>
      <c r="K33" s="10" t="s">
        <v>13466</v>
      </c>
      <c r="L33" s="10" t="s">
        <v>528</v>
      </c>
      <c r="M33" s="10" t="s">
        <v>13467</v>
      </c>
      <c r="N33" s="10" t="s">
        <v>13455</v>
      </c>
      <c r="O33" s="10" t="s">
        <v>179</v>
      </c>
      <c r="P33" s="10" t="s">
        <v>179</v>
      </c>
      <c r="Q33" s="10" t="s">
        <v>179</v>
      </c>
      <c r="R33" s="10" t="s">
        <v>13350</v>
      </c>
      <c r="S33" s="10"/>
      <c r="T33" s="10"/>
      <c r="U33" s="10" t="s">
        <v>13468</v>
      </c>
      <c r="V33" s="10" t="s">
        <v>3668</v>
      </c>
      <c r="W33" s="10" t="s">
        <v>179</v>
      </c>
      <c r="X33" s="10" t="s">
        <v>179</v>
      </c>
      <c r="Y33" s="10" t="s">
        <v>3668</v>
      </c>
      <c r="Z33" s="10" t="s">
        <v>3668</v>
      </c>
      <c r="AA33" s="10" t="s">
        <v>179</v>
      </c>
      <c r="AB33" s="10" t="s">
        <v>179</v>
      </c>
      <c r="AC33" s="10" t="s">
        <v>3668</v>
      </c>
      <c r="AD33" s="10" t="s">
        <v>3668</v>
      </c>
      <c r="AE33" s="10" t="s">
        <v>3668</v>
      </c>
      <c r="AF33" s="10" t="s">
        <v>3668</v>
      </c>
      <c r="AG33" s="10" t="s">
        <v>3668</v>
      </c>
      <c r="AH33" s="10" t="s">
        <v>3668</v>
      </c>
      <c r="AI33" s="10" t="s">
        <v>3668</v>
      </c>
      <c r="AJ33" s="10" t="s">
        <v>3668</v>
      </c>
      <c r="AK33" s="10" t="s">
        <v>620</v>
      </c>
      <c r="AL33" s="12">
        <v>5.0</v>
      </c>
      <c r="AM33" s="10" t="s">
        <v>9192</v>
      </c>
      <c r="AN33" s="10" t="s">
        <v>13461</v>
      </c>
      <c r="AO33" s="10" t="s">
        <v>13461</v>
      </c>
      <c r="AP33" s="10" t="s">
        <v>13161</v>
      </c>
      <c r="AQ33" s="10" t="s">
        <v>13461</v>
      </c>
      <c r="AR33" s="10" t="s">
        <v>13469</v>
      </c>
      <c r="AS33" s="10" t="s">
        <v>13461</v>
      </c>
      <c r="AT33" s="10" t="s">
        <v>13161</v>
      </c>
      <c r="AU33" s="10" t="s">
        <v>620</v>
      </c>
      <c r="AV33" s="10"/>
      <c r="AW33" s="13" t="s">
        <v>13470</v>
      </c>
      <c r="AX33" s="10"/>
      <c r="AY33" s="10"/>
      <c r="AZ33" s="10" t="s">
        <v>13318</v>
      </c>
      <c r="BA33" s="10"/>
    </row>
    <row r="34">
      <c r="A34" s="9">
        <v>43250.42332412037</v>
      </c>
      <c r="B34" s="10" t="s">
        <v>13471</v>
      </c>
      <c r="C34" s="10" t="s">
        <v>13199</v>
      </c>
      <c r="D34" s="15" t="s">
        <v>13138</v>
      </c>
      <c r="E34" s="10" t="s">
        <v>13296</v>
      </c>
      <c r="F34" s="10" t="s">
        <v>13472</v>
      </c>
      <c r="G34" s="12">
        <v>9.0</v>
      </c>
      <c r="H34" s="12">
        <v>5.0</v>
      </c>
      <c r="I34" s="10" t="s">
        <v>3668</v>
      </c>
      <c r="J34" s="10" t="s">
        <v>13473</v>
      </c>
      <c r="K34" s="10" t="s">
        <v>13474</v>
      </c>
      <c r="L34" s="10" t="s">
        <v>13475</v>
      </c>
      <c r="M34" s="10" t="s">
        <v>13476</v>
      </c>
      <c r="N34" s="10" t="s">
        <v>13477</v>
      </c>
      <c r="O34" s="10" t="s">
        <v>13161</v>
      </c>
      <c r="P34" s="10" t="s">
        <v>13161</v>
      </c>
      <c r="Q34" s="10" t="s">
        <v>3668</v>
      </c>
      <c r="R34" s="10" t="s">
        <v>13364</v>
      </c>
      <c r="S34" s="10"/>
      <c r="T34" s="10"/>
      <c r="U34" s="10" t="s">
        <v>13478</v>
      </c>
      <c r="V34" s="10" t="s">
        <v>179</v>
      </c>
      <c r="W34" s="10" t="s">
        <v>3668</v>
      </c>
      <c r="X34" s="10" t="s">
        <v>3668</v>
      </c>
      <c r="Y34" s="10" t="s">
        <v>3668</v>
      </c>
      <c r="Z34" s="10" t="s">
        <v>3668</v>
      </c>
      <c r="AA34" s="10" t="s">
        <v>3668</v>
      </c>
      <c r="AB34" s="10" t="s">
        <v>3668</v>
      </c>
      <c r="AC34" s="10" t="s">
        <v>3668</v>
      </c>
      <c r="AD34" s="10" t="s">
        <v>3668</v>
      </c>
      <c r="AE34" s="10" t="s">
        <v>3668</v>
      </c>
      <c r="AF34" s="10" t="s">
        <v>3668</v>
      </c>
      <c r="AG34" s="10" t="s">
        <v>3668</v>
      </c>
      <c r="AH34" s="10" t="s">
        <v>3668</v>
      </c>
      <c r="AI34" s="10" t="s">
        <v>179</v>
      </c>
      <c r="AJ34" s="10" t="s">
        <v>3668</v>
      </c>
      <c r="AK34" s="10" t="s">
        <v>1417</v>
      </c>
      <c r="AL34" s="12">
        <v>5.0</v>
      </c>
      <c r="AM34" s="10" t="s">
        <v>13479</v>
      </c>
      <c r="AN34" s="10" t="s">
        <v>13161</v>
      </c>
      <c r="AO34" s="10" t="s">
        <v>13161</v>
      </c>
      <c r="AP34" s="10" t="s">
        <v>13469</v>
      </c>
      <c r="AQ34" s="10" t="s">
        <v>13469</v>
      </c>
      <c r="AR34" s="10" t="s">
        <v>13469</v>
      </c>
      <c r="AS34" s="10" t="s">
        <v>13469</v>
      </c>
      <c r="AT34" s="10" t="s">
        <v>13469</v>
      </c>
      <c r="AU34" s="10" t="s">
        <v>13296</v>
      </c>
      <c r="AV34" s="10"/>
      <c r="AW34" s="13" t="s">
        <v>13480</v>
      </c>
      <c r="AX34" s="14"/>
      <c r="AY34" s="10" t="s">
        <v>13341</v>
      </c>
      <c r="AZ34" s="13" t="s">
        <v>13342</v>
      </c>
      <c r="BA34" s="14"/>
    </row>
    <row r="35">
      <c r="A35" s="9">
        <v>43287.581438124995</v>
      </c>
      <c r="B35" s="10" t="s">
        <v>13481</v>
      </c>
      <c r="C35" s="10" t="s">
        <v>13482</v>
      </c>
      <c r="D35" s="16" t="s">
        <v>13157</v>
      </c>
      <c r="E35" s="10" t="s">
        <v>13184</v>
      </c>
      <c r="F35" s="10" t="s">
        <v>620</v>
      </c>
      <c r="G35" s="12">
        <v>9.0</v>
      </c>
      <c r="H35" s="12">
        <v>5.0</v>
      </c>
      <c r="I35" s="10" t="s">
        <v>3668</v>
      </c>
      <c r="J35" s="10" t="s">
        <v>13483</v>
      </c>
      <c r="K35" s="10" t="s">
        <v>13484</v>
      </c>
      <c r="L35" s="10" t="s">
        <v>13485</v>
      </c>
      <c r="M35" s="10" t="s">
        <v>13486</v>
      </c>
      <c r="N35" s="10" t="s">
        <v>13487</v>
      </c>
      <c r="O35" s="10" t="s">
        <v>13161</v>
      </c>
      <c r="P35" s="10" t="s">
        <v>13422</v>
      </c>
      <c r="Q35" s="10" t="s">
        <v>13422</v>
      </c>
      <c r="R35" s="10"/>
      <c r="S35" s="10"/>
      <c r="T35" s="10"/>
      <c r="U35" s="10" t="s">
        <v>13488</v>
      </c>
      <c r="V35" s="10" t="s">
        <v>620</v>
      </c>
      <c r="W35" s="10" t="s">
        <v>620</v>
      </c>
      <c r="X35" s="10" t="s">
        <v>620</v>
      </c>
      <c r="Y35" s="10" t="s">
        <v>620</v>
      </c>
      <c r="Z35" s="10" t="s">
        <v>620</v>
      </c>
      <c r="AA35" s="10" t="s">
        <v>620</v>
      </c>
      <c r="AB35" s="10" t="s">
        <v>620</v>
      </c>
      <c r="AC35" s="10" t="s">
        <v>620</v>
      </c>
      <c r="AD35" s="10" t="s">
        <v>620</v>
      </c>
      <c r="AE35" s="10" t="s">
        <v>620</v>
      </c>
      <c r="AF35" s="10" t="s">
        <v>620</v>
      </c>
      <c r="AG35" s="10" t="s">
        <v>620</v>
      </c>
      <c r="AH35" s="10" t="s">
        <v>620</v>
      </c>
      <c r="AI35" s="10" t="s">
        <v>620</v>
      </c>
      <c r="AJ35" s="10" t="s">
        <v>620</v>
      </c>
      <c r="AK35" s="13" t="s">
        <v>13489</v>
      </c>
      <c r="AL35" s="10"/>
      <c r="AM35" s="10" t="s">
        <v>620</v>
      </c>
      <c r="AN35" s="10" t="s">
        <v>620</v>
      </c>
      <c r="AO35" s="10" t="s">
        <v>620</v>
      </c>
      <c r="AP35" s="10" t="s">
        <v>620</v>
      </c>
      <c r="AQ35" s="10" t="s">
        <v>620</v>
      </c>
      <c r="AR35" s="10" t="s">
        <v>620</v>
      </c>
      <c r="AS35" s="10" t="s">
        <v>620</v>
      </c>
      <c r="AT35" s="10" t="s">
        <v>620</v>
      </c>
      <c r="AU35" s="10" t="s">
        <v>620</v>
      </c>
      <c r="AV35" s="10"/>
      <c r="AW35" s="10" t="s">
        <v>13490</v>
      </c>
      <c r="AX35" s="10"/>
      <c r="AY35" s="10" t="s">
        <v>179</v>
      </c>
      <c r="AZ35" s="13" t="s">
        <v>13355</v>
      </c>
      <c r="BA35" s="10"/>
    </row>
    <row r="36">
      <c r="A36" s="9">
        <v>43288.48110024305</v>
      </c>
      <c r="B36" s="10" t="s">
        <v>13491</v>
      </c>
      <c r="C36" s="10" t="s">
        <v>13492</v>
      </c>
      <c r="D36" s="16" t="s">
        <v>13157</v>
      </c>
      <c r="E36" s="10" t="s">
        <v>13493</v>
      </c>
      <c r="F36" s="10" t="s">
        <v>258</v>
      </c>
      <c r="G36" s="12">
        <v>8.0</v>
      </c>
      <c r="H36" s="12">
        <v>3.0</v>
      </c>
      <c r="I36" s="10" t="s">
        <v>13161</v>
      </c>
      <c r="J36" s="10" t="s">
        <v>13494</v>
      </c>
      <c r="K36" s="10" t="s">
        <v>13495</v>
      </c>
      <c r="L36" s="10" t="s">
        <v>13496</v>
      </c>
      <c r="M36" s="10" t="s">
        <v>13497</v>
      </c>
      <c r="N36" s="10" t="s">
        <v>13498</v>
      </c>
      <c r="O36" s="10" t="s">
        <v>13161</v>
      </c>
      <c r="P36" s="10" t="s">
        <v>13422</v>
      </c>
      <c r="Q36" s="10" t="s">
        <v>13422</v>
      </c>
      <c r="R36" s="10"/>
      <c r="S36" s="10"/>
      <c r="T36" s="10"/>
      <c r="U36" s="10" t="s">
        <v>258</v>
      </c>
      <c r="V36" s="10" t="s">
        <v>620</v>
      </c>
      <c r="W36" s="10" t="s">
        <v>620</v>
      </c>
      <c r="X36" s="10" t="s">
        <v>620</v>
      </c>
      <c r="Y36" s="10" t="s">
        <v>620</v>
      </c>
      <c r="Z36" s="10" t="s">
        <v>620</v>
      </c>
      <c r="AA36" s="10" t="s">
        <v>620</v>
      </c>
      <c r="AB36" s="10" t="s">
        <v>620</v>
      </c>
      <c r="AC36" s="10" t="s">
        <v>620</v>
      </c>
      <c r="AD36" s="10" t="s">
        <v>620</v>
      </c>
      <c r="AE36" s="10" t="s">
        <v>620</v>
      </c>
      <c r="AF36" s="10" t="s">
        <v>620</v>
      </c>
      <c r="AG36" s="10" t="s">
        <v>620</v>
      </c>
      <c r="AH36" s="10" t="s">
        <v>620</v>
      </c>
      <c r="AI36" s="10" t="s">
        <v>620</v>
      </c>
      <c r="AJ36" s="10" t="s">
        <v>620</v>
      </c>
      <c r="AK36" s="10" t="s">
        <v>4299</v>
      </c>
      <c r="AL36" s="10"/>
      <c r="AM36" s="10" t="s">
        <v>258</v>
      </c>
      <c r="AN36" s="10" t="s">
        <v>620</v>
      </c>
      <c r="AO36" s="10" t="s">
        <v>620</v>
      </c>
      <c r="AP36" s="10" t="s">
        <v>620</v>
      </c>
      <c r="AQ36" s="10" t="s">
        <v>620</v>
      </c>
      <c r="AR36" s="10" t="s">
        <v>620</v>
      </c>
      <c r="AS36" s="10" t="s">
        <v>620</v>
      </c>
      <c r="AT36" s="10" t="s">
        <v>620</v>
      </c>
      <c r="AU36" s="10" t="s">
        <v>258</v>
      </c>
      <c r="AV36" s="10"/>
      <c r="AW36" s="13" t="s">
        <v>13499</v>
      </c>
      <c r="AX36" s="14"/>
      <c r="AY36" s="10" t="s">
        <v>13368</v>
      </c>
      <c r="AZ36" s="13" t="s">
        <v>13369</v>
      </c>
      <c r="BA36" s="14"/>
    </row>
    <row r="37">
      <c r="A37" s="9">
        <v>43288.51143333333</v>
      </c>
      <c r="B37" s="10" t="s">
        <v>13500</v>
      </c>
      <c r="C37" s="10" t="s">
        <v>13501</v>
      </c>
      <c r="D37" s="16" t="s">
        <v>13157</v>
      </c>
      <c r="E37" s="10" t="s">
        <v>13502</v>
      </c>
      <c r="F37" s="10" t="s">
        <v>620</v>
      </c>
      <c r="G37" s="12">
        <v>5.0</v>
      </c>
      <c r="H37" s="12">
        <v>3.0</v>
      </c>
      <c r="I37" s="10" t="s">
        <v>13161</v>
      </c>
      <c r="J37" s="10" t="s">
        <v>13503</v>
      </c>
      <c r="K37" s="10" t="s">
        <v>13504</v>
      </c>
      <c r="L37" s="10" t="s">
        <v>13505</v>
      </c>
      <c r="M37" s="10" t="s">
        <v>13506</v>
      </c>
      <c r="N37" s="10" t="s">
        <v>13507</v>
      </c>
      <c r="O37" s="10" t="s">
        <v>179</v>
      </c>
      <c r="P37" s="10" t="s">
        <v>13422</v>
      </c>
      <c r="Q37" s="10" t="s">
        <v>13422</v>
      </c>
      <c r="R37" s="10"/>
      <c r="S37" s="10" t="s">
        <v>13508</v>
      </c>
      <c r="T37" s="10" t="s">
        <v>13509</v>
      </c>
      <c r="U37" s="10" t="s">
        <v>13510</v>
      </c>
      <c r="V37" s="10" t="s">
        <v>620</v>
      </c>
      <c r="W37" s="10" t="s">
        <v>620</v>
      </c>
      <c r="X37" s="10" t="s">
        <v>620</v>
      </c>
      <c r="Y37" s="10" t="s">
        <v>620</v>
      </c>
      <c r="Z37" s="10" t="s">
        <v>620</v>
      </c>
      <c r="AA37" s="10" t="s">
        <v>620</v>
      </c>
      <c r="AB37" s="10" t="s">
        <v>620</v>
      </c>
      <c r="AC37" s="10" t="s">
        <v>620</v>
      </c>
      <c r="AD37" s="10" t="s">
        <v>620</v>
      </c>
      <c r="AE37" s="10" t="s">
        <v>620</v>
      </c>
      <c r="AF37" s="10" t="s">
        <v>620</v>
      </c>
      <c r="AG37" s="10" t="s">
        <v>620</v>
      </c>
      <c r="AH37" s="10" t="s">
        <v>620</v>
      </c>
      <c r="AI37" s="10" t="s">
        <v>620</v>
      </c>
      <c r="AJ37" s="10" t="s">
        <v>620</v>
      </c>
      <c r="AK37" s="10" t="s">
        <v>3668</v>
      </c>
      <c r="AL37" s="10"/>
      <c r="AM37" s="10" t="s">
        <v>620</v>
      </c>
      <c r="AN37" s="10" t="s">
        <v>620</v>
      </c>
      <c r="AO37" s="10" t="s">
        <v>620</v>
      </c>
      <c r="AP37" s="10" t="s">
        <v>620</v>
      </c>
      <c r="AQ37" s="10" t="s">
        <v>620</v>
      </c>
      <c r="AR37" s="10" t="s">
        <v>620</v>
      </c>
      <c r="AS37" s="10" t="s">
        <v>620</v>
      </c>
      <c r="AT37" s="10" t="s">
        <v>620</v>
      </c>
      <c r="AU37" s="10" t="s">
        <v>620</v>
      </c>
      <c r="AV37" s="10" t="s">
        <v>13511</v>
      </c>
      <c r="AW37" s="13" t="s">
        <v>13512</v>
      </c>
      <c r="AX37" s="14"/>
      <c r="AY37" s="10" t="s">
        <v>13382</v>
      </c>
      <c r="AZ37" s="10" t="s">
        <v>13383</v>
      </c>
      <c r="BA37" s="10"/>
    </row>
    <row r="38">
      <c r="A38" s="9">
        <v>43289.81288672454</v>
      </c>
      <c r="B38" s="10" t="s">
        <v>13513</v>
      </c>
      <c r="C38" s="10" t="s">
        <v>13371</v>
      </c>
      <c r="D38" s="15" t="s">
        <v>13138</v>
      </c>
      <c r="E38" s="10" t="s">
        <v>620</v>
      </c>
      <c r="F38" s="10" t="s">
        <v>13514</v>
      </c>
      <c r="G38" s="12">
        <v>8.0</v>
      </c>
      <c r="H38" s="12">
        <v>4.0</v>
      </c>
      <c r="I38" s="10" t="s">
        <v>3668</v>
      </c>
      <c r="J38" s="10" t="s">
        <v>13515</v>
      </c>
      <c r="K38" s="10" t="s">
        <v>13516</v>
      </c>
      <c r="L38" s="10" t="s">
        <v>620</v>
      </c>
      <c r="M38" s="10" t="s">
        <v>13517</v>
      </c>
      <c r="N38" s="10" t="s">
        <v>13518</v>
      </c>
      <c r="O38" s="10" t="s">
        <v>13161</v>
      </c>
      <c r="P38" s="10" t="s">
        <v>13161</v>
      </c>
      <c r="Q38" s="10" t="s">
        <v>3668</v>
      </c>
      <c r="R38" s="10" t="s">
        <v>13350</v>
      </c>
      <c r="S38" s="10" t="s">
        <v>13519</v>
      </c>
      <c r="T38" s="10" t="s">
        <v>620</v>
      </c>
      <c r="U38" s="10" t="s">
        <v>13520</v>
      </c>
      <c r="V38" s="10" t="s">
        <v>3668</v>
      </c>
      <c r="W38" s="10" t="s">
        <v>179</v>
      </c>
      <c r="X38" s="10" t="s">
        <v>179</v>
      </c>
      <c r="Y38" s="10" t="s">
        <v>179</v>
      </c>
      <c r="Z38" s="10" t="s">
        <v>179</v>
      </c>
      <c r="AA38" s="10" t="s">
        <v>3668</v>
      </c>
      <c r="AB38" s="10" t="s">
        <v>3668</v>
      </c>
      <c r="AC38" s="10" t="s">
        <v>3668</v>
      </c>
      <c r="AD38" s="10" t="s">
        <v>3668</v>
      </c>
      <c r="AE38" s="10" t="s">
        <v>3668</v>
      </c>
      <c r="AF38" s="10" t="s">
        <v>3668</v>
      </c>
      <c r="AG38" s="10" t="s">
        <v>3668</v>
      </c>
      <c r="AH38" s="10" t="s">
        <v>179</v>
      </c>
      <c r="AI38" s="10" t="s">
        <v>179</v>
      </c>
      <c r="AJ38" s="10" t="s">
        <v>3668</v>
      </c>
      <c r="AK38" s="10" t="s">
        <v>620</v>
      </c>
      <c r="AL38" s="12">
        <v>4.0</v>
      </c>
      <c r="AM38" s="10" t="s">
        <v>13521</v>
      </c>
      <c r="AN38" s="10" t="s">
        <v>13161</v>
      </c>
      <c r="AO38" s="10" t="s">
        <v>13461</v>
      </c>
      <c r="AP38" s="10" t="s">
        <v>13469</v>
      </c>
      <c r="AQ38" s="10" t="s">
        <v>13161</v>
      </c>
      <c r="AR38" s="10" t="s">
        <v>13469</v>
      </c>
      <c r="AS38" s="10" t="s">
        <v>13161</v>
      </c>
      <c r="AT38" s="10" t="s">
        <v>13161</v>
      </c>
      <c r="AU38" s="10" t="s">
        <v>13522</v>
      </c>
      <c r="AV38" s="10" t="s">
        <v>13523</v>
      </c>
      <c r="AW38" s="10" t="s">
        <v>13524</v>
      </c>
      <c r="AX38" s="10"/>
      <c r="AY38" s="10" t="s">
        <v>301</v>
      </c>
      <c r="AZ38" s="13" t="s">
        <v>13397</v>
      </c>
      <c r="BA38" s="10"/>
    </row>
    <row r="39">
      <c r="A39" s="9">
        <v>43290.603922291666</v>
      </c>
      <c r="B39" s="10" t="s">
        <v>13283</v>
      </c>
      <c r="C39" s="10" t="s">
        <v>13284</v>
      </c>
      <c r="D39" s="16" t="s">
        <v>13157</v>
      </c>
      <c r="E39" s="10" t="s">
        <v>13525</v>
      </c>
      <c r="F39" s="10" t="s">
        <v>3943</v>
      </c>
      <c r="G39" s="12">
        <v>5.0</v>
      </c>
      <c r="H39" s="12">
        <v>5.0</v>
      </c>
      <c r="I39" s="10" t="s">
        <v>13161</v>
      </c>
      <c r="J39" s="10" t="s">
        <v>13526</v>
      </c>
      <c r="K39" s="10" t="s">
        <v>13527</v>
      </c>
      <c r="L39" s="10" t="s">
        <v>13528</v>
      </c>
      <c r="M39" s="10" t="s">
        <v>13529</v>
      </c>
      <c r="N39" s="10" t="s">
        <v>13530</v>
      </c>
      <c r="O39" s="10" t="s">
        <v>179</v>
      </c>
      <c r="P39" s="10" t="s">
        <v>13422</v>
      </c>
      <c r="Q39" s="10" t="s">
        <v>13422</v>
      </c>
      <c r="R39" s="10"/>
      <c r="S39" s="10"/>
      <c r="T39" s="10" t="s">
        <v>13531</v>
      </c>
      <c r="U39" s="10" t="s">
        <v>13532</v>
      </c>
      <c r="V39" s="10" t="s">
        <v>620</v>
      </c>
      <c r="W39" s="10" t="s">
        <v>620</v>
      </c>
      <c r="X39" s="10" t="s">
        <v>620</v>
      </c>
      <c r="Y39" s="10" t="s">
        <v>620</v>
      </c>
      <c r="Z39" s="10" t="s">
        <v>620</v>
      </c>
      <c r="AA39" s="10" t="s">
        <v>620</v>
      </c>
      <c r="AB39" s="10" t="s">
        <v>620</v>
      </c>
      <c r="AC39" s="10" t="s">
        <v>620</v>
      </c>
      <c r="AD39" s="10" t="s">
        <v>620</v>
      </c>
      <c r="AE39" s="10" t="s">
        <v>620</v>
      </c>
      <c r="AF39" s="10" t="s">
        <v>620</v>
      </c>
      <c r="AG39" s="10" t="s">
        <v>620</v>
      </c>
      <c r="AH39" s="10" t="s">
        <v>620</v>
      </c>
      <c r="AI39" s="10" t="s">
        <v>620</v>
      </c>
      <c r="AJ39" s="10" t="s">
        <v>620</v>
      </c>
      <c r="AK39" s="10" t="s">
        <v>179</v>
      </c>
      <c r="AL39" s="10"/>
      <c r="AM39" s="10" t="s">
        <v>3943</v>
      </c>
      <c r="AN39" s="10" t="s">
        <v>620</v>
      </c>
      <c r="AO39" s="10" t="s">
        <v>620</v>
      </c>
      <c r="AP39" s="10" t="s">
        <v>620</v>
      </c>
      <c r="AQ39" s="10" t="s">
        <v>620</v>
      </c>
      <c r="AR39" s="10" t="s">
        <v>620</v>
      </c>
      <c r="AS39" s="10" t="s">
        <v>620</v>
      </c>
      <c r="AT39" s="10" t="s">
        <v>620</v>
      </c>
      <c r="AU39" s="10" t="s">
        <v>3943</v>
      </c>
      <c r="AV39" s="10" t="s">
        <v>13533</v>
      </c>
      <c r="AW39" s="13" t="s">
        <v>13534</v>
      </c>
      <c r="AX39" s="10"/>
      <c r="AY39" s="10" t="s">
        <v>620</v>
      </c>
      <c r="AZ39" s="10" t="s">
        <v>13403</v>
      </c>
      <c r="BA39" s="10"/>
    </row>
    <row r="40">
      <c r="A40" s="9">
        <v>43290.61432084491</v>
      </c>
      <c r="B40" s="10" t="s">
        <v>13535</v>
      </c>
      <c r="C40" s="10" t="s">
        <v>13536</v>
      </c>
      <c r="D40" s="16" t="s">
        <v>13157</v>
      </c>
      <c r="E40" s="10" t="s">
        <v>13537</v>
      </c>
      <c r="F40" s="10" t="s">
        <v>620</v>
      </c>
      <c r="G40" s="12">
        <v>9.0</v>
      </c>
      <c r="H40" s="12">
        <v>4.0</v>
      </c>
      <c r="I40" s="10" t="s">
        <v>13161</v>
      </c>
      <c r="J40" s="10" t="s">
        <v>13538</v>
      </c>
      <c r="K40" s="10" t="s">
        <v>13539</v>
      </c>
      <c r="L40" s="10" t="s">
        <v>13540</v>
      </c>
      <c r="M40" s="10" t="s">
        <v>13541</v>
      </c>
      <c r="N40" s="10" t="s">
        <v>13542</v>
      </c>
      <c r="O40" s="10" t="s">
        <v>13161</v>
      </c>
      <c r="P40" s="10" t="s">
        <v>13422</v>
      </c>
      <c r="Q40" s="10" t="s">
        <v>13422</v>
      </c>
      <c r="R40" s="10"/>
      <c r="S40" s="13" t="s">
        <v>13543</v>
      </c>
      <c r="T40" s="10"/>
      <c r="U40" s="10" t="s">
        <v>13544</v>
      </c>
      <c r="V40" s="10" t="s">
        <v>620</v>
      </c>
      <c r="W40" s="10" t="s">
        <v>620</v>
      </c>
      <c r="X40" s="10" t="s">
        <v>620</v>
      </c>
      <c r="Y40" s="10" t="s">
        <v>620</v>
      </c>
      <c r="Z40" s="10" t="s">
        <v>620</v>
      </c>
      <c r="AA40" s="10" t="s">
        <v>620</v>
      </c>
      <c r="AB40" s="10" t="s">
        <v>620</v>
      </c>
      <c r="AC40" s="10" t="s">
        <v>620</v>
      </c>
      <c r="AD40" s="10" t="s">
        <v>620</v>
      </c>
      <c r="AE40" s="10" t="s">
        <v>620</v>
      </c>
      <c r="AF40" s="10" t="s">
        <v>620</v>
      </c>
      <c r="AG40" s="10" t="s">
        <v>620</v>
      </c>
      <c r="AH40" s="10" t="s">
        <v>620</v>
      </c>
      <c r="AI40" s="10" t="s">
        <v>620</v>
      </c>
      <c r="AJ40" s="10" t="s">
        <v>620</v>
      </c>
      <c r="AK40" s="10" t="s">
        <v>3668</v>
      </c>
      <c r="AL40" s="10"/>
      <c r="AM40" s="10" t="s">
        <v>620</v>
      </c>
      <c r="AN40" s="10" t="s">
        <v>620</v>
      </c>
      <c r="AO40" s="10" t="s">
        <v>620</v>
      </c>
      <c r="AP40" s="10" t="s">
        <v>620</v>
      </c>
      <c r="AQ40" s="10" t="s">
        <v>620</v>
      </c>
      <c r="AR40" s="10" t="s">
        <v>620</v>
      </c>
      <c r="AS40" s="10" t="s">
        <v>620</v>
      </c>
      <c r="AT40" s="10" t="s">
        <v>620</v>
      </c>
      <c r="AU40" s="10" t="s">
        <v>620</v>
      </c>
      <c r="AV40" s="10" t="s">
        <v>13545</v>
      </c>
      <c r="AW40" s="13" t="s">
        <v>13546</v>
      </c>
      <c r="AX40" s="14"/>
      <c r="AY40" s="10"/>
      <c r="AZ40" s="13" t="s">
        <v>13414</v>
      </c>
      <c r="BA40" s="14"/>
    </row>
    <row r="41">
      <c r="A41" s="9">
        <v>43290.62014403935</v>
      </c>
      <c r="B41" s="10" t="s">
        <v>13220</v>
      </c>
      <c r="C41" s="10" t="s">
        <v>13221</v>
      </c>
      <c r="D41" s="16" t="s">
        <v>13157</v>
      </c>
      <c r="E41" s="10" t="s">
        <v>13547</v>
      </c>
      <c r="F41" s="10" t="s">
        <v>620</v>
      </c>
      <c r="G41" s="12">
        <v>9.0</v>
      </c>
      <c r="H41" s="12">
        <v>5.0</v>
      </c>
      <c r="I41" s="10" t="s">
        <v>3668</v>
      </c>
      <c r="J41" s="10" t="s">
        <v>13548</v>
      </c>
      <c r="K41" s="10" t="s">
        <v>13549</v>
      </c>
      <c r="L41" s="10" t="s">
        <v>13550</v>
      </c>
      <c r="M41" s="10" t="s">
        <v>13551</v>
      </c>
      <c r="N41" s="10" t="s">
        <v>13552</v>
      </c>
      <c r="O41" s="10" t="s">
        <v>179</v>
      </c>
      <c r="P41" s="10" t="s">
        <v>13422</v>
      </c>
      <c r="Q41" s="10" t="s">
        <v>13422</v>
      </c>
      <c r="R41" s="10"/>
      <c r="S41" s="10"/>
      <c r="T41" s="10"/>
      <c r="U41" s="10" t="s">
        <v>13553</v>
      </c>
      <c r="V41" s="10" t="s">
        <v>620</v>
      </c>
      <c r="W41" s="10" t="s">
        <v>620</v>
      </c>
      <c r="X41" s="10" t="s">
        <v>620</v>
      </c>
      <c r="Y41" s="10" t="s">
        <v>620</v>
      </c>
      <c r="Z41" s="10" t="s">
        <v>620</v>
      </c>
      <c r="AA41" s="10" t="s">
        <v>620</v>
      </c>
      <c r="AB41" s="10" t="s">
        <v>620</v>
      </c>
      <c r="AC41" s="10" t="s">
        <v>620</v>
      </c>
      <c r="AD41" s="10" t="s">
        <v>620</v>
      </c>
      <c r="AE41" s="10" t="s">
        <v>620</v>
      </c>
      <c r="AF41" s="10" t="s">
        <v>620</v>
      </c>
      <c r="AG41" s="10" t="s">
        <v>620</v>
      </c>
      <c r="AH41" s="10" t="s">
        <v>620</v>
      </c>
      <c r="AI41" s="10" t="s">
        <v>620</v>
      </c>
      <c r="AJ41" s="10" t="s">
        <v>620</v>
      </c>
      <c r="AK41" s="13" t="s">
        <v>13554</v>
      </c>
      <c r="AL41" s="10"/>
      <c r="AM41" s="10" t="s">
        <v>620</v>
      </c>
      <c r="AN41" s="10" t="s">
        <v>620</v>
      </c>
      <c r="AO41" s="10" t="s">
        <v>620</v>
      </c>
      <c r="AP41" s="10" t="s">
        <v>620</v>
      </c>
      <c r="AQ41" s="10" t="s">
        <v>620</v>
      </c>
      <c r="AR41" s="10" t="s">
        <v>620</v>
      </c>
      <c r="AS41" s="10" t="s">
        <v>620</v>
      </c>
      <c r="AT41" s="10" t="s">
        <v>620</v>
      </c>
      <c r="AU41" s="10" t="s">
        <v>620</v>
      </c>
      <c r="AV41" s="10"/>
      <c r="AW41" s="13" t="s">
        <v>13555</v>
      </c>
      <c r="AX41" s="10"/>
      <c r="AY41" s="10"/>
      <c r="AZ41" s="13" t="s">
        <v>13426</v>
      </c>
      <c r="BA41" s="14"/>
    </row>
    <row r="42">
      <c r="A42" s="9">
        <v>43290.666911990746</v>
      </c>
      <c r="B42" s="10" t="s">
        <v>13294</v>
      </c>
      <c r="C42" s="10" t="s">
        <v>13358</v>
      </c>
      <c r="D42" s="15" t="s">
        <v>13138</v>
      </c>
      <c r="E42" s="10" t="s">
        <v>1417</v>
      </c>
      <c r="F42" s="10" t="s">
        <v>13556</v>
      </c>
      <c r="G42" s="12">
        <v>6.0</v>
      </c>
      <c r="H42" s="12">
        <v>4.0</v>
      </c>
      <c r="I42" s="10" t="s">
        <v>3668</v>
      </c>
      <c r="J42" s="10" t="s">
        <v>13557</v>
      </c>
      <c r="K42" s="10" t="s">
        <v>13558</v>
      </c>
      <c r="L42" s="10" t="s">
        <v>13559</v>
      </c>
      <c r="M42" s="10" t="s">
        <v>13560</v>
      </c>
      <c r="N42" s="10" t="s">
        <v>13561</v>
      </c>
      <c r="O42" s="10" t="s">
        <v>3668</v>
      </c>
      <c r="P42" s="10" t="s">
        <v>13161</v>
      </c>
      <c r="Q42" s="10" t="s">
        <v>3668</v>
      </c>
      <c r="R42" s="10" t="s">
        <v>13350</v>
      </c>
      <c r="S42" s="13" t="s">
        <v>13562</v>
      </c>
      <c r="T42" s="10"/>
      <c r="U42" s="10" t="s">
        <v>13563</v>
      </c>
      <c r="V42" s="10" t="s">
        <v>3668</v>
      </c>
      <c r="W42" s="10" t="s">
        <v>179</v>
      </c>
      <c r="X42" s="10" t="s">
        <v>3668</v>
      </c>
      <c r="Y42" s="10" t="s">
        <v>3668</v>
      </c>
      <c r="Z42" s="10" t="s">
        <v>3668</v>
      </c>
      <c r="AA42" s="10" t="s">
        <v>3668</v>
      </c>
      <c r="AB42" s="10" t="s">
        <v>179</v>
      </c>
      <c r="AC42" s="10" t="s">
        <v>3668</v>
      </c>
      <c r="AD42" s="10" t="s">
        <v>3668</v>
      </c>
      <c r="AE42" s="10" t="s">
        <v>179</v>
      </c>
      <c r="AF42" s="10" t="s">
        <v>3668</v>
      </c>
      <c r="AG42" s="10" t="s">
        <v>3668</v>
      </c>
      <c r="AH42" s="10" t="s">
        <v>179</v>
      </c>
      <c r="AI42" s="10" t="s">
        <v>179</v>
      </c>
      <c r="AJ42" s="10" t="s">
        <v>3668</v>
      </c>
      <c r="AK42" s="10" t="s">
        <v>1417</v>
      </c>
      <c r="AL42" s="12">
        <v>4.0</v>
      </c>
      <c r="AM42" s="10" t="s">
        <v>13564</v>
      </c>
      <c r="AN42" s="10" t="s">
        <v>13461</v>
      </c>
      <c r="AO42" s="10" t="s">
        <v>13461</v>
      </c>
      <c r="AP42" s="10" t="s">
        <v>13469</v>
      </c>
      <c r="AQ42" s="10" t="s">
        <v>13565</v>
      </c>
      <c r="AR42" s="10" t="s">
        <v>13565</v>
      </c>
      <c r="AS42" s="10" t="s">
        <v>13461</v>
      </c>
      <c r="AT42" s="10" t="s">
        <v>13469</v>
      </c>
      <c r="AU42" s="10" t="s">
        <v>13566</v>
      </c>
      <c r="AV42" s="10" t="s">
        <v>13567</v>
      </c>
      <c r="AW42" s="13" t="s">
        <v>13568</v>
      </c>
      <c r="AX42" s="14"/>
      <c r="AY42" s="10" t="s">
        <v>13438</v>
      </c>
      <c r="AZ42" s="13" t="s">
        <v>13439</v>
      </c>
      <c r="BA42" s="14"/>
    </row>
    <row r="43">
      <c r="A43" s="9">
        <v>43290.705763136575</v>
      </c>
      <c r="B43" s="10" t="s">
        <v>13463</v>
      </c>
      <c r="C43" s="10" t="s">
        <v>13464</v>
      </c>
      <c r="D43" s="15" t="s">
        <v>13138</v>
      </c>
      <c r="E43" s="10" t="s">
        <v>3943</v>
      </c>
      <c r="F43" s="10" t="s">
        <v>13569</v>
      </c>
      <c r="G43" s="12">
        <v>6.0</v>
      </c>
      <c r="H43" s="12">
        <v>5.0</v>
      </c>
      <c r="I43" s="10" t="s">
        <v>3668</v>
      </c>
      <c r="J43" s="10" t="s">
        <v>13570</v>
      </c>
      <c r="K43" s="10" t="s">
        <v>13571</v>
      </c>
      <c r="L43" s="10" t="s">
        <v>528</v>
      </c>
      <c r="M43" s="10" t="s">
        <v>13572</v>
      </c>
      <c r="N43" s="10" t="s">
        <v>13573</v>
      </c>
      <c r="O43" s="10" t="s">
        <v>3668</v>
      </c>
      <c r="P43" s="10" t="s">
        <v>179</v>
      </c>
      <c r="Q43" s="10" t="s">
        <v>13161</v>
      </c>
      <c r="R43" s="10" t="s">
        <v>13364</v>
      </c>
      <c r="S43" s="10" t="s">
        <v>13455</v>
      </c>
      <c r="T43" s="10" t="s">
        <v>179</v>
      </c>
      <c r="U43" s="10" t="s">
        <v>13574</v>
      </c>
      <c r="V43" s="10" t="s">
        <v>3668</v>
      </c>
      <c r="W43" s="10" t="s">
        <v>179</v>
      </c>
      <c r="X43" s="10" t="s">
        <v>179</v>
      </c>
      <c r="Y43" s="10" t="s">
        <v>3668</v>
      </c>
      <c r="Z43" s="10" t="s">
        <v>3668</v>
      </c>
      <c r="AA43" s="10" t="s">
        <v>179</v>
      </c>
      <c r="AB43" s="10" t="s">
        <v>3668</v>
      </c>
      <c r="AC43" s="10" t="s">
        <v>3668</v>
      </c>
      <c r="AD43" s="10" t="s">
        <v>3668</v>
      </c>
      <c r="AE43" s="10" t="s">
        <v>3668</v>
      </c>
      <c r="AF43" s="10" t="s">
        <v>179</v>
      </c>
      <c r="AG43" s="10" t="s">
        <v>179</v>
      </c>
      <c r="AH43" s="10" t="s">
        <v>3668</v>
      </c>
      <c r="AI43" s="10" t="s">
        <v>179</v>
      </c>
      <c r="AJ43" s="10" t="s">
        <v>3668</v>
      </c>
      <c r="AK43" s="10" t="s">
        <v>3943</v>
      </c>
      <c r="AL43" s="12">
        <v>5.0</v>
      </c>
      <c r="AM43" s="10" t="s">
        <v>13575</v>
      </c>
      <c r="AN43" s="10" t="s">
        <v>13461</v>
      </c>
      <c r="AO43" s="10" t="s">
        <v>13161</v>
      </c>
      <c r="AP43" s="10" t="s">
        <v>13469</v>
      </c>
      <c r="AQ43" s="10" t="s">
        <v>13565</v>
      </c>
      <c r="AR43" s="10" t="s">
        <v>13469</v>
      </c>
      <c r="AS43" s="10" t="s">
        <v>13461</v>
      </c>
      <c r="AT43" s="10" t="s">
        <v>13461</v>
      </c>
      <c r="AU43" s="10" t="s">
        <v>3943</v>
      </c>
      <c r="AV43" s="10" t="s">
        <v>179</v>
      </c>
      <c r="AW43" s="10" t="s">
        <v>13576</v>
      </c>
      <c r="AX43" s="10"/>
      <c r="AY43" s="10" t="s">
        <v>13449</v>
      </c>
      <c r="AZ43" s="13" t="s">
        <v>13450</v>
      </c>
      <c r="BA43" s="14"/>
    </row>
    <row r="44">
      <c r="A44" s="9">
        <v>43290.8466018287</v>
      </c>
      <c r="B44" s="10" t="s">
        <v>13577</v>
      </c>
      <c r="C44" s="10" t="s">
        <v>13556</v>
      </c>
      <c r="D44" s="16" t="s">
        <v>13157</v>
      </c>
      <c r="E44" s="10" t="s">
        <v>13358</v>
      </c>
      <c r="F44" s="10" t="s">
        <v>620</v>
      </c>
      <c r="G44" s="12">
        <v>9.0</v>
      </c>
      <c r="H44" s="12">
        <v>5.0</v>
      </c>
      <c r="I44" s="10" t="s">
        <v>3668</v>
      </c>
      <c r="J44" s="10" t="s">
        <v>13578</v>
      </c>
      <c r="K44" s="10" t="s">
        <v>13579</v>
      </c>
      <c r="L44" s="10" t="s">
        <v>13580</v>
      </c>
      <c r="M44" s="10" t="s">
        <v>13581</v>
      </c>
      <c r="N44" s="10" t="s">
        <v>13582</v>
      </c>
      <c r="O44" s="10" t="s">
        <v>13161</v>
      </c>
      <c r="P44" s="10" t="s">
        <v>13422</v>
      </c>
      <c r="Q44" s="10" t="s">
        <v>13422</v>
      </c>
      <c r="R44" s="10"/>
      <c r="S44" s="13" t="s">
        <v>13583</v>
      </c>
      <c r="T44" s="10"/>
      <c r="U44" s="10" t="s">
        <v>13584</v>
      </c>
      <c r="V44" s="10" t="s">
        <v>620</v>
      </c>
      <c r="W44" s="10" t="s">
        <v>620</v>
      </c>
      <c r="X44" s="10" t="s">
        <v>620</v>
      </c>
      <c r="Y44" s="10" t="s">
        <v>620</v>
      </c>
      <c r="Z44" s="10" t="s">
        <v>620</v>
      </c>
      <c r="AA44" s="10" t="s">
        <v>620</v>
      </c>
      <c r="AB44" s="10" t="s">
        <v>620</v>
      </c>
      <c r="AC44" s="10" t="s">
        <v>620</v>
      </c>
      <c r="AD44" s="10" t="s">
        <v>620</v>
      </c>
      <c r="AE44" s="10" t="s">
        <v>620</v>
      </c>
      <c r="AF44" s="10" t="s">
        <v>620</v>
      </c>
      <c r="AG44" s="10" t="s">
        <v>620</v>
      </c>
      <c r="AH44" s="10" t="s">
        <v>620</v>
      </c>
      <c r="AI44" s="10" t="s">
        <v>620</v>
      </c>
      <c r="AJ44" s="10" t="s">
        <v>620</v>
      </c>
      <c r="AK44" s="10" t="s">
        <v>13585</v>
      </c>
      <c r="AL44" s="10"/>
      <c r="AM44" s="10" t="s">
        <v>620</v>
      </c>
      <c r="AN44" s="10" t="s">
        <v>620</v>
      </c>
      <c r="AO44" s="10" t="s">
        <v>620</v>
      </c>
      <c r="AP44" s="10" t="s">
        <v>620</v>
      </c>
      <c r="AQ44" s="10" t="s">
        <v>620</v>
      </c>
      <c r="AR44" s="10" t="s">
        <v>620</v>
      </c>
      <c r="AS44" s="10" t="s">
        <v>620</v>
      </c>
      <c r="AT44" s="10" t="s">
        <v>620</v>
      </c>
      <c r="AU44" s="10" t="s">
        <v>620</v>
      </c>
      <c r="AV44" s="10" t="s">
        <v>13586</v>
      </c>
      <c r="AW44" s="13" t="s">
        <v>13587</v>
      </c>
      <c r="AX44" s="14"/>
      <c r="AY44" s="10"/>
      <c r="AZ44" s="10" t="s">
        <v>13462</v>
      </c>
      <c r="BA44" s="10"/>
    </row>
    <row r="45">
      <c r="A45" s="9">
        <v>43293.54468377314</v>
      </c>
      <c r="B45" s="10" t="s">
        <v>13588</v>
      </c>
      <c r="C45" s="10" t="s">
        <v>13589</v>
      </c>
      <c r="D45" s="16" t="s">
        <v>13157</v>
      </c>
      <c r="E45" s="10" t="s">
        <v>13590</v>
      </c>
      <c r="F45" s="10" t="s">
        <v>620</v>
      </c>
      <c r="G45" s="12">
        <v>9.0</v>
      </c>
      <c r="H45" s="12">
        <v>4.0</v>
      </c>
      <c r="I45" s="10" t="s">
        <v>3668</v>
      </c>
      <c r="J45" s="10" t="s">
        <v>13591</v>
      </c>
      <c r="K45" s="10" t="s">
        <v>13592</v>
      </c>
      <c r="L45" s="10" t="s">
        <v>13593</v>
      </c>
      <c r="M45" s="10" t="s">
        <v>13594</v>
      </c>
      <c r="N45" s="10" t="s">
        <v>13595</v>
      </c>
      <c r="O45" s="10" t="s">
        <v>3668</v>
      </c>
      <c r="P45" s="10" t="s">
        <v>13422</v>
      </c>
      <c r="Q45" s="10" t="s">
        <v>13422</v>
      </c>
      <c r="R45" s="10"/>
      <c r="S45" s="13" t="s">
        <v>13596</v>
      </c>
      <c r="T45" s="10"/>
      <c r="U45" s="10" t="s">
        <v>13597</v>
      </c>
      <c r="V45" s="10" t="s">
        <v>620</v>
      </c>
      <c r="W45" s="10" t="s">
        <v>620</v>
      </c>
      <c r="X45" s="10" t="s">
        <v>620</v>
      </c>
      <c r="Y45" s="10" t="s">
        <v>620</v>
      </c>
      <c r="Z45" s="10" t="s">
        <v>620</v>
      </c>
      <c r="AA45" s="10" t="s">
        <v>620</v>
      </c>
      <c r="AB45" s="10" t="s">
        <v>620</v>
      </c>
      <c r="AC45" s="10" t="s">
        <v>620</v>
      </c>
      <c r="AD45" s="10" t="s">
        <v>620</v>
      </c>
      <c r="AE45" s="10" t="s">
        <v>620</v>
      </c>
      <c r="AF45" s="10" t="s">
        <v>620</v>
      </c>
      <c r="AG45" s="10" t="s">
        <v>620</v>
      </c>
      <c r="AH45" s="10" t="s">
        <v>620</v>
      </c>
      <c r="AI45" s="10" t="s">
        <v>620</v>
      </c>
      <c r="AJ45" s="10" t="s">
        <v>620</v>
      </c>
      <c r="AK45" s="10" t="s">
        <v>620</v>
      </c>
      <c r="AL45" s="10"/>
      <c r="AM45" s="10" t="s">
        <v>620</v>
      </c>
      <c r="AN45" s="10" t="s">
        <v>620</v>
      </c>
      <c r="AO45" s="10" t="s">
        <v>620</v>
      </c>
      <c r="AP45" s="10" t="s">
        <v>620</v>
      </c>
      <c r="AQ45" s="10" t="s">
        <v>620</v>
      </c>
      <c r="AR45" s="10" t="s">
        <v>620</v>
      </c>
      <c r="AS45" s="10" t="s">
        <v>620</v>
      </c>
      <c r="AT45" s="10" t="s">
        <v>620</v>
      </c>
      <c r="AU45" s="10" t="s">
        <v>620</v>
      </c>
      <c r="AV45" s="10"/>
      <c r="AW45" s="13" t="s">
        <v>13598</v>
      </c>
      <c r="AX45" s="14"/>
      <c r="AY45" s="10"/>
      <c r="AZ45" s="13" t="s">
        <v>13470</v>
      </c>
      <c r="BA45" s="10"/>
    </row>
    <row r="46">
      <c r="A46" s="9">
        <v>43294.03413576389</v>
      </c>
      <c r="B46" s="10" t="s">
        <v>13599</v>
      </c>
      <c r="C46" s="10" t="s">
        <v>13600</v>
      </c>
      <c r="D46" s="16" t="s">
        <v>13157</v>
      </c>
      <c r="E46" s="10" t="s">
        <v>13601</v>
      </c>
      <c r="F46" s="10" t="s">
        <v>258</v>
      </c>
      <c r="G46" s="12">
        <v>5.0</v>
      </c>
      <c r="H46" s="12">
        <v>5.0</v>
      </c>
      <c r="I46" s="10" t="s">
        <v>13161</v>
      </c>
      <c r="J46" s="10" t="s">
        <v>13602</v>
      </c>
      <c r="K46" s="10" t="s">
        <v>13603</v>
      </c>
      <c r="L46" s="10" t="s">
        <v>13604</v>
      </c>
      <c r="M46" s="10" t="s">
        <v>13605</v>
      </c>
      <c r="N46" s="10" t="s">
        <v>13606</v>
      </c>
      <c r="O46" s="10" t="s">
        <v>179</v>
      </c>
      <c r="P46" s="10" t="s">
        <v>13422</v>
      </c>
      <c r="Q46" s="10" t="s">
        <v>13422</v>
      </c>
      <c r="R46" s="10"/>
      <c r="S46" s="10" t="s">
        <v>13607</v>
      </c>
      <c r="T46" s="10" t="s">
        <v>13608</v>
      </c>
      <c r="U46" s="10" t="s">
        <v>13609</v>
      </c>
      <c r="V46" s="10" t="s">
        <v>620</v>
      </c>
      <c r="W46" s="10" t="s">
        <v>620</v>
      </c>
      <c r="X46" s="10" t="s">
        <v>620</v>
      </c>
      <c r="Y46" s="10" t="s">
        <v>620</v>
      </c>
      <c r="Z46" s="10" t="s">
        <v>620</v>
      </c>
      <c r="AA46" s="10" t="s">
        <v>620</v>
      </c>
      <c r="AB46" s="10" t="s">
        <v>620</v>
      </c>
      <c r="AC46" s="10" t="s">
        <v>620</v>
      </c>
      <c r="AD46" s="10" t="s">
        <v>620</v>
      </c>
      <c r="AE46" s="10" t="s">
        <v>620</v>
      </c>
      <c r="AF46" s="10" t="s">
        <v>620</v>
      </c>
      <c r="AG46" s="10" t="s">
        <v>620</v>
      </c>
      <c r="AH46" s="10" t="s">
        <v>620</v>
      </c>
      <c r="AI46" s="10" t="s">
        <v>620</v>
      </c>
      <c r="AJ46" s="10" t="s">
        <v>620</v>
      </c>
      <c r="AK46" s="10" t="s">
        <v>4299</v>
      </c>
      <c r="AL46" s="10"/>
      <c r="AM46" s="10" t="s">
        <v>258</v>
      </c>
      <c r="AN46" s="10" t="s">
        <v>620</v>
      </c>
      <c r="AO46" s="10" t="s">
        <v>620</v>
      </c>
      <c r="AP46" s="10" t="s">
        <v>620</v>
      </c>
      <c r="AQ46" s="10" t="s">
        <v>620</v>
      </c>
      <c r="AR46" s="10" t="s">
        <v>620</v>
      </c>
      <c r="AS46" s="10" t="s">
        <v>620</v>
      </c>
      <c r="AT46" s="10" t="s">
        <v>620</v>
      </c>
      <c r="AU46" s="10" t="s">
        <v>258</v>
      </c>
      <c r="AV46" s="10" t="s">
        <v>13610</v>
      </c>
      <c r="AW46" s="13" t="s">
        <v>13611</v>
      </c>
      <c r="AX46" s="10"/>
      <c r="AY46" s="10"/>
      <c r="AZ46" s="13" t="s">
        <v>13480</v>
      </c>
      <c r="BA46" s="14"/>
    </row>
    <row r="47">
      <c r="A47" s="9">
        <v>43296.6057065625</v>
      </c>
      <c r="B47" s="10" t="s">
        <v>13404</v>
      </c>
      <c r="C47" s="10" t="s">
        <v>13525</v>
      </c>
      <c r="D47" s="15" t="s">
        <v>13138</v>
      </c>
      <c r="E47" s="10" t="s">
        <v>620</v>
      </c>
      <c r="F47" s="10" t="s">
        <v>13284</v>
      </c>
      <c r="G47" s="12">
        <v>6.0</v>
      </c>
      <c r="H47" s="12">
        <v>5.0</v>
      </c>
      <c r="I47" s="10" t="s">
        <v>3668</v>
      </c>
      <c r="J47" s="10" t="s">
        <v>13612</v>
      </c>
      <c r="K47" s="10" t="s">
        <v>13613</v>
      </c>
      <c r="L47" s="10" t="s">
        <v>13614</v>
      </c>
      <c r="M47" s="10" t="s">
        <v>13615</v>
      </c>
      <c r="N47" s="10" t="s">
        <v>13616</v>
      </c>
      <c r="O47" s="10" t="s">
        <v>3668</v>
      </c>
      <c r="P47" s="10" t="s">
        <v>3668</v>
      </c>
      <c r="Q47" s="10" t="s">
        <v>3668</v>
      </c>
      <c r="R47" s="10" t="s">
        <v>13392</v>
      </c>
      <c r="S47" s="10"/>
      <c r="T47" s="10"/>
      <c r="U47" s="10" t="s">
        <v>1558</v>
      </c>
      <c r="V47" s="10" t="s">
        <v>3668</v>
      </c>
      <c r="W47" s="10" t="s">
        <v>3668</v>
      </c>
      <c r="X47" s="10" t="s">
        <v>179</v>
      </c>
      <c r="Y47" s="10" t="s">
        <v>3668</v>
      </c>
      <c r="Z47" s="10" t="s">
        <v>3668</v>
      </c>
      <c r="AA47" s="10" t="s">
        <v>3668</v>
      </c>
      <c r="AB47" s="10" t="s">
        <v>179</v>
      </c>
      <c r="AC47" s="10" t="s">
        <v>3668</v>
      </c>
      <c r="AD47" s="10" t="s">
        <v>3668</v>
      </c>
      <c r="AE47" s="10" t="s">
        <v>179</v>
      </c>
      <c r="AF47" s="10" t="s">
        <v>3668</v>
      </c>
      <c r="AG47" s="10" t="s">
        <v>3668</v>
      </c>
      <c r="AH47" s="10" t="s">
        <v>3668</v>
      </c>
      <c r="AI47" s="10" t="s">
        <v>3668</v>
      </c>
      <c r="AJ47" s="10" t="s">
        <v>3668</v>
      </c>
      <c r="AK47" s="10" t="s">
        <v>620</v>
      </c>
      <c r="AL47" s="12">
        <v>5.0</v>
      </c>
      <c r="AM47" s="10" t="s">
        <v>13617</v>
      </c>
      <c r="AN47" s="10" t="s">
        <v>13565</v>
      </c>
      <c r="AO47" s="10" t="s">
        <v>13161</v>
      </c>
      <c r="AP47" s="10" t="s">
        <v>13565</v>
      </c>
      <c r="AQ47" s="10" t="s">
        <v>13565</v>
      </c>
      <c r="AR47" s="10" t="s">
        <v>13565</v>
      </c>
      <c r="AS47" s="10" t="s">
        <v>13469</v>
      </c>
      <c r="AT47" s="10" t="s">
        <v>13565</v>
      </c>
      <c r="AU47" s="10" t="s">
        <v>620</v>
      </c>
      <c r="AV47" s="10"/>
      <c r="AW47" s="13" t="s">
        <v>13618</v>
      </c>
      <c r="AX47" s="14"/>
      <c r="AY47" s="10"/>
      <c r="AZ47" s="10" t="s">
        <v>13490</v>
      </c>
      <c r="BA47" s="10"/>
    </row>
    <row r="48">
      <c r="A48" s="9">
        <v>43296.99923346065</v>
      </c>
      <c r="B48" s="10" t="s">
        <v>13471</v>
      </c>
      <c r="C48" s="10" t="s">
        <v>13199</v>
      </c>
      <c r="D48" s="15" t="s">
        <v>13138</v>
      </c>
      <c r="E48" s="10" t="s">
        <v>1417</v>
      </c>
      <c r="F48" s="10" t="s">
        <v>13619</v>
      </c>
      <c r="G48" s="12">
        <v>9.0</v>
      </c>
      <c r="H48" s="12">
        <v>5.0</v>
      </c>
      <c r="I48" s="10" t="s">
        <v>3668</v>
      </c>
      <c r="J48" s="10" t="s">
        <v>13620</v>
      </c>
      <c r="K48" s="10" t="s">
        <v>13621</v>
      </c>
      <c r="L48" s="10" t="s">
        <v>13622</v>
      </c>
      <c r="M48" s="10" t="s">
        <v>13623</v>
      </c>
      <c r="N48" s="10" t="s">
        <v>13624</v>
      </c>
      <c r="O48" s="10" t="s">
        <v>3668</v>
      </c>
      <c r="P48" s="10" t="s">
        <v>13161</v>
      </c>
      <c r="Q48" s="10" t="s">
        <v>3668</v>
      </c>
      <c r="R48" s="13" t="s">
        <v>13625</v>
      </c>
      <c r="S48" s="10"/>
      <c r="T48" s="10"/>
      <c r="U48" s="10" t="s">
        <v>13626</v>
      </c>
      <c r="V48" s="10" t="s">
        <v>3668</v>
      </c>
      <c r="W48" s="10" t="s">
        <v>3668</v>
      </c>
      <c r="X48" s="10" t="s">
        <v>3668</v>
      </c>
      <c r="Y48" s="10" t="s">
        <v>3668</v>
      </c>
      <c r="Z48" s="10" t="s">
        <v>3668</v>
      </c>
      <c r="AA48" s="10" t="s">
        <v>3668</v>
      </c>
      <c r="AB48" s="10" t="s">
        <v>3668</v>
      </c>
      <c r="AC48" s="10" t="s">
        <v>3668</v>
      </c>
      <c r="AD48" s="10" t="s">
        <v>3668</v>
      </c>
      <c r="AE48" s="10" t="s">
        <v>3668</v>
      </c>
      <c r="AF48" s="10" t="s">
        <v>3668</v>
      </c>
      <c r="AG48" s="10" t="s">
        <v>3668</v>
      </c>
      <c r="AH48" s="10" t="s">
        <v>3668</v>
      </c>
      <c r="AI48" s="10" t="s">
        <v>3668</v>
      </c>
      <c r="AJ48" s="10" t="s">
        <v>3668</v>
      </c>
      <c r="AK48" s="10" t="s">
        <v>1417</v>
      </c>
      <c r="AL48" s="12">
        <v>4.0</v>
      </c>
      <c r="AM48" s="10" t="s">
        <v>13627</v>
      </c>
      <c r="AN48" s="10" t="s">
        <v>13469</v>
      </c>
      <c r="AO48" s="10" t="s">
        <v>13161</v>
      </c>
      <c r="AP48" s="10" t="s">
        <v>13469</v>
      </c>
      <c r="AQ48" s="10" t="s">
        <v>13469</v>
      </c>
      <c r="AR48" s="10" t="s">
        <v>13469</v>
      </c>
      <c r="AS48" s="10" t="s">
        <v>13161</v>
      </c>
      <c r="AT48" s="10" t="s">
        <v>13469</v>
      </c>
      <c r="AU48" s="10" t="s">
        <v>1417</v>
      </c>
      <c r="AV48" s="10"/>
      <c r="AW48" s="13" t="s">
        <v>13628</v>
      </c>
      <c r="AX48" s="10"/>
      <c r="AY48" s="10"/>
      <c r="AZ48" s="13" t="s">
        <v>13499</v>
      </c>
      <c r="BA48" s="14"/>
    </row>
    <row r="49">
      <c r="A49" s="9">
        <v>43297.681756446764</v>
      </c>
      <c r="B49" s="10" t="s">
        <v>13343</v>
      </c>
      <c r="C49" s="10" t="s">
        <v>13191</v>
      </c>
      <c r="D49" s="15" t="s">
        <v>13138</v>
      </c>
      <c r="E49" s="10" t="s">
        <v>13514</v>
      </c>
      <c r="F49" s="10" t="s">
        <v>620</v>
      </c>
      <c r="G49" s="12">
        <v>9.0</v>
      </c>
      <c r="H49" s="12">
        <v>5.0</v>
      </c>
      <c r="I49" s="10" t="s">
        <v>3668</v>
      </c>
      <c r="J49" s="10" t="s">
        <v>13629</v>
      </c>
      <c r="K49" s="10" t="s">
        <v>13630</v>
      </c>
      <c r="L49" s="10" t="s">
        <v>13631</v>
      </c>
      <c r="M49" s="10" t="s">
        <v>13632</v>
      </c>
      <c r="N49" s="10" t="s">
        <v>13633</v>
      </c>
      <c r="O49" s="10" t="s">
        <v>179</v>
      </c>
      <c r="P49" s="10" t="s">
        <v>13161</v>
      </c>
      <c r="Q49" s="10" t="s">
        <v>13161</v>
      </c>
      <c r="R49" s="10" t="s">
        <v>13634</v>
      </c>
      <c r="S49" s="10" t="s">
        <v>13635</v>
      </c>
      <c r="T49" s="10" t="s">
        <v>179</v>
      </c>
      <c r="U49" s="10" t="s">
        <v>13636</v>
      </c>
      <c r="V49" s="10" t="s">
        <v>179</v>
      </c>
      <c r="W49" s="10" t="s">
        <v>3668</v>
      </c>
      <c r="X49" s="10" t="s">
        <v>179</v>
      </c>
      <c r="Y49" s="10" t="s">
        <v>3668</v>
      </c>
      <c r="Z49" s="10" t="s">
        <v>3668</v>
      </c>
      <c r="AA49" s="10" t="s">
        <v>179</v>
      </c>
      <c r="AB49" s="10" t="s">
        <v>179</v>
      </c>
      <c r="AC49" s="10" t="s">
        <v>3668</v>
      </c>
      <c r="AD49" s="10" t="s">
        <v>179</v>
      </c>
      <c r="AE49" s="10" t="s">
        <v>3668</v>
      </c>
      <c r="AF49" s="10" t="s">
        <v>3668</v>
      </c>
      <c r="AG49" s="10" t="s">
        <v>3668</v>
      </c>
      <c r="AH49" s="10" t="s">
        <v>179</v>
      </c>
      <c r="AI49" s="10" t="s">
        <v>179</v>
      </c>
      <c r="AJ49" s="10" t="s">
        <v>3668</v>
      </c>
      <c r="AK49" s="10" t="s">
        <v>620</v>
      </c>
      <c r="AL49" s="12">
        <v>3.0</v>
      </c>
      <c r="AM49" s="10" t="s">
        <v>13637</v>
      </c>
      <c r="AN49" s="10" t="s">
        <v>13461</v>
      </c>
      <c r="AO49" s="10" t="s">
        <v>13461</v>
      </c>
      <c r="AP49" s="10" t="s">
        <v>13161</v>
      </c>
      <c r="AQ49" s="10" t="s">
        <v>13161</v>
      </c>
      <c r="AR49" s="10" t="s">
        <v>13161</v>
      </c>
      <c r="AS49" s="10" t="s">
        <v>13461</v>
      </c>
      <c r="AT49" s="10" t="s">
        <v>13161</v>
      </c>
      <c r="AU49" s="10" t="s">
        <v>620</v>
      </c>
      <c r="AV49" s="10" t="s">
        <v>179</v>
      </c>
      <c r="AW49" s="13" t="s">
        <v>13638</v>
      </c>
      <c r="AX49" s="14"/>
      <c r="AY49" s="10" t="s">
        <v>13511</v>
      </c>
      <c r="AZ49" s="13" t="s">
        <v>13512</v>
      </c>
      <c r="BA49" s="14"/>
    </row>
    <row r="50">
      <c r="A50" s="9">
        <v>43304.738570416666</v>
      </c>
      <c r="B50" s="10" t="s">
        <v>13330</v>
      </c>
      <c r="C50" s="10" t="s">
        <v>13331</v>
      </c>
      <c r="D50" s="15" t="s">
        <v>13138</v>
      </c>
      <c r="E50" s="10" t="s">
        <v>620</v>
      </c>
      <c r="F50" s="10" t="s">
        <v>13639</v>
      </c>
      <c r="G50" s="12">
        <v>6.0</v>
      </c>
      <c r="H50" s="12">
        <v>4.0</v>
      </c>
      <c r="I50" s="10" t="s">
        <v>3668</v>
      </c>
      <c r="J50" s="10" t="s">
        <v>13640</v>
      </c>
      <c r="K50" s="10" t="s">
        <v>13641</v>
      </c>
      <c r="L50" s="10" t="s">
        <v>13642</v>
      </c>
      <c r="M50" s="10" t="s">
        <v>13643</v>
      </c>
      <c r="N50" s="10" t="s">
        <v>13644</v>
      </c>
      <c r="O50" s="10" t="s">
        <v>3668</v>
      </c>
      <c r="P50" s="10" t="s">
        <v>13161</v>
      </c>
      <c r="Q50" s="10" t="s">
        <v>3668</v>
      </c>
      <c r="R50" s="10" t="s">
        <v>13392</v>
      </c>
      <c r="S50" s="10" t="s">
        <v>620</v>
      </c>
      <c r="T50" s="10" t="s">
        <v>179</v>
      </c>
      <c r="U50" s="10" t="s">
        <v>13645</v>
      </c>
      <c r="V50" s="10" t="s">
        <v>179</v>
      </c>
      <c r="W50" s="10" t="s">
        <v>179</v>
      </c>
      <c r="X50" s="10" t="s">
        <v>3668</v>
      </c>
      <c r="Y50" s="10" t="s">
        <v>3668</v>
      </c>
      <c r="Z50" s="10" t="s">
        <v>3668</v>
      </c>
      <c r="AA50" s="10" t="s">
        <v>3668</v>
      </c>
      <c r="AB50" s="10" t="s">
        <v>3668</v>
      </c>
      <c r="AC50" s="10" t="s">
        <v>179</v>
      </c>
      <c r="AD50" s="10" t="s">
        <v>179</v>
      </c>
      <c r="AE50" s="10" t="s">
        <v>3668</v>
      </c>
      <c r="AF50" s="10" t="s">
        <v>3668</v>
      </c>
      <c r="AG50" s="10" t="s">
        <v>3668</v>
      </c>
      <c r="AH50" s="10" t="s">
        <v>179</v>
      </c>
      <c r="AI50" s="10" t="s">
        <v>3668</v>
      </c>
      <c r="AJ50" s="10" t="s">
        <v>3668</v>
      </c>
      <c r="AK50" s="10" t="s">
        <v>620</v>
      </c>
      <c r="AL50" s="12">
        <v>4.0</v>
      </c>
      <c r="AM50" s="10" t="s">
        <v>13646</v>
      </c>
      <c r="AN50" s="10" t="s">
        <v>13161</v>
      </c>
      <c r="AO50" s="10" t="s">
        <v>13161</v>
      </c>
      <c r="AP50" s="10" t="s">
        <v>13565</v>
      </c>
      <c r="AQ50" s="10" t="s">
        <v>13565</v>
      </c>
      <c r="AR50" s="10" t="s">
        <v>13565</v>
      </c>
      <c r="AS50" s="10" t="s">
        <v>13565</v>
      </c>
      <c r="AT50" s="10" t="s">
        <v>13565</v>
      </c>
      <c r="AU50" s="10" t="s">
        <v>620</v>
      </c>
      <c r="AV50" s="10" t="s">
        <v>13647</v>
      </c>
      <c r="AW50" s="13" t="s">
        <v>13648</v>
      </c>
      <c r="AX50" s="14"/>
      <c r="AY50" s="10" t="s">
        <v>13523</v>
      </c>
      <c r="AZ50" s="10" t="s">
        <v>13524</v>
      </c>
      <c r="BA50" s="10"/>
    </row>
    <row r="51">
      <c r="A51" s="9">
        <v>43305.76082202546</v>
      </c>
      <c r="B51" s="10" t="s">
        <v>13649</v>
      </c>
      <c r="C51" s="10" t="s">
        <v>13650</v>
      </c>
      <c r="D51" s="15" t="s">
        <v>13138</v>
      </c>
      <c r="E51" s="10" t="s">
        <v>258</v>
      </c>
      <c r="F51" s="10" t="s">
        <v>13482</v>
      </c>
      <c r="G51" s="12">
        <v>7.0</v>
      </c>
      <c r="H51" s="12">
        <v>4.0</v>
      </c>
      <c r="I51" s="10" t="s">
        <v>3668</v>
      </c>
      <c r="J51" s="10" t="s">
        <v>13651</v>
      </c>
      <c r="K51" s="10" t="s">
        <v>13652</v>
      </c>
      <c r="L51" s="10" t="s">
        <v>13653</v>
      </c>
      <c r="M51" s="10" t="s">
        <v>7289</v>
      </c>
      <c r="N51" s="10" t="s">
        <v>13654</v>
      </c>
      <c r="O51" s="10" t="s">
        <v>3668</v>
      </c>
      <c r="P51" s="10" t="s">
        <v>179</v>
      </c>
      <c r="Q51" s="10" t="s">
        <v>13161</v>
      </c>
      <c r="R51" s="10" t="s">
        <v>13655</v>
      </c>
      <c r="S51" s="10" t="s">
        <v>258</v>
      </c>
      <c r="T51" s="10" t="s">
        <v>258</v>
      </c>
      <c r="U51" s="10" t="s">
        <v>13656</v>
      </c>
      <c r="V51" s="10" t="s">
        <v>3668</v>
      </c>
      <c r="W51" s="10" t="s">
        <v>3668</v>
      </c>
      <c r="X51" s="10" t="s">
        <v>3668</v>
      </c>
      <c r="Y51" s="10" t="s">
        <v>3668</v>
      </c>
      <c r="Z51" s="10" t="s">
        <v>179</v>
      </c>
      <c r="AA51" s="10" t="s">
        <v>179</v>
      </c>
      <c r="AB51" s="10" t="s">
        <v>179</v>
      </c>
      <c r="AC51" s="10" t="s">
        <v>3668</v>
      </c>
      <c r="AD51" s="10" t="s">
        <v>3668</v>
      </c>
      <c r="AE51" s="10" t="s">
        <v>3668</v>
      </c>
      <c r="AF51" s="10" t="s">
        <v>179</v>
      </c>
      <c r="AG51" s="10" t="s">
        <v>3668</v>
      </c>
      <c r="AH51" s="10" t="s">
        <v>3668</v>
      </c>
      <c r="AI51" s="10" t="s">
        <v>3668</v>
      </c>
      <c r="AJ51" s="10" t="s">
        <v>179</v>
      </c>
      <c r="AK51" s="10" t="s">
        <v>258</v>
      </c>
      <c r="AL51" s="12">
        <v>5.0</v>
      </c>
      <c r="AM51" s="10" t="s">
        <v>13657</v>
      </c>
      <c r="AN51" s="10" t="s">
        <v>13461</v>
      </c>
      <c r="AO51" s="10" t="s">
        <v>13161</v>
      </c>
      <c r="AP51" s="10" t="s">
        <v>13161</v>
      </c>
      <c r="AQ51" s="10" t="s">
        <v>13469</v>
      </c>
      <c r="AR51" s="10" t="s">
        <v>13565</v>
      </c>
      <c r="AS51" s="10" t="s">
        <v>13461</v>
      </c>
      <c r="AT51" s="10" t="s">
        <v>13161</v>
      </c>
      <c r="AU51" s="10" t="s">
        <v>13658</v>
      </c>
      <c r="AV51" s="10" t="s">
        <v>258</v>
      </c>
      <c r="AW51" s="10" t="s">
        <v>13659</v>
      </c>
      <c r="AX51" s="10"/>
      <c r="AY51" s="10" t="s">
        <v>13533</v>
      </c>
      <c r="AZ51" s="13" t="s">
        <v>13534</v>
      </c>
      <c r="BA51" s="10"/>
    </row>
    <row r="52">
      <c r="A52" s="9">
        <v>43305.77339998842</v>
      </c>
      <c r="B52" s="10" t="s">
        <v>13330</v>
      </c>
      <c r="C52" s="10" t="s">
        <v>13660</v>
      </c>
      <c r="D52" s="15" t="s">
        <v>13138</v>
      </c>
      <c r="E52" s="10" t="s">
        <v>620</v>
      </c>
      <c r="F52" s="10" t="s">
        <v>13661</v>
      </c>
      <c r="G52" s="12">
        <v>9.0</v>
      </c>
      <c r="H52" s="12">
        <v>4.0</v>
      </c>
      <c r="I52" s="10" t="s">
        <v>3668</v>
      </c>
      <c r="J52" s="10" t="s">
        <v>13662</v>
      </c>
      <c r="K52" s="10" t="s">
        <v>13663</v>
      </c>
      <c r="L52" s="10" t="s">
        <v>13664</v>
      </c>
      <c r="M52" s="10" t="s">
        <v>13665</v>
      </c>
      <c r="N52" s="10" t="s">
        <v>13666</v>
      </c>
      <c r="O52" s="10" t="s">
        <v>3668</v>
      </c>
      <c r="P52" s="10" t="s">
        <v>3668</v>
      </c>
      <c r="Q52" s="10" t="s">
        <v>3668</v>
      </c>
      <c r="R52" s="10" t="s">
        <v>13667</v>
      </c>
      <c r="S52" s="10" t="s">
        <v>13668</v>
      </c>
      <c r="T52" s="10" t="s">
        <v>555</v>
      </c>
      <c r="U52" s="10" t="s">
        <v>13669</v>
      </c>
      <c r="V52" s="10" t="s">
        <v>179</v>
      </c>
      <c r="W52" s="10" t="s">
        <v>3668</v>
      </c>
      <c r="X52" s="10" t="s">
        <v>3668</v>
      </c>
      <c r="Y52" s="10" t="s">
        <v>3668</v>
      </c>
      <c r="Z52" s="10" t="s">
        <v>3668</v>
      </c>
      <c r="AA52" s="10" t="s">
        <v>179</v>
      </c>
      <c r="AB52" s="10" t="s">
        <v>179</v>
      </c>
      <c r="AC52" s="10" t="s">
        <v>179</v>
      </c>
      <c r="AD52" s="10" t="s">
        <v>179</v>
      </c>
      <c r="AE52" s="10" t="s">
        <v>179</v>
      </c>
      <c r="AF52" s="10" t="s">
        <v>3668</v>
      </c>
      <c r="AG52" s="10" t="s">
        <v>3668</v>
      </c>
      <c r="AH52" s="10" t="s">
        <v>179</v>
      </c>
      <c r="AI52" s="10" t="s">
        <v>3668</v>
      </c>
      <c r="AJ52" s="10" t="s">
        <v>3668</v>
      </c>
      <c r="AK52" s="10" t="s">
        <v>620</v>
      </c>
      <c r="AL52" s="12">
        <v>3.0</v>
      </c>
      <c r="AM52" s="10" t="s">
        <v>13670</v>
      </c>
      <c r="AN52" s="10" t="s">
        <v>13161</v>
      </c>
      <c r="AO52" s="10" t="s">
        <v>13161</v>
      </c>
      <c r="AP52" s="10" t="s">
        <v>13565</v>
      </c>
      <c r="AQ52" s="10" t="s">
        <v>13469</v>
      </c>
      <c r="AR52" s="10" t="s">
        <v>13565</v>
      </c>
      <c r="AS52" s="10" t="s">
        <v>13461</v>
      </c>
      <c r="AT52" s="10" t="s">
        <v>13565</v>
      </c>
      <c r="AU52" s="10" t="s">
        <v>620</v>
      </c>
      <c r="AV52" s="10" t="s">
        <v>555</v>
      </c>
      <c r="AW52" s="13" t="s">
        <v>13671</v>
      </c>
      <c r="AX52" s="14"/>
      <c r="AY52" s="10" t="s">
        <v>13545</v>
      </c>
      <c r="AZ52" s="13" t="s">
        <v>13546</v>
      </c>
      <c r="BA52" s="14"/>
    </row>
    <row r="53">
      <c r="A53" s="9">
        <v>43306.858798807865</v>
      </c>
      <c r="B53" s="10" t="s">
        <v>13672</v>
      </c>
      <c r="C53" s="10" t="s">
        <v>13673</v>
      </c>
      <c r="D53" s="15" t="s">
        <v>13138</v>
      </c>
      <c r="E53" s="10" t="s">
        <v>620</v>
      </c>
      <c r="F53" s="10" t="s">
        <v>13674</v>
      </c>
      <c r="G53" s="12">
        <v>5.0</v>
      </c>
      <c r="H53" s="12">
        <v>3.0</v>
      </c>
      <c r="I53" s="10" t="s">
        <v>179</v>
      </c>
      <c r="J53" s="10" t="s">
        <v>13675</v>
      </c>
      <c r="K53" s="10" t="s">
        <v>13676</v>
      </c>
      <c r="L53" s="10" t="s">
        <v>13677</v>
      </c>
      <c r="M53" s="10" t="s">
        <v>13678</v>
      </c>
      <c r="N53" s="10" t="s">
        <v>13679</v>
      </c>
      <c r="O53" s="10" t="s">
        <v>179</v>
      </c>
      <c r="P53" s="10" t="s">
        <v>3668</v>
      </c>
      <c r="Q53" s="10" t="s">
        <v>13161</v>
      </c>
      <c r="R53" s="10" t="s">
        <v>13667</v>
      </c>
      <c r="S53" s="10" t="s">
        <v>13680</v>
      </c>
      <c r="T53" s="10" t="s">
        <v>620</v>
      </c>
      <c r="U53" s="10" t="s">
        <v>620</v>
      </c>
      <c r="V53" s="10" t="s">
        <v>3668</v>
      </c>
      <c r="W53" s="10" t="s">
        <v>3668</v>
      </c>
      <c r="X53" s="10" t="s">
        <v>3668</v>
      </c>
      <c r="Y53" s="10" t="s">
        <v>3668</v>
      </c>
      <c r="Z53" s="10" t="s">
        <v>3668</v>
      </c>
      <c r="AA53" s="10" t="s">
        <v>179</v>
      </c>
      <c r="AB53" s="10" t="s">
        <v>179</v>
      </c>
      <c r="AC53" s="10" t="s">
        <v>179</v>
      </c>
      <c r="AD53" s="10" t="s">
        <v>3668</v>
      </c>
      <c r="AE53" s="10" t="s">
        <v>179</v>
      </c>
      <c r="AF53" s="10" t="s">
        <v>179</v>
      </c>
      <c r="AG53" s="10" t="s">
        <v>3668</v>
      </c>
      <c r="AH53" s="10" t="s">
        <v>3668</v>
      </c>
      <c r="AI53" s="10" t="s">
        <v>3668</v>
      </c>
      <c r="AJ53" s="10" t="s">
        <v>179</v>
      </c>
      <c r="AK53" s="10" t="s">
        <v>620</v>
      </c>
      <c r="AL53" s="12">
        <v>4.0</v>
      </c>
      <c r="AM53" s="10" t="s">
        <v>13681</v>
      </c>
      <c r="AN53" s="10" t="s">
        <v>13565</v>
      </c>
      <c r="AO53" s="10" t="s">
        <v>13461</v>
      </c>
      <c r="AP53" s="10" t="s">
        <v>13565</v>
      </c>
      <c r="AQ53" s="10" t="s">
        <v>13469</v>
      </c>
      <c r="AR53" s="10" t="s">
        <v>13565</v>
      </c>
      <c r="AS53" s="10" t="s">
        <v>13565</v>
      </c>
      <c r="AT53" s="10" t="s">
        <v>13565</v>
      </c>
      <c r="AU53" s="10" t="s">
        <v>13682</v>
      </c>
      <c r="AV53" s="10" t="s">
        <v>13683</v>
      </c>
      <c r="AW53" s="13" t="s">
        <v>13684</v>
      </c>
      <c r="AX53" s="14"/>
      <c r="AY53" s="10"/>
      <c r="AZ53" s="13" t="s">
        <v>13555</v>
      </c>
      <c r="BA53" s="10"/>
    </row>
    <row r="54">
      <c r="A54" s="9">
        <v>43309.39457284722</v>
      </c>
      <c r="B54" s="10" t="s">
        <v>13685</v>
      </c>
      <c r="C54" s="10" t="s">
        <v>13686</v>
      </c>
      <c r="D54" s="15" t="s">
        <v>13138</v>
      </c>
      <c r="E54" s="10" t="s">
        <v>620</v>
      </c>
      <c r="F54" s="10" t="s">
        <v>13687</v>
      </c>
      <c r="G54" s="12">
        <v>9.0</v>
      </c>
      <c r="H54" s="12">
        <v>5.0</v>
      </c>
      <c r="I54" s="10" t="s">
        <v>3668</v>
      </c>
      <c r="J54" s="10" t="s">
        <v>13688</v>
      </c>
      <c r="K54" s="10" t="s">
        <v>13689</v>
      </c>
      <c r="L54" s="10" t="s">
        <v>13690</v>
      </c>
      <c r="M54" s="10" t="s">
        <v>13691</v>
      </c>
      <c r="N54" s="10" t="s">
        <v>13692</v>
      </c>
      <c r="O54" s="10" t="s">
        <v>3668</v>
      </c>
      <c r="P54" s="10" t="s">
        <v>3668</v>
      </c>
      <c r="Q54" s="10" t="s">
        <v>3668</v>
      </c>
      <c r="R54" s="10" t="s">
        <v>13392</v>
      </c>
      <c r="S54" s="10" t="s">
        <v>13693</v>
      </c>
      <c r="T54" s="10" t="s">
        <v>179</v>
      </c>
      <c r="U54" s="10" t="s">
        <v>13694</v>
      </c>
      <c r="V54" s="10" t="s">
        <v>179</v>
      </c>
      <c r="W54" s="10" t="s">
        <v>3668</v>
      </c>
      <c r="X54" s="10" t="s">
        <v>3668</v>
      </c>
      <c r="Y54" s="10" t="s">
        <v>3668</v>
      </c>
      <c r="Z54" s="10" t="s">
        <v>3668</v>
      </c>
      <c r="AA54" s="10" t="s">
        <v>3668</v>
      </c>
      <c r="AB54" s="10" t="s">
        <v>179</v>
      </c>
      <c r="AC54" s="10" t="s">
        <v>3668</v>
      </c>
      <c r="AD54" s="10" t="s">
        <v>3668</v>
      </c>
      <c r="AE54" s="10" t="s">
        <v>3668</v>
      </c>
      <c r="AF54" s="10" t="s">
        <v>3668</v>
      </c>
      <c r="AG54" s="10" t="s">
        <v>3668</v>
      </c>
      <c r="AH54" s="10" t="s">
        <v>3668</v>
      </c>
      <c r="AI54" s="10" t="s">
        <v>3668</v>
      </c>
      <c r="AJ54" s="10" t="s">
        <v>3668</v>
      </c>
      <c r="AK54" s="10" t="s">
        <v>620</v>
      </c>
      <c r="AL54" s="12">
        <v>5.0</v>
      </c>
      <c r="AM54" s="10" t="s">
        <v>13695</v>
      </c>
      <c r="AN54" s="10" t="s">
        <v>13469</v>
      </c>
      <c r="AO54" s="10" t="s">
        <v>13161</v>
      </c>
      <c r="AP54" s="10" t="s">
        <v>13469</v>
      </c>
      <c r="AQ54" s="10" t="s">
        <v>13469</v>
      </c>
      <c r="AR54" s="10" t="s">
        <v>13469</v>
      </c>
      <c r="AS54" s="10" t="s">
        <v>13161</v>
      </c>
      <c r="AT54" s="10" t="s">
        <v>13469</v>
      </c>
      <c r="AU54" s="10" t="s">
        <v>620</v>
      </c>
      <c r="AV54" s="10" t="s">
        <v>179</v>
      </c>
      <c r="AW54" s="13" t="s">
        <v>13696</v>
      </c>
      <c r="AX54" s="14"/>
      <c r="AY54" s="10" t="s">
        <v>13567</v>
      </c>
      <c r="AZ54" s="13" t="s">
        <v>13568</v>
      </c>
      <c r="BA54" s="14"/>
    </row>
    <row r="55">
      <c r="A55" s="9">
        <v>43309.40742532407</v>
      </c>
      <c r="B55" s="10" t="s">
        <v>13685</v>
      </c>
      <c r="C55" s="10" t="s">
        <v>13697</v>
      </c>
      <c r="D55" s="15" t="s">
        <v>13138</v>
      </c>
      <c r="E55" s="10" t="s">
        <v>620</v>
      </c>
      <c r="F55" s="10" t="s">
        <v>13698</v>
      </c>
      <c r="G55" s="12">
        <v>9.0</v>
      </c>
      <c r="H55" s="12">
        <v>5.0</v>
      </c>
      <c r="I55" s="10" t="s">
        <v>3668</v>
      </c>
      <c r="J55" s="10" t="s">
        <v>13699</v>
      </c>
      <c r="K55" s="10" t="s">
        <v>13700</v>
      </c>
      <c r="L55" s="10" t="s">
        <v>13701</v>
      </c>
      <c r="M55" s="10" t="s">
        <v>13702</v>
      </c>
      <c r="N55" s="10" t="s">
        <v>13703</v>
      </c>
      <c r="O55" s="10" t="s">
        <v>3668</v>
      </c>
      <c r="P55" s="10" t="s">
        <v>3668</v>
      </c>
      <c r="Q55" s="10" t="s">
        <v>3668</v>
      </c>
      <c r="R55" s="10" t="s">
        <v>13392</v>
      </c>
      <c r="S55" s="10" t="s">
        <v>13704</v>
      </c>
      <c r="T55" s="10" t="s">
        <v>13705</v>
      </c>
      <c r="U55" s="10" t="s">
        <v>13706</v>
      </c>
      <c r="V55" s="10" t="s">
        <v>179</v>
      </c>
      <c r="W55" s="10" t="s">
        <v>3668</v>
      </c>
      <c r="X55" s="10" t="s">
        <v>3668</v>
      </c>
      <c r="Y55" s="10" t="s">
        <v>3668</v>
      </c>
      <c r="Z55" s="10" t="s">
        <v>3668</v>
      </c>
      <c r="AA55" s="10" t="s">
        <v>3668</v>
      </c>
      <c r="AB55" s="10" t="s">
        <v>3668</v>
      </c>
      <c r="AC55" s="10" t="s">
        <v>3668</v>
      </c>
      <c r="AD55" s="10" t="s">
        <v>3668</v>
      </c>
      <c r="AE55" s="10" t="s">
        <v>3668</v>
      </c>
      <c r="AF55" s="10" t="s">
        <v>3668</v>
      </c>
      <c r="AG55" s="10" t="s">
        <v>3668</v>
      </c>
      <c r="AH55" s="10" t="s">
        <v>3668</v>
      </c>
      <c r="AI55" s="10" t="s">
        <v>3668</v>
      </c>
      <c r="AJ55" s="10" t="s">
        <v>3668</v>
      </c>
      <c r="AK55" s="10" t="s">
        <v>620</v>
      </c>
      <c r="AL55" s="12">
        <v>5.0</v>
      </c>
      <c r="AM55" s="10" t="s">
        <v>13695</v>
      </c>
      <c r="AN55" s="10" t="s">
        <v>13469</v>
      </c>
      <c r="AO55" s="10" t="s">
        <v>13161</v>
      </c>
      <c r="AP55" s="10" t="s">
        <v>13469</v>
      </c>
      <c r="AQ55" s="10" t="s">
        <v>13469</v>
      </c>
      <c r="AR55" s="10" t="s">
        <v>13469</v>
      </c>
      <c r="AS55" s="10" t="s">
        <v>13161</v>
      </c>
      <c r="AT55" s="10" t="s">
        <v>13469</v>
      </c>
      <c r="AU55" s="10" t="s">
        <v>620</v>
      </c>
      <c r="AV55" s="10" t="s">
        <v>13707</v>
      </c>
      <c r="AW55" s="13" t="s">
        <v>13708</v>
      </c>
      <c r="AX55" s="14"/>
      <c r="AY55" s="10" t="s">
        <v>179</v>
      </c>
      <c r="AZ55" s="10" t="s">
        <v>13576</v>
      </c>
      <c r="BA55" s="10"/>
    </row>
    <row r="56">
      <c r="A56" s="9">
        <v>43309.67048306713</v>
      </c>
      <c r="B56" s="10" t="s">
        <v>13451</v>
      </c>
      <c r="C56" s="10" t="s">
        <v>13452</v>
      </c>
      <c r="D56" s="15" t="s">
        <v>13138</v>
      </c>
      <c r="E56" s="10" t="s">
        <v>620</v>
      </c>
      <c r="F56" s="10" t="s">
        <v>13661</v>
      </c>
      <c r="G56" s="12">
        <v>8.0</v>
      </c>
      <c r="H56" s="12">
        <v>5.0</v>
      </c>
      <c r="I56" s="10" t="s">
        <v>3668</v>
      </c>
      <c r="J56" s="10" t="s">
        <v>13709</v>
      </c>
      <c r="K56" s="10" t="s">
        <v>13710</v>
      </c>
      <c r="L56" s="10" t="s">
        <v>13455</v>
      </c>
      <c r="M56" s="10" t="s">
        <v>13711</v>
      </c>
      <c r="N56" s="10" t="s">
        <v>13712</v>
      </c>
      <c r="O56" s="10" t="s">
        <v>3668</v>
      </c>
      <c r="P56" s="10" t="s">
        <v>13161</v>
      </c>
      <c r="Q56" s="10" t="s">
        <v>3668</v>
      </c>
      <c r="R56" s="10" t="s">
        <v>13713</v>
      </c>
      <c r="S56" s="10" t="s">
        <v>13714</v>
      </c>
      <c r="T56" s="10" t="s">
        <v>528</v>
      </c>
      <c r="U56" s="10" t="s">
        <v>13715</v>
      </c>
      <c r="V56" s="10" t="s">
        <v>3668</v>
      </c>
      <c r="W56" s="10" t="s">
        <v>3668</v>
      </c>
      <c r="X56" s="10" t="s">
        <v>3668</v>
      </c>
      <c r="Y56" s="10" t="s">
        <v>3668</v>
      </c>
      <c r="Z56" s="10" t="s">
        <v>3668</v>
      </c>
      <c r="AA56" s="10" t="s">
        <v>3668</v>
      </c>
      <c r="AB56" s="10" t="s">
        <v>3668</v>
      </c>
      <c r="AC56" s="10" t="s">
        <v>3668</v>
      </c>
      <c r="AD56" s="10" t="s">
        <v>3668</v>
      </c>
      <c r="AE56" s="10" t="s">
        <v>3668</v>
      </c>
      <c r="AF56" s="10" t="s">
        <v>3668</v>
      </c>
      <c r="AG56" s="10" t="s">
        <v>3668</v>
      </c>
      <c r="AH56" s="10" t="s">
        <v>3668</v>
      </c>
      <c r="AI56" s="10" t="s">
        <v>3668</v>
      </c>
      <c r="AJ56" s="10" t="s">
        <v>3668</v>
      </c>
      <c r="AK56" s="10" t="s">
        <v>620</v>
      </c>
      <c r="AL56" s="12">
        <v>5.0</v>
      </c>
      <c r="AM56" s="10" t="s">
        <v>13716</v>
      </c>
      <c r="AN56" s="10" t="s">
        <v>13469</v>
      </c>
      <c r="AO56" s="10" t="s">
        <v>13469</v>
      </c>
      <c r="AP56" s="10" t="s">
        <v>13469</v>
      </c>
      <c r="AQ56" s="10" t="s">
        <v>13469</v>
      </c>
      <c r="AR56" s="10" t="s">
        <v>13469</v>
      </c>
      <c r="AS56" s="10" t="s">
        <v>13161</v>
      </c>
      <c r="AT56" s="10" t="s">
        <v>13469</v>
      </c>
      <c r="AU56" s="10" t="s">
        <v>13717</v>
      </c>
      <c r="AV56" s="10" t="s">
        <v>13718</v>
      </c>
      <c r="AW56" s="13" t="s">
        <v>13719</v>
      </c>
      <c r="AX56" s="10"/>
      <c r="AY56" s="10" t="s">
        <v>13586</v>
      </c>
      <c r="AZ56" s="13" t="s">
        <v>13587</v>
      </c>
      <c r="BA56" s="14"/>
    </row>
    <row r="57">
      <c r="A57" s="9">
        <v>43310.54693003472</v>
      </c>
      <c r="B57" s="10" t="s">
        <v>13672</v>
      </c>
      <c r="C57" s="10" t="s">
        <v>13720</v>
      </c>
      <c r="D57" s="15" t="s">
        <v>13138</v>
      </c>
      <c r="E57" s="10" t="s">
        <v>620</v>
      </c>
      <c r="F57" s="10" t="s">
        <v>13721</v>
      </c>
      <c r="G57" s="12">
        <v>5.0</v>
      </c>
      <c r="H57" s="12">
        <v>4.0</v>
      </c>
      <c r="I57" s="10" t="s">
        <v>13161</v>
      </c>
      <c r="J57" s="10" t="s">
        <v>13722</v>
      </c>
      <c r="K57" s="10" t="s">
        <v>13723</v>
      </c>
      <c r="L57" s="10" t="s">
        <v>13724</v>
      </c>
      <c r="M57" s="10" t="s">
        <v>13725</v>
      </c>
      <c r="N57" s="10" t="s">
        <v>13724</v>
      </c>
      <c r="O57" s="10" t="s">
        <v>13161</v>
      </c>
      <c r="P57" s="10" t="s">
        <v>3668</v>
      </c>
      <c r="Q57" s="10" t="s">
        <v>13161</v>
      </c>
      <c r="R57" s="10" t="s">
        <v>13667</v>
      </c>
      <c r="S57" s="10" t="s">
        <v>13724</v>
      </c>
      <c r="T57" s="10" t="s">
        <v>13726</v>
      </c>
      <c r="U57" s="10" t="s">
        <v>13727</v>
      </c>
      <c r="V57" s="10" t="s">
        <v>3668</v>
      </c>
      <c r="W57" s="10" t="s">
        <v>3668</v>
      </c>
      <c r="X57" s="10" t="s">
        <v>3668</v>
      </c>
      <c r="Y57" s="10" t="s">
        <v>3668</v>
      </c>
      <c r="Z57" s="10" t="s">
        <v>3668</v>
      </c>
      <c r="AA57" s="10" t="s">
        <v>179</v>
      </c>
      <c r="AB57" s="10" t="s">
        <v>179</v>
      </c>
      <c r="AC57" s="10" t="s">
        <v>179</v>
      </c>
      <c r="AD57" s="10" t="s">
        <v>3668</v>
      </c>
      <c r="AE57" s="10" t="s">
        <v>179</v>
      </c>
      <c r="AF57" s="10" t="s">
        <v>179</v>
      </c>
      <c r="AG57" s="10" t="s">
        <v>3668</v>
      </c>
      <c r="AH57" s="10" t="s">
        <v>3668</v>
      </c>
      <c r="AI57" s="10" t="s">
        <v>3668</v>
      </c>
      <c r="AJ57" s="10" t="s">
        <v>179</v>
      </c>
      <c r="AK57" s="10" t="s">
        <v>620</v>
      </c>
      <c r="AL57" s="12">
        <v>4.0</v>
      </c>
      <c r="AM57" s="10" t="s">
        <v>13728</v>
      </c>
      <c r="AN57" s="10" t="s">
        <v>13565</v>
      </c>
      <c r="AO57" s="10" t="s">
        <v>13161</v>
      </c>
      <c r="AP57" s="10" t="s">
        <v>13565</v>
      </c>
      <c r="AQ57" s="10" t="s">
        <v>13469</v>
      </c>
      <c r="AR57" s="10" t="s">
        <v>13565</v>
      </c>
      <c r="AS57" s="10" t="s">
        <v>13565</v>
      </c>
      <c r="AT57" s="10" t="s">
        <v>13565</v>
      </c>
      <c r="AU57" s="10" t="s">
        <v>13729</v>
      </c>
      <c r="AV57" s="10" t="s">
        <v>13726</v>
      </c>
      <c r="AW57" s="10" t="s">
        <v>13730</v>
      </c>
      <c r="AX57" s="10"/>
      <c r="AY57" s="10"/>
      <c r="AZ57" s="13" t="s">
        <v>13598</v>
      </c>
      <c r="BA57" s="14"/>
    </row>
    <row r="58">
      <c r="A58" s="9">
        <v>43312.59551799769</v>
      </c>
      <c r="B58" s="10" t="s">
        <v>13731</v>
      </c>
      <c r="C58" s="10" t="s">
        <v>13732</v>
      </c>
      <c r="D58" s="15" t="s">
        <v>13138</v>
      </c>
      <c r="E58" s="10" t="s">
        <v>620</v>
      </c>
      <c r="F58" s="10" t="s">
        <v>13733</v>
      </c>
      <c r="G58" s="12">
        <v>9.0</v>
      </c>
      <c r="H58" s="12">
        <v>5.0</v>
      </c>
      <c r="I58" s="10" t="s">
        <v>3668</v>
      </c>
      <c r="J58" s="10" t="s">
        <v>13734</v>
      </c>
      <c r="K58" s="10" t="s">
        <v>13735</v>
      </c>
      <c r="L58" s="10" t="s">
        <v>13736</v>
      </c>
      <c r="M58" s="10" t="s">
        <v>13737</v>
      </c>
      <c r="N58" s="10" t="s">
        <v>13738</v>
      </c>
      <c r="O58" s="10" t="s">
        <v>3668</v>
      </c>
      <c r="P58" s="10" t="s">
        <v>3668</v>
      </c>
      <c r="Q58" s="10" t="s">
        <v>3668</v>
      </c>
      <c r="R58" s="10" t="s">
        <v>13713</v>
      </c>
      <c r="S58" s="13" t="s">
        <v>13739</v>
      </c>
      <c r="T58" s="10"/>
      <c r="U58" s="10" t="s">
        <v>13740</v>
      </c>
      <c r="V58" s="10" t="s">
        <v>3668</v>
      </c>
      <c r="W58" s="10" t="s">
        <v>3668</v>
      </c>
      <c r="X58" s="10" t="s">
        <v>3668</v>
      </c>
      <c r="Y58" s="10" t="s">
        <v>3668</v>
      </c>
      <c r="Z58" s="10" t="s">
        <v>3668</v>
      </c>
      <c r="AA58" s="10" t="s">
        <v>3668</v>
      </c>
      <c r="AB58" s="10" t="s">
        <v>620</v>
      </c>
      <c r="AC58" s="10" t="s">
        <v>3668</v>
      </c>
      <c r="AD58" s="10" t="s">
        <v>3668</v>
      </c>
      <c r="AE58" s="10" t="s">
        <v>3668</v>
      </c>
      <c r="AF58" s="10" t="s">
        <v>620</v>
      </c>
      <c r="AG58" s="10" t="s">
        <v>3668</v>
      </c>
      <c r="AH58" s="10" t="s">
        <v>3668</v>
      </c>
      <c r="AI58" s="10" t="s">
        <v>3668</v>
      </c>
      <c r="AJ58" s="10" t="s">
        <v>3668</v>
      </c>
      <c r="AK58" s="10" t="s">
        <v>620</v>
      </c>
      <c r="AL58" s="12">
        <v>5.0</v>
      </c>
      <c r="AM58" s="10" t="s">
        <v>13741</v>
      </c>
      <c r="AN58" s="10" t="s">
        <v>13565</v>
      </c>
      <c r="AO58" s="10" t="s">
        <v>13565</v>
      </c>
      <c r="AP58" s="10" t="s">
        <v>13565</v>
      </c>
      <c r="AQ58" s="10" t="s">
        <v>13565</v>
      </c>
      <c r="AR58" s="10" t="s">
        <v>13565</v>
      </c>
      <c r="AS58" s="10" t="s">
        <v>13565</v>
      </c>
      <c r="AT58" s="10" t="s">
        <v>13565</v>
      </c>
      <c r="AU58" s="10" t="s">
        <v>620</v>
      </c>
      <c r="AV58" s="10"/>
      <c r="AW58" s="13" t="s">
        <v>13742</v>
      </c>
      <c r="AX58" s="14"/>
      <c r="AY58" s="10" t="s">
        <v>13610</v>
      </c>
      <c r="AZ58" s="13" t="s">
        <v>13611</v>
      </c>
      <c r="BA58" s="10"/>
    </row>
    <row r="59">
      <c r="A59" s="9">
        <v>43315.79616424769</v>
      </c>
      <c r="B59" s="10" t="s">
        <v>13743</v>
      </c>
      <c r="C59" s="10" t="s">
        <v>13744</v>
      </c>
      <c r="D59" s="15" t="s">
        <v>13138</v>
      </c>
      <c r="E59" s="10" t="s">
        <v>620</v>
      </c>
      <c r="F59" s="10" t="s">
        <v>13619</v>
      </c>
      <c r="G59" s="12">
        <v>5.0</v>
      </c>
      <c r="H59" s="12">
        <v>5.0</v>
      </c>
      <c r="I59" s="10" t="s">
        <v>3668</v>
      </c>
      <c r="J59" s="10" t="s">
        <v>13745</v>
      </c>
      <c r="K59" s="10" t="s">
        <v>13746</v>
      </c>
      <c r="L59" s="10" t="s">
        <v>164</v>
      </c>
      <c r="M59" s="10" t="s">
        <v>13747</v>
      </c>
      <c r="N59" s="10" t="s">
        <v>13748</v>
      </c>
      <c r="O59" s="10" t="s">
        <v>3668</v>
      </c>
      <c r="P59" s="10" t="s">
        <v>3668</v>
      </c>
      <c r="Q59" s="10" t="s">
        <v>13161</v>
      </c>
      <c r="R59" s="10" t="s">
        <v>13364</v>
      </c>
      <c r="S59" s="10"/>
      <c r="T59" s="10"/>
      <c r="U59" s="10" t="s">
        <v>13749</v>
      </c>
      <c r="V59" s="10" t="s">
        <v>3668</v>
      </c>
      <c r="W59" s="10" t="s">
        <v>3668</v>
      </c>
      <c r="X59" s="10" t="s">
        <v>3668</v>
      </c>
      <c r="Y59" s="10" t="s">
        <v>3668</v>
      </c>
      <c r="Z59" s="10" t="s">
        <v>3668</v>
      </c>
      <c r="AA59" s="10" t="s">
        <v>3668</v>
      </c>
      <c r="AB59" s="10" t="s">
        <v>3668</v>
      </c>
      <c r="AC59" s="10" t="s">
        <v>3668</v>
      </c>
      <c r="AD59" s="10" t="s">
        <v>3668</v>
      </c>
      <c r="AE59" s="10" t="s">
        <v>179</v>
      </c>
      <c r="AF59" s="10" t="s">
        <v>179</v>
      </c>
      <c r="AG59" s="10" t="s">
        <v>3668</v>
      </c>
      <c r="AH59" s="10" t="s">
        <v>3668</v>
      </c>
      <c r="AI59" s="10" t="s">
        <v>3668</v>
      </c>
      <c r="AJ59" s="10" t="s">
        <v>3668</v>
      </c>
      <c r="AK59" s="10" t="s">
        <v>620</v>
      </c>
      <c r="AL59" s="12">
        <v>5.0</v>
      </c>
      <c r="AM59" s="10" t="s">
        <v>13750</v>
      </c>
      <c r="AN59" s="10" t="s">
        <v>13565</v>
      </c>
      <c r="AO59" s="10" t="s">
        <v>13461</v>
      </c>
      <c r="AP59" s="10" t="s">
        <v>13161</v>
      </c>
      <c r="AQ59" s="10" t="s">
        <v>13565</v>
      </c>
      <c r="AR59" s="10" t="s">
        <v>13565</v>
      </c>
      <c r="AS59" s="10" t="s">
        <v>13565</v>
      </c>
      <c r="AT59" s="10" t="s">
        <v>13565</v>
      </c>
      <c r="AU59" s="10" t="s">
        <v>620</v>
      </c>
      <c r="AV59" s="10"/>
      <c r="AW59" s="13" t="s">
        <v>13751</v>
      </c>
      <c r="AX59" s="14"/>
      <c r="AY59" s="10"/>
      <c r="AZ59" s="13" t="s">
        <v>13618</v>
      </c>
      <c r="BA59" s="14"/>
    </row>
    <row r="60">
      <c r="A60" s="9">
        <v>43315.92210202546</v>
      </c>
      <c r="B60" s="10" t="s">
        <v>13752</v>
      </c>
      <c r="C60" s="10" t="s">
        <v>13753</v>
      </c>
      <c r="D60" s="15" t="s">
        <v>13138</v>
      </c>
      <c r="E60" s="10" t="s">
        <v>620</v>
      </c>
      <c r="F60" s="10" t="s">
        <v>13754</v>
      </c>
      <c r="G60" s="12">
        <v>6.0</v>
      </c>
      <c r="H60" s="12">
        <v>5.0</v>
      </c>
      <c r="I60" s="10" t="s">
        <v>3668</v>
      </c>
      <c r="J60" s="10" t="s">
        <v>13755</v>
      </c>
      <c r="K60" s="10" t="s">
        <v>13756</v>
      </c>
      <c r="L60" s="10" t="s">
        <v>13757</v>
      </c>
      <c r="M60" s="10" t="s">
        <v>13758</v>
      </c>
      <c r="N60" s="10" t="s">
        <v>13759</v>
      </c>
      <c r="O60" s="10" t="s">
        <v>3668</v>
      </c>
      <c r="P60" s="10" t="s">
        <v>3668</v>
      </c>
      <c r="Q60" s="10" t="s">
        <v>3668</v>
      </c>
      <c r="R60" s="10" t="s">
        <v>13392</v>
      </c>
      <c r="S60" s="10" t="s">
        <v>13760</v>
      </c>
      <c r="T60" s="10" t="s">
        <v>179</v>
      </c>
      <c r="U60" s="10" t="s">
        <v>13761</v>
      </c>
      <c r="V60" s="10" t="s">
        <v>3668</v>
      </c>
      <c r="W60" s="10" t="s">
        <v>3668</v>
      </c>
      <c r="X60" s="10" t="s">
        <v>3668</v>
      </c>
      <c r="Y60" s="10" t="s">
        <v>3668</v>
      </c>
      <c r="Z60" s="10" t="s">
        <v>3668</v>
      </c>
      <c r="AA60" s="10" t="s">
        <v>3668</v>
      </c>
      <c r="AB60" s="10" t="s">
        <v>3668</v>
      </c>
      <c r="AC60" s="10" t="s">
        <v>3668</v>
      </c>
      <c r="AD60" s="10" t="s">
        <v>3668</v>
      </c>
      <c r="AE60" s="10" t="s">
        <v>3668</v>
      </c>
      <c r="AF60" s="10" t="s">
        <v>3668</v>
      </c>
      <c r="AG60" s="10" t="s">
        <v>3668</v>
      </c>
      <c r="AH60" s="10" t="s">
        <v>3668</v>
      </c>
      <c r="AI60" s="10" t="s">
        <v>3668</v>
      </c>
      <c r="AJ60" s="10" t="s">
        <v>3668</v>
      </c>
      <c r="AK60" s="10" t="s">
        <v>620</v>
      </c>
      <c r="AL60" s="12">
        <v>5.0</v>
      </c>
      <c r="AM60" s="10" t="s">
        <v>13762</v>
      </c>
      <c r="AN60" s="10" t="s">
        <v>13469</v>
      </c>
      <c r="AO60" s="10" t="s">
        <v>13469</v>
      </c>
      <c r="AP60" s="10" t="s">
        <v>13469</v>
      </c>
      <c r="AQ60" s="10" t="s">
        <v>13469</v>
      </c>
      <c r="AR60" s="10" t="s">
        <v>13469</v>
      </c>
      <c r="AS60" s="10" t="s">
        <v>13469</v>
      </c>
      <c r="AT60" s="10" t="s">
        <v>13469</v>
      </c>
      <c r="AU60" s="10" t="s">
        <v>620</v>
      </c>
      <c r="AV60" s="10" t="s">
        <v>13763</v>
      </c>
      <c r="AW60" s="10" t="s">
        <v>372</v>
      </c>
      <c r="AX60" s="10"/>
      <c r="AY60" s="10"/>
      <c r="AZ60" s="13" t="s">
        <v>13628</v>
      </c>
      <c r="BA60" s="10"/>
    </row>
    <row r="61">
      <c r="A61" s="9">
        <v>43323.79304104167</v>
      </c>
      <c r="B61" s="10" t="s">
        <v>13764</v>
      </c>
      <c r="C61" s="10" t="s">
        <v>13765</v>
      </c>
      <c r="D61" s="15" t="s">
        <v>13138</v>
      </c>
      <c r="E61" s="10" t="s">
        <v>620</v>
      </c>
      <c r="F61" s="10" t="s">
        <v>13221</v>
      </c>
      <c r="G61" s="12">
        <v>7.0</v>
      </c>
      <c r="H61" s="12">
        <v>5.0</v>
      </c>
      <c r="I61" s="10" t="s">
        <v>3668</v>
      </c>
      <c r="J61" s="10" t="s">
        <v>13766</v>
      </c>
      <c r="K61" s="10" t="s">
        <v>13767</v>
      </c>
      <c r="L61" s="10" t="s">
        <v>13768</v>
      </c>
      <c r="M61" s="10" t="s">
        <v>13769</v>
      </c>
      <c r="N61" s="10" t="s">
        <v>13770</v>
      </c>
      <c r="O61" s="10" t="s">
        <v>13161</v>
      </c>
      <c r="P61" s="10" t="s">
        <v>13161</v>
      </c>
      <c r="Q61" s="10" t="s">
        <v>3668</v>
      </c>
      <c r="R61" s="10" t="s">
        <v>13771</v>
      </c>
      <c r="S61" s="10" t="s">
        <v>13772</v>
      </c>
      <c r="T61" s="10" t="s">
        <v>13773</v>
      </c>
      <c r="U61" s="10" t="s">
        <v>13774</v>
      </c>
      <c r="V61" s="10" t="s">
        <v>3668</v>
      </c>
      <c r="W61" s="10" t="s">
        <v>3668</v>
      </c>
      <c r="X61" s="10" t="s">
        <v>3668</v>
      </c>
      <c r="Y61" s="10" t="s">
        <v>3668</v>
      </c>
      <c r="Z61" s="10" t="s">
        <v>3668</v>
      </c>
      <c r="AA61" s="10" t="s">
        <v>3668</v>
      </c>
      <c r="AB61" s="10" t="s">
        <v>179</v>
      </c>
      <c r="AC61" s="10" t="s">
        <v>3668</v>
      </c>
      <c r="AD61" s="10" t="s">
        <v>3668</v>
      </c>
      <c r="AE61" s="10" t="s">
        <v>179</v>
      </c>
      <c r="AF61" s="10" t="s">
        <v>179</v>
      </c>
      <c r="AG61" s="10" t="s">
        <v>3668</v>
      </c>
      <c r="AH61" s="10" t="s">
        <v>179</v>
      </c>
      <c r="AI61" s="10" t="s">
        <v>3668</v>
      </c>
      <c r="AJ61" s="10" t="s">
        <v>3668</v>
      </c>
      <c r="AK61" s="10" t="s">
        <v>620</v>
      </c>
      <c r="AL61" s="12">
        <v>4.0</v>
      </c>
      <c r="AM61" s="10" t="s">
        <v>13775</v>
      </c>
      <c r="AN61" s="10" t="s">
        <v>13461</v>
      </c>
      <c r="AO61" s="10" t="s">
        <v>13461</v>
      </c>
      <c r="AP61" s="10" t="s">
        <v>13469</v>
      </c>
      <c r="AQ61" s="10" t="s">
        <v>13161</v>
      </c>
      <c r="AR61" s="10" t="s">
        <v>13469</v>
      </c>
      <c r="AS61" s="10" t="s">
        <v>13461</v>
      </c>
      <c r="AT61" s="10" t="s">
        <v>13161</v>
      </c>
      <c r="AU61" s="10" t="s">
        <v>620</v>
      </c>
      <c r="AV61" s="10" t="s">
        <v>13776</v>
      </c>
      <c r="AW61" s="13" t="s">
        <v>13777</v>
      </c>
      <c r="AX61" s="14"/>
      <c r="AY61" s="10" t="s">
        <v>179</v>
      </c>
      <c r="AZ61" s="13" t="s">
        <v>13638</v>
      </c>
      <c r="BA61" s="14"/>
    </row>
    <row r="62">
      <c r="A62" s="9">
        <v>43325.84624774306</v>
      </c>
      <c r="B62" s="10" t="s">
        <v>13258</v>
      </c>
      <c r="C62" s="10" t="s">
        <v>13778</v>
      </c>
      <c r="D62" s="15" t="s">
        <v>13138</v>
      </c>
      <c r="E62" s="10" t="s">
        <v>13779</v>
      </c>
      <c r="F62" s="10" t="s">
        <v>13780</v>
      </c>
      <c r="G62" s="12">
        <v>5.0</v>
      </c>
      <c r="H62" s="12">
        <v>5.0</v>
      </c>
      <c r="I62" s="10" t="s">
        <v>3668</v>
      </c>
      <c r="J62" s="10" t="s">
        <v>13781</v>
      </c>
      <c r="K62" s="10" t="s">
        <v>13782</v>
      </c>
      <c r="L62" s="10" t="s">
        <v>13783</v>
      </c>
      <c r="M62" s="10" t="s">
        <v>13784</v>
      </c>
      <c r="N62" s="10" t="s">
        <v>13785</v>
      </c>
      <c r="O62" s="10" t="s">
        <v>3668</v>
      </c>
      <c r="P62" s="10" t="s">
        <v>3668</v>
      </c>
      <c r="Q62" s="10" t="s">
        <v>3668</v>
      </c>
      <c r="R62" s="10" t="s">
        <v>13667</v>
      </c>
      <c r="S62" s="10" t="s">
        <v>13786</v>
      </c>
      <c r="T62" s="10" t="s">
        <v>13787</v>
      </c>
      <c r="U62" s="10" t="s">
        <v>13788</v>
      </c>
      <c r="V62" s="10" t="s">
        <v>3668</v>
      </c>
      <c r="W62" s="10" t="s">
        <v>3668</v>
      </c>
      <c r="X62" s="10" t="s">
        <v>3668</v>
      </c>
      <c r="Y62" s="10" t="s">
        <v>3668</v>
      </c>
      <c r="Z62" s="10" t="s">
        <v>3668</v>
      </c>
      <c r="AA62" s="10" t="s">
        <v>3668</v>
      </c>
      <c r="AB62" s="10" t="s">
        <v>179</v>
      </c>
      <c r="AC62" s="10" t="s">
        <v>3668</v>
      </c>
      <c r="AD62" s="10" t="s">
        <v>3668</v>
      </c>
      <c r="AE62" s="10" t="s">
        <v>179</v>
      </c>
      <c r="AF62" s="10" t="s">
        <v>179</v>
      </c>
      <c r="AG62" s="10" t="s">
        <v>3668</v>
      </c>
      <c r="AH62" s="10" t="s">
        <v>3668</v>
      </c>
      <c r="AI62" s="10" t="s">
        <v>3668</v>
      </c>
      <c r="AJ62" s="10" t="s">
        <v>3668</v>
      </c>
      <c r="AK62" s="10" t="s">
        <v>1593</v>
      </c>
      <c r="AL62" s="12">
        <v>4.0</v>
      </c>
      <c r="AM62" s="10" t="s">
        <v>13789</v>
      </c>
      <c r="AN62" s="10" t="s">
        <v>13565</v>
      </c>
      <c r="AO62" s="10" t="s">
        <v>13565</v>
      </c>
      <c r="AP62" s="10" t="s">
        <v>13565</v>
      </c>
      <c r="AQ62" s="10" t="s">
        <v>13565</v>
      </c>
      <c r="AR62" s="10" t="s">
        <v>13565</v>
      </c>
      <c r="AS62" s="10" t="s">
        <v>13469</v>
      </c>
      <c r="AT62" s="10" t="s">
        <v>13565</v>
      </c>
      <c r="AU62" s="10" t="s">
        <v>13790</v>
      </c>
      <c r="AV62" s="10" t="s">
        <v>13791</v>
      </c>
      <c r="AW62" s="13" t="s">
        <v>13792</v>
      </c>
      <c r="AX62" s="14"/>
      <c r="AY62" s="10" t="s">
        <v>13647</v>
      </c>
      <c r="AZ62" s="13" t="s">
        <v>13648</v>
      </c>
      <c r="BA62" s="14"/>
    </row>
    <row r="63">
      <c r="A63" s="9">
        <v>43305.76082202546</v>
      </c>
      <c r="B63" s="10" t="s">
        <v>13649</v>
      </c>
      <c r="C63" s="10" t="s">
        <v>13650</v>
      </c>
      <c r="D63" s="11" t="s">
        <v>13138</v>
      </c>
      <c r="E63" s="10" t="s">
        <v>258</v>
      </c>
      <c r="F63" s="10" t="s">
        <v>13482</v>
      </c>
      <c r="G63" s="12">
        <v>7.0</v>
      </c>
      <c r="H63" s="12">
        <v>4.0</v>
      </c>
      <c r="I63" s="10" t="s">
        <v>3668</v>
      </c>
      <c r="J63" s="10" t="s">
        <v>13651</v>
      </c>
      <c r="K63" s="10" t="s">
        <v>13652</v>
      </c>
      <c r="L63" s="10" t="s">
        <v>13653</v>
      </c>
      <c r="M63" s="10" t="s">
        <v>7289</v>
      </c>
      <c r="N63" s="10" t="s">
        <v>13654</v>
      </c>
      <c r="O63" s="10" t="s">
        <v>3668</v>
      </c>
      <c r="P63" s="10" t="s">
        <v>179</v>
      </c>
      <c r="Q63" s="10" t="s">
        <v>13161</v>
      </c>
      <c r="R63" s="10" t="s">
        <v>13655</v>
      </c>
      <c r="S63" s="10" t="s">
        <v>258</v>
      </c>
      <c r="T63" s="10" t="s">
        <v>258</v>
      </c>
      <c r="U63" s="10" t="s">
        <v>13656</v>
      </c>
      <c r="V63" s="10" t="s">
        <v>3668</v>
      </c>
      <c r="W63" s="10" t="s">
        <v>3668</v>
      </c>
      <c r="X63" s="10" t="s">
        <v>3668</v>
      </c>
      <c r="Y63" s="10" t="s">
        <v>3668</v>
      </c>
      <c r="Z63" s="10" t="s">
        <v>179</v>
      </c>
      <c r="AA63" s="10" t="s">
        <v>179</v>
      </c>
      <c r="AB63" s="10" t="s">
        <v>179</v>
      </c>
      <c r="AC63" s="10" t="s">
        <v>3668</v>
      </c>
      <c r="AD63" s="10" t="s">
        <v>3668</v>
      </c>
      <c r="AE63" s="10" t="s">
        <v>3668</v>
      </c>
      <c r="AF63" s="10" t="s">
        <v>179</v>
      </c>
      <c r="AG63" s="10" t="s">
        <v>3668</v>
      </c>
      <c r="AH63" s="10" t="s">
        <v>3668</v>
      </c>
      <c r="AI63" s="10" t="s">
        <v>3668</v>
      </c>
      <c r="AJ63" s="10" t="s">
        <v>179</v>
      </c>
      <c r="AK63" s="10" t="s">
        <v>258</v>
      </c>
      <c r="AL63" s="12">
        <v>5.0</v>
      </c>
      <c r="AM63" s="10" t="s">
        <v>13657</v>
      </c>
      <c r="AN63" s="10" t="s">
        <v>13461</v>
      </c>
      <c r="AO63" s="10" t="s">
        <v>13161</v>
      </c>
      <c r="AP63" s="10" t="s">
        <v>13161</v>
      </c>
      <c r="AQ63" s="10" t="s">
        <v>13469</v>
      </c>
      <c r="AR63" s="10" t="s">
        <v>13565</v>
      </c>
      <c r="AS63" s="10" t="s">
        <v>13461</v>
      </c>
      <c r="AT63" s="10" t="s">
        <v>13161</v>
      </c>
      <c r="AU63" s="10" t="s">
        <v>13658</v>
      </c>
      <c r="AV63" s="10" t="s">
        <v>258</v>
      </c>
      <c r="AW63" s="10" t="s">
        <v>13659</v>
      </c>
      <c r="AX63" s="10"/>
    </row>
    <row r="64">
      <c r="A64" s="9">
        <v>43305.77339998842</v>
      </c>
      <c r="B64" s="10" t="s">
        <v>13330</v>
      </c>
      <c r="C64" s="10" t="s">
        <v>13660</v>
      </c>
      <c r="D64" s="11" t="s">
        <v>13138</v>
      </c>
      <c r="E64" s="10" t="s">
        <v>620</v>
      </c>
      <c r="F64" s="10" t="s">
        <v>13661</v>
      </c>
      <c r="G64" s="12">
        <v>9.0</v>
      </c>
      <c r="H64" s="12">
        <v>4.0</v>
      </c>
      <c r="I64" s="10" t="s">
        <v>3668</v>
      </c>
      <c r="J64" s="10" t="s">
        <v>13662</v>
      </c>
      <c r="K64" s="10" t="s">
        <v>13663</v>
      </c>
      <c r="L64" s="10" t="s">
        <v>13664</v>
      </c>
      <c r="M64" s="10" t="s">
        <v>13665</v>
      </c>
      <c r="N64" s="10" t="s">
        <v>13666</v>
      </c>
      <c r="O64" s="10" t="s">
        <v>3668</v>
      </c>
      <c r="P64" s="10" t="s">
        <v>3668</v>
      </c>
      <c r="Q64" s="10" t="s">
        <v>3668</v>
      </c>
      <c r="R64" s="10" t="s">
        <v>13667</v>
      </c>
      <c r="S64" s="10" t="s">
        <v>13668</v>
      </c>
      <c r="T64" s="10" t="s">
        <v>555</v>
      </c>
      <c r="U64" s="10" t="s">
        <v>13669</v>
      </c>
      <c r="V64" s="10" t="s">
        <v>179</v>
      </c>
      <c r="W64" s="10" t="s">
        <v>3668</v>
      </c>
      <c r="X64" s="10" t="s">
        <v>3668</v>
      </c>
      <c r="Y64" s="10" t="s">
        <v>3668</v>
      </c>
      <c r="Z64" s="10" t="s">
        <v>3668</v>
      </c>
      <c r="AA64" s="10" t="s">
        <v>179</v>
      </c>
      <c r="AB64" s="10" t="s">
        <v>179</v>
      </c>
      <c r="AC64" s="10" t="s">
        <v>179</v>
      </c>
      <c r="AD64" s="10" t="s">
        <v>179</v>
      </c>
      <c r="AE64" s="10" t="s">
        <v>179</v>
      </c>
      <c r="AF64" s="10" t="s">
        <v>3668</v>
      </c>
      <c r="AG64" s="10" t="s">
        <v>3668</v>
      </c>
      <c r="AH64" s="10" t="s">
        <v>179</v>
      </c>
      <c r="AI64" s="10" t="s">
        <v>3668</v>
      </c>
      <c r="AJ64" s="10" t="s">
        <v>3668</v>
      </c>
      <c r="AK64" s="10" t="s">
        <v>620</v>
      </c>
      <c r="AL64" s="12">
        <v>3.0</v>
      </c>
      <c r="AM64" s="10" t="s">
        <v>13670</v>
      </c>
      <c r="AN64" s="10" t="s">
        <v>13161</v>
      </c>
      <c r="AO64" s="10" t="s">
        <v>13161</v>
      </c>
      <c r="AP64" s="10" t="s">
        <v>13565</v>
      </c>
      <c r="AQ64" s="10" t="s">
        <v>13469</v>
      </c>
      <c r="AR64" s="10" t="s">
        <v>13565</v>
      </c>
      <c r="AS64" s="10" t="s">
        <v>13461</v>
      </c>
      <c r="AT64" s="10" t="s">
        <v>13565</v>
      </c>
      <c r="AU64" s="10" t="s">
        <v>620</v>
      </c>
      <c r="AV64" s="10" t="s">
        <v>555</v>
      </c>
      <c r="AW64" s="13" t="s">
        <v>13671</v>
      </c>
      <c r="AX64" s="14"/>
    </row>
    <row r="65">
      <c r="A65" s="9">
        <v>43306.858798807865</v>
      </c>
      <c r="B65" s="10" t="s">
        <v>13672</v>
      </c>
      <c r="C65" s="10" t="s">
        <v>13673</v>
      </c>
      <c r="D65" s="11" t="s">
        <v>13138</v>
      </c>
      <c r="E65" s="10" t="s">
        <v>620</v>
      </c>
      <c r="F65" s="10" t="s">
        <v>13674</v>
      </c>
      <c r="G65" s="12">
        <v>5.0</v>
      </c>
      <c r="H65" s="12">
        <v>3.0</v>
      </c>
      <c r="I65" s="10" t="s">
        <v>179</v>
      </c>
      <c r="J65" s="10" t="s">
        <v>13675</v>
      </c>
      <c r="K65" s="10" t="s">
        <v>13676</v>
      </c>
      <c r="L65" s="10" t="s">
        <v>13677</v>
      </c>
      <c r="M65" s="10" t="s">
        <v>13678</v>
      </c>
      <c r="N65" s="10" t="s">
        <v>13679</v>
      </c>
      <c r="O65" s="10" t="s">
        <v>179</v>
      </c>
      <c r="P65" s="10" t="s">
        <v>3668</v>
      </c>
      <c r="Q65" s="10" t="s">
        <v>13161</v>
      </c>
      <c r="R65" s="10" t="s">
        <v>13667</v>
      </c>
      <c r="S65" s="10" t="s">
        <v>13680</v>
      </c>
      <c r="T65" s="10" t="s">
        <v>620</v>
      </c>
      <c r="U65" s="10" t="s">
        <v>620</v>
      </c>
      <c r="V65" s="10" t="s">
        <v>3668</v>
      </c>
      <c r="W65" s="10" t="s">
        <v>3668</v>
      </c>
      <c r="X65" s="10" t="s">
        <v>3668</v>
      </c>
      <c r="Y65" s="10" t="s">
        <v>3668</v>
      </c>
      <c r="Z65" s="10" t="s">
        <v>3668</v>
      </c>
      <c r="AA65" s="10" t="s">
        <v>179</v>
      </c>
      <c r="AB65" s="10" t="s">
        <v>179</v>
      </c>
      <c r="AC65" s="10" t="s">
        <v>179</v>
      </c>
      <c r="AD65" s="10" t="s">
        <v>3668</v>
      </c>
      <c r="AE65" s="10" t="s">
        <v>179</v>
      </c>
      <c r="AF65" s="10" t="s">
        <v>179</v>
      </c>
      <c r="AG65" s="10" t="s">
        <v>3668</v>
      </c>
      <c r="AH65" s="10" t="s">
        <v>3668</v>
      </c>
      <c r="AI65" s="10" t="s">
        <v>3668</v>
      </c>
      <c r="AJ65" s="10" t="s">
        <v>179</v>
      </c>
      <c r="AK65" s="10" t="s">
        <v>620</v>
      </c>
      <c r="AL65" s="12">
        <v>4.0</v>
      </c>
      <c r="AM65" s="10" t="s">
        <v>13681</v>
      </c>
      <c r="AN65" s="10" t="s">
        <v>13565</v>
      </c>
      <c r="AO65" s="10" t="s">
        <v>13461</v>
      </c>
      <c r="AP65" s="10" t="s">
        <v>13565</v>
      </c>
      <c r="AQ65" s="10" t="s">
        <v>13469</v>
      </c>
      <c r="AR65" s="10" t="s">
        <v>13565</v>
      </c>
      <c r="AS65" s="10" t="s">
        <v>13565</v>
      </c>
      <c r="AT65" s="10" t="s">
        <v>13565</v>
      </c>
      <c r="AU65" s="10" t="s">
        <v>13682</v>
      </c>
      <c r="AV65" s="10" t="s">
        <v>13683</v>
      </c>
      <c r="AW65" s="13" t="s">
        <v>13684</v>
      </c>
      <c r="AX65" s="14"/>
    </row>
    <row r="66">
      <c r="A66" s="9">
        <v>43309.39457284722</v>
      </c>
      <c r="B66" s="10" t="s">
        <v>13685</v>
      </c>
      <c r="C66" s="10" t="s">
        <v>13686</v>
      </c>
      <c r="D66" s="11" t="s">
        <v>13138</v>
      </c>
      <c r="E66" s="10" t="s">
        <v>620</v>
      </c>
      <c r="F66" s="10" t="s">
        <v>13687</v>
      </c>
      <c r="G66" s="12">
        <v>9.0</v>
      </c>
      <c r="H66" s="12">
        <v>5.0</v>
      </c>
      <c r="I66" s="10" t="s">
        <v>3668</v>
      </c>
      <c r="J66" s="10" t="s">
        <v>13688</v>
      </c>
      <c r="K66" s="10" t="s">
        <v>13689</v>
      </c>
      <c r="L66" s="10" t="s">
        <v>13690</v>
      </c>
      <c r="M66" s="10" t="s">
        <v>13691</v>
      </c>
      <c r="N66" s="10" t="s">
        <v>13692</v>
      </c>
      <c r="O66" s="10" t="s">
        <v>3668</v>
      </c>
      <c r="P66" s="10" t="s">
        <v>3668</v>
      </c>
      <c r="Q66" s="10" t="s">
        <v>3668</v>
      </c>
      <c r="R66" s="10" t="s">
        <v>13392</v>
      </c>
      <c r="S66" s="10" t="s">
        <v>13693</v>
      </c>
      <c r="T66" s="10" t="s">
        <v>179</v>
      </c>
      <c r="U66" s="10" t="s">
        <v>13694</v>
      </c>
      <c r="V66" s="10" t="s">
        <v>179</v>
      </c>
      <c r="W66" s="10" t="s">
        <v>3668</v>
      </c>
      <c r="X66" s="10" t="s">
        <v>3668</v>
      </c>
      <c r="Y66" s="10" t="s">
        <v>3668</v>
      </c>
      <c r="Z66" s="10" t="s">
        <v>3668</v>
      </c>
      <c r="AA66" s="10" t="s">
        <v>3668</v>
      </c>
      <c r="AB66" s="10" t="s">
        <v>179</v>
      </c>
      <c r="AC66" s="10" t="s">
        <v>3668</v>
      </c>
      <c r="AD66" s="10" t="s">
        <v>3668</v>
      </c>
      <c r="AE66" s="10" t="s">
        <v>3668</v>
      </c>
      <c r="AF66" s="10" t="s">
        <v>3668</v>
      </c>
      <c r="AG66" s="10" t="s">
        <v>3668</v>
      </c>
      <c r="AH66" s="10" t="s">
        <v>3668</v>
      </c>
      <c r="AI66" s="10" t="s">
        <v>3668</v>
      </c>
      <c r="AJ66" s="10" t="s">
        <v>3668</v>
      </c>
      <c r="AK66" s="10" t="s">
        <v>620</v>
      </c>
      <c r="AL66" s="12">
        <v>5.0</v>
      </c>
      <c r="AM66" s="10" t="s">
        <v>13695</v>
      </c>
      <c r="AN66" s="10" t="s">
        <v>13469</v>
      </c>
      <c r="AO66" s="10" t="s">
        <v>13161</v>
      </c>
      <c r="AP66" s="10" t="s">
        <v>13469</v>
      </c>
      <c r="AQ66" s="10" t="s">
        <v>13469</v>
      </c>
      <c r="AR66" s="10" t="s">
        <v>13469</v>
      </c>
      <c r="AS66" s="10" t="s">
        <v>13161</v>
      </c>
      <c r="AT66" s="10" t="s">
        <v>13469</v>
      </c>
      <c r="AU66" s="10" t="s">
        <v>620</v>
      </c>
      <c r="AV66" s="10" t="s">
        <v>179</v>
      </c>
      <c r="AW66" s="13" t="s">
        <v>13696</v>
      </c>
      <c r="AX66" s="14"/>
    </row>
    <row r="67">
      <c r="A67" s="9">
        <v>43309.40742532407</v>
      </c>
      <c r="B67" s="10" t="s">
        <v>13685</v>
      </c>
      <c r="C67" s="10" t="s">
        <v>13697</v>
      </c>
      <c r="D67" s="11" t="s">
        <v>13138</v>
      </c>
      <c r="E67" s="10" t="s">
        <v>620</v>
      </c>
      <c r="F67" s="10" t="s">
        <v>13698</v>
      </c>
      <c r="G67" s="12">
        <v>9.0</v>
      </c>
      <c r="H67" s="12">
        <v>5.0</v>
      </c>
      <c r="I67" s="10" t="s">
        <v>3668</v>
      </c>
      <c r="J67" s="10" t="s">
        <v>13699</v>
      </c>
      <c r="K67" s="10" t="s">
        <v>13700</v>
      </c>
      <c r="L67" s="10" t="s">
        <v>13701</v>
      </c>
      <c r="M67" s="10" t="s">
        <v>13702</v>
      </c>
      <c r="N67" s="10" t="s">
        <v>13703</v>
      </c>
      <c r="O67" s="10" t="s">
        <v>3668</v>
      </c>
      <c r="P67" s="10" t="s">
        <v>3668</v>
      </c>
      <c r="Q67" s="10" t="s">
        <v>3668</v>
      </c>
      <c r="R67" s="10" t="s">
        <v>13392</v>
      </c>
      <c r="S67" s="10" t="s">
        <v>13704</v>
      </c>
      <c r="T67" s="10" t="s">
        <v>13705</v>
      </c>
      <c r="U67" s="10" t="s">
        <v>13706</v>
      </c>
      <c r="V67" s="10" t="s">
        <v>179</v>
      </c>
      <c r="W67" s="10" t="s">
        <v>3668</v>
      </c>
      <c r="X67" s="10" t="s">
        <v>3668</v>
      </c>
      <c r="Y67" s="10" t="s">
        <v>3668</v>
      </c>
      <c r="Z67" s="10" t="s">
        <v>3668</v>
      </c>
      <c r="AA67" s="10" t="s">
        <v>3668</v>
      </c>
      <c r="AB67" s="10" t="s">
        <v>3668</v>
      </c>
      <c r="AC67" s="10" t="s">
        <v>3668</v>
      </c>
      <c r="AD67" s="10" t="s">
        <v>3668</v>
      </c>
      <c r="AE67" s="10" t="s">
        <v>3668</v>
      </c>
      <c r="AF67" s="10" t="s">
        <v>3668</v>
      </c>
      <c r="AG67" s="10" t="s">
        <v>3668</v>
      </c>
      <c r="AH67" s="10" t="s">
        <v>3668</v>
      </c>
      <c r="AI67" s="10" t="s">
        <v>3668</v>
      </c>
      <c r="AJ67" s="10" t="s">
        <v>3668</v>
      </c>
      <c r="AK67" s="10" t="s">
        <v>620</v>
      </c>
      <c r="AL67" s="12">
        <v>5.0</v>
      </c>
      <c r="AM67" s="10" t="s">
        <v>13695</v>
      </c>
      <c r="AN67" s="10" t="s">
        <v>13469</v>
      </c>
      <c r="AO67" s="10" t="s">
        <v>13161</v>
      </c>
      <c r="AP67" s="10" t="s">
        <v>13469</v>
      </c>
      <c r="AQ67" s="10" t="s">
        <v>13469</v>
      </c>
      <c r="AR67" s="10" t="s">
        <v>13469</v>
      </c>
      <c r="AS67" s="10" t="s">
        <v>13161</v>
      </c>
      <c r="AT67" s="10" t="s">
        <v>13469</v>
      </c>
      <c r="AU67" s="10" t="s">
        <v>620</v>
      </c>
      <c r="AV67" s="10" t="s">
        <v>13707</v>
      </c>
      <c r="AW67" s="13" t="s">
        <v>13708</v>
      </c>
      <c r="AX67" s="14"/>
    </row>
    <row r="68">
      <c r="A68" s="9">
        <v>43309.67048306713</v>
      </c>
      <c r="B68" s="10" t="s">
        <v>13451</v>
      </c>
      <c r="C68" s="10" t="s">
        <v>13452</v>
      </c>
      <c r="D68" s="11" t="s">
        <v>13138</v>
      </c>
      <c r="E68" s="10" t="s">
        <v>620</v>
      </c>
      <c r="F68" s="10" t="s">
        <v>13661</v>
      </c>
      <c r="G68" s="12">
        <v>8.0</v>
      </c>
      <c r="H68" s="12">
        <v>5.0</v>
      </c>
      <c r="I68" s="10" t="s">
        <v>3668</v>
      </c>
      <c r="J68" s="10" t="s">
        <v>13709</v>
      </c>
      <c r="K68" s="10" t="s">
        <v>13710</v>
      </c>
      <c r="L68" s="10" t="s">
        <v>13455</v>
      </c>
      <c r="M68" s="10" t="s">
        <v>13711</v>
      </c>
      <c r="N68" s="10" t="s">
        <v>13712</v>
      </c>
      <c r="O68" s="10" t="s">
        <v>3668</v>
      </c>
      <c r="P68" s="10" t="s">
        <v>13161</v>
      </c>
      <c r="Q68" s="10" t="s">
        <v>3668</v>
      </c>
      <c r="R68" s="10" t="s">
        <v>13713</v>
      </c>
      <c r="S68" s="10" t="s">
        <v>13714</v>
      </c>
      <c r="T68" s="10" t="s">
        <v>528</v>
      </c>
      <c r="U68" s="10" t="s">
        <v>13715</v>
      </c>
      <c r="V68" s="10" t="s">
        <v>3668</v>
      </c>
      <c r="W68" s="10" t="s">
        <v>3668</v>
      </c>
      <c r="X68" s="10" t="s">
        <v>3668</v>
      </c>
      <c r="Y68" s="10" t="s">
        <v>3668</v>
      </c>
      <c r="Z68" s="10" t="s">
        <v>3668</v>
      </c>
      <c r="AA68" s="10" t="s">
        <v>3668</v>
      </c>
      <c r="AB68" s="10" t="s">
        <v>3668</v>
      </c>
      <c r="AC68" s="10" t="s">
        <v>3668</v>
      </c>
      <c r="AD68" s="10" t="s">
        <v>3668</v>
      </c>
      <c r="AE68" s="10" t="s">
        <v>3668</v>
      </c>
      <c r="AF68" s="10" t="s">
        <v>3668</v>
      </c>
      <c r="AG68" s="10" t="s">
        <v>3668</v>
      </c>
      <c r="AH68" s="10" t="s">
        <v>3668</v>
      </c>
      <c r="AI68" s="10" t="s">
        <v>3668</v>
      </c>
      <c r="AJ68" s="10" t="s">
        <v>3668</v>
      </c>
      <c r="AK68" s="10" t="s">
        <v>620</v>
      </c>
      <c r="AL68" s="12">
        <v>5.0</v>
      </c>
      <c r="AM68" s="10" t="s">
        <v>13716</v>
      </c>
      <c r="AN68" s="10" t="s">
        <v>13469</v>
      </c>
      <c r="AO68" s="10" t="s">
        <v>13469</v>
      </c>
      <c r="AP68" s="10" t="s">
        <v>13469</v>
      </c>
      <c r="AQ68" s="10" t="s">
        <v>13469</v>
      </c>
      <c r="AR68" s="10" t="s">
        <v>13469</v>
      </c>
      <c r="AS68" s="10" t="s">
        <v>13161</v>
      </c>
      <c r="AT68" s="10" t="s">
        <v>13469</v>
      </c>
      <c r="AU68" s="10" t="s">
        <v>13717</v>
      </c>
      <c r="AV68" s="10" t="s">
        <v>13718</v>
      </c>
      <c r="AW68" s="13" t="s">
        <v>13719</v>
      </c>
      <c r="AX68" s="10"/>
    </row>
    <row r="69">
      <c r="A69" s="9">
        <v>43310.54693003472</v>
      </c>
      <c r="B69" s="10" t="s">
        <v>13672</v>
      </c>
      <c r="C69" s="10" t="s">
        <v>13720</v>
      </c>
      <c r="D69" s="11" t="s">
        <v>13138</v>
      </c>
      <c r="E69" s="10" t="s">
        <v>620</v>
      </c>
      <c r="F69" s="10" t="s">
        <v>13721</v>
      </c>
      <c r="G69" s="12">
        <v>5.0</v>
      </c>
      <c r="H69" s="12">
        <v>4.0</v>
      </c>
      <c r="I69" s="10" t="s">
        <v>13161</v>
      </c>
      <c r="J69" s="10" t="s">
        <v>13722</v>
      </c>
      <c r="K69" s="10" t="s">
        <v>13723</v>
      </c>
      <c r="L69" s="10" t="s">
        <v>13724</v>
      </c>
      <c r="M69" s="10" t="s">
        <v>13725</v>
      </c>
      <c r="N69" s="10" t="s">
        <v>13724</v>
      </c>
      <c r="O69" s="10" t="s">
        <v>13161</v>
      </c>
      <c r="P69" s="10" t="s">
        <v>3668</v>
      </c>
      <c r="Q69" s="10" t="s">
        <v>13161</v>
      </c>
      <c r="R69" s="10" t="s">
        <v>13667</v>
      </c>
      <c r="S69" s="10" t="s">
        <v>13724</v>
      </c>
      <c r="T69" s="10" t="s">
        <v>13726</v>
      </c>
      <c r="U69" s="10" t="s">
        <v>13727</v>
      </c>
      <c r="V69" s="10" t="s">
        <v>3668</v>
      </c>
      <c r="W69" s="10" t="s">
        <v>3668</v>
      </c>
      <c r="X69" s="10" t="s">
        <v>3668</v>
      </c>
      <c r="Y69" s="10" t="s">
        <v>3668</v>
      </c>
      <c r="Z69" s="10" t="s">
        <v>3668</v>
      </c>
      <c r="AA69" s="10" t="s">
        <v>179</v>
      </c>
      <c r="AB69" s="10" t="s">
        <v>179</v>
      </c>
      <c r="AC69" s="10" t="s">
        <v>179</v>
      </c>
      <c r="AD69" s="10" t="s">
        <v>3668</v>
      </c>
      <c r="AE69" s="10" t="s">
        <v>179</v>
      </c>
      <c r="AF69" s="10" t="s">
        <v>179</v>
      </c>
      <c r="AG69" s="10" t="s">
        <v>3668</v>
      </c>
      <c r="AH69" s="10" t="s">
        <v>3668</v>
      </c>
      <c r="AI69" s="10" t="s">
        <v>3668</v>
      </c>
      <c r="AJ69" s="10" t="s">
        <v>179</v>
      </c>
      <c r="AK69" s="10" t="s">
        <v>620</v>
      </c>
      <c r="AL69" s="12">
        <v>4.0</v>
      </c>
      <c r="AM69" s="10" t="s">
        <v>13728</v>
      </c>
      <c r="AN69" s="10" t="s">
        <v>13565</v>
      </c>
      <c r="AO69" s="10" t="s">
        <v>13161</v>
      </c>
      <c r="AP69" s="10" t="s">
        <v>13565</v>
      </c>
      <c r="AQ69" s="10" t="s">
        <v>13469</v>
      </c>
      <c r="AR69" s="10" t="s">
        <v>13565</v>
      </c>
      <c r="AS69" s="10" t="s">
        <v>13565</v>
      </c>
      <c r="AT69" s="10" t="s">
        <v>13565</v>
      </c>
      <c r="AU69" s="10" t="s">
        <v>13729</v>
      </c>
      <c r="AV69" s="10" t="s">
        <v>13726</v>
      </c>
      <c r="AW69" s="10" t="s">
        <v>13730</v>
      </c>
      <c r="AX69" s="10"/>
    </row>
    <row r="70">
      <c r="A70" s="9">
        <v>43312.59551799769</v>
      </c>
      <c r="B70" s="10" t="s">
        <v>13731</v>
      </c>
      <c r="C70" s="10" t="s">
        <v>13732</v>
      </c>
      <c r="D70" s="11" t="s">
        <v>13138</v>
      </c>
      <c r="E70" s="10" t="s">
        <v>620</v>
      </c>
      <c r="F70" s="10" t="s">
        <v>13733</v>
      </c>
      <c r="G70" s="12">
        <v>9.0</v>
      </c>
      <c r="H70" s="12">
        <v>5.0</v>
      </c>
      <c r="I70" s="10" t="s">
        <v>3668</v>
      </c>
      <c r="J70" s="10" t="s">
        <v>13734</v>
      </c>
      <c r="K70" s="10" t="s">
        <v>13735</v>
      </c>
      <c r="L70" s="10" t="s">
        <v>13736</v>
      </c>
      <c r="M70" s="10" t="s">
        <v>13737</v>
      </c>
      <c r="N70" s="10" t="s">
        <v>13738</v>
      </c>
      <c r="O70" s="10" t="s">
        <v>3668</v>
      </c>
      <c r="P70" s="10" t="s">
        <v>3668</v>
      </c>
      <c r="Q70" s="10" t="s">
        <v>3668</v>
      </c>
      <c r="R70" s="10" t="s">
        <v>13713</v>
      </c>
      <c r="S70" s="13" t="s">
        <v>13739</v>
      </c>
      <c r="T70" s="10"/>
      <c r="U70" s="10" t="s">
        <v>13740</v>
      </c>
      <c r="V70" s="10" t="s">
        <v>3668</v>
      </c>
      <c r="W70" s="10" t="s">
        <v>3668</v>
      </c>
      <c r="X70" s="10" t="s">
        <v>3668</v>
      </c>
      <c r="Y70" s="10" t="s">
        <v>3668</v>
      </c>
      <c r="Z70" s="10" t="s">
        <v>3668</v>
      </c>
      <c r="AA70" s="10" t="s">
        <v>3668</v>
      </c>
      <c r="AB70" s="10" t="s">
        <v>620</v>
      </c>
      <c r="AC70" s="10" t="s">
        <v>3668</v>
      </c>
      <c r="AD70" s="10" t="s">
        <v>3668</v>
      </c>
      <c r="AE70" s="10" t="s">
        <v>3668</v>
      </c>
      <c r="AF70" s="10" t="s">
        <v>620</v>
      </c>
      <c r="AG70" s="10" t="s">
        <v>3668</v>
      </c>
      <c r="AH70" s="10" t="s">
        <v>3668</v>
      </c>
      <c r="AI70" s="10" t="s">
        <v>3668</v>
      </c>
      <c r="AJ70" s="10" t="s">
        <v>3668</v>
      </c>
      <c r="AK70" s="10" t="s">
        <v>620</v>
      </c>
      <c r="AL70" s="12">
        <v>5.0</v>
      </c>
      <c r="AM70" s="10" t="s">
        <v>13741</v>
      </c>
      <c r="AN70" s="10" t="s">
        <v>13565</v>
      </c>
      <c r="AO70" s="10" t="s">
        <v>13565</v>
      </c>
      <c r="AP70" s="10" t="s">
        <v>13565</v>
      </c>
      <c r="AQ70" s="10" t="s">
        <v>13565</v>
      </c>
      <c r="AR70" s="10" t="s">
        <v>13565</v>
      </c>
      <c r="AS70" s="10" t="s">
        <v>13565</v>
      </c>
      <c r="AT70" s="10" t="s">
        <v>13565</v>
      </c>
      <c r="AU70" s="10" t="s">
        <v>620</v>
      </c>
      <c r="AV70" s="10"/>
      <c r="AW70" s="13" t="s">
        <v>13742</v>
      </c>
      <c r="AX70" s="14"/>
    </row>
    <row r="71">
      <c r="A71" s="9">
        <v>43315.79616424769</v>
      </c>
      <c r="B71" s="10" t="s">
        <v>13743</v>
      </c>
      <c r="C71" s="10" t="s">
        <v>13744</v>
      </c>
      <c r="D71" s="11" t="s">
        <v>13138</v>
      </c>
      <c r="E71" s="10" t="s">
        <v>620</v>
      </c>
      <c r="F71" s="10" t="s">
        <v>13619</v>
      </c>
      <c r="G71" s="12">
        <v>5.0</v>
      </c>
      <c r="H71" s="12">
        <v>5.0</v>
      </c>
      <c r="I71" s="10" t="s">
        <v>3668</v>
      </c>
      <c r="J71" s="10" t="s">
        <v>13745</v>
      </c>
      <c r="K71" s="10" t="s">
        <v>13746</v>
      </c>
      <c r="L71" s="10" t="s">
        <v>164</v>
      </c>
      <c r="M71" s="10" t="s">
        <v>13747</v>
      </c>
      <c r="N71" s="10" t="s">
        <v>13748</v>
      </c>
      <c r="O71" s="10" t="s">
        <v>3668</v>
      </c>
      <c r="P71" s="10" t="s">
        <v>3668</v>
      </c>
      <c r="Q71" s="10" t="s">
        <v>13161</v>
      </c>
      <c r="R71" s="10" t="s">
        <v>13364</v>
      </c>
      <c r="S71" s="10"/>
      <c r="T71" s="10"/>
      <c r="U71" s="10" t="s">
        <v>13749</v>
      </c>
      <c r="V71" s="10" t="s">
        <v>3668</v>
      </c>
      <c r="W71" s="10" t="s">
        <v>3668</v>
      </c>
      <c r="X71" s="10" t="s">
        <v>3668</v>
      </c>
      <c r="Y71" s="10" t="s">
        <v>3668</v>
      </c>
      <c r="Z71" s="10" t="s">
        <v>3668</v>
      </c>
      <c r="AA71" s="10" t="s">
        <v>3668</v>
      </c>
      <c r="AB71" s="10" t="s">
        <v>3668</v>
      </c>
      <c r="AC71" s="10" t="s">
        <v>3668</v>
      </c>
      <c r="AD71" s="10" t="s">
        <v>3668</v>
      </c>
      <c r="AE71" s="10" t="s">
        <v>179</v>
      </c>
      <c r="AF71" s="10" t="s">
        <v>179</v>
      </c>
      <c r="AG71" s="10" t="s">
        <v>3668</v>
      </c>
      <c r="AH71" s="10" t="s">
        <v>3668</v>
      </c>
      <c r="AI71" s="10" t="s">
        <v>3668</v>
      </c>
      <c r="AJ71" s="10" t="s">
        <v>3668</v>
      </c>
      <c r="AK71" s="10" t="s">
        <v>620</v>
      </c>
      <c r="AL71" s="12">
        <v>5.0</v>
      </c>
      <c r="AM71" s="10" t="s">
        <v>13750</v>
      </c>
      <c r="AN71" s="10" t="s">
        <v>13565</v>
      </c>
      <c r="AO71" s="10" t="s">
        <v>13461</v>
      </c>
      <c r="AP71" s="10" t="s">
        <v>13161</v>
      </c>
      <c r="AQ71" s="10" t="s">
        <v>13565</v>
      </c>
      <c r="AR71" s="10" t="s">
        <v>13565</v>
      </c>
      <c r="AS71" s="10" t="s">
        <v>13565</v>
      </c>
      <c r="AT71" s="10" t="s">
        <v>13565</v>
      </c>
      <c r="AU71" s="10" t="s">
        <v>620</v>
      </c>
      <c r="AV71" s="10"/>
      <c r="AW71" s="13" t="s">
        <v>13751</v>
      </c>
      <c r="AX71" s="14"/>
    </row>
    <row r="72">
      <c r="A72" s="9">
        <v>43315.92210202546</v>
      </c>
      <c r="B72" s="10" t="s">
        <v>13752</v>
      </c>
      <c r="C72" s="10" t="s">
        <v>13753</v>
      </c>
      <c r="D72" s="11" t="s">
        <v>13138</v>
      </c>
      <c r="E72" s="10" t="s">
        <v>620</v>
      </c>
      <c r="F72" s="10" t="s">
        <v>13754</v>
      </c>
      <c r="G72" s="12">
        <v>6.0</v>
      </c>
      <c r="H72" s="12">
        <v>5.0</v>
      </c>
      <c r="I72" s="10" t="s">
        <v>3668</v>
      </c>
      <c r="J72" s="10" t="s">
        <v>13755</v>
      </c>
      <c r="K72" s="10" t="s">
        <v>13756</v>
      </c>
      <c r="L72" s="10" t="s">
        <v>13757</v>
      </c>
      <c r="M72" s="10" t="s">
        <v>13758</v>
      </c>
      <c r="N72" s="10" t="s">
        <v>13759</v>
      </c>
      <c r="O72" s="10" t="s">
        <v>3668</v>
      </c>
      <c r="P72" s="10" t="s">
        <v>3668</v>
      </c>
      <c r="Q72" s="10" t="s">
        <v>3668</v>
      </c>
      <c r="R72" s="10" t="s">
        <v>13392</v>
      </c>
      <c r="S72" s="10" t="s">
        <v>13760</v>
      </c>
      <c r="T72" s="10" t="s">
        <v>179</v>
      </c>
      <c r="U72" s="10" t="s">
        <v>13761</v>
      </c>
      <c r="V72" s="10" t="s">
        <v>3668</v>
      </c>
      <c r="W72" s="10" t="s">
        <v>3668</v>
      </c>
      <c r="X72" s="10" t="s">
        <v>3668</v>
      </c>
      <c r="Y72" s="10" t="s">
        <v>3668</v>
      </c>
      <c r="Z72" s="10" t="s">
        <v>3668</v>
      </c>
      <c r="AA72" s="10" t="s">
        <v>3668</v>
      </c>
      <c r="AB72" s="10" t="s">
        <v>3668</v>
      </c>
      <c r="AC72" s="10" t="s">
        <v>3668</v>
      </c>
      <c r="AD72" s="10" t="s">
        <v>3668</v>
      </c>
      <c r="AE72" s="10" t="s">
        <v>3668</v>
      </c>
      <c r="AF72" s="10" t="s">
        <v>3668</v>
      </c>
      <c r="AG72" s="10" t="s">
        <v>3668</v>
      </c>
      <c r="AH72" s="10" t="s">
        <v>3668</v>
      </c>
      <c r="AI72" s="10" t="s">
        <v>3668</v>
      </c>
      <c r="AJ72" s="10" t="s">
        <v>3668</v>
      </c>
      <c r="AK72" s="10" t="s">
        <v>620</v>
      </c>
      <c r="AL72" s="12">
        <v>5.0</v>
      </c>
      <c r="AM72" s="10" t="s">
        <v>13762</v>
      </c>
      <c r="AN72" s="10" t="s">
        <v>13469</v>
      </c>
      <c r="AO72" s="10" t="s">
        <v>13469</v>
      </c>
      <c r="AP72" s="10" t="s">
        <v>13469</v>
      </c>
      <c r="AQ72" s="10" t="s">
        <v>13469</v>
      </c>
      <c r="AR72" s="10" t="s">
        <v>13469</v>
      </c>
      <c r="AS72" s="10" t="s">
        <v>13469</v>
      </c>
      <c r="AT72" s="10" t="s">
        <v>13469</v>
      </c>
      <c r="AU72" s="10" t="s">
        <v>620</v>
      </c>
      <c r="AV72" s="10" t="s">
        <v>13763</v>
      </c>
      <c r="AW72" s="10" t="s">
        <v>372</v>
      </c>
      <c r="AX72" s="10"/>
    </row>
    <row r="73">
      <c r="A73" s="9">
        <v>43323.79304104167</v>
      </c>
      <c r="B73" s="10" t="s">
        <v>13764</v>
      </c>
      <c r="C73" s="10" t="s">
        <v>13765</v>
      </c>
      <c r="D73" s="11" t="s">
        <v>13138</v>
      </c>
      <c r="E73" s="10" t="s">
        <v>620</v>
      </c>
      <c r="F73" s="10" t="s">
        <v>13221</v>
      </c>
      <c r="G73" s="12">
        <v>7.0</v>
      </c>
      <c r="H73" s="12">
        <v>5.0</v>
      </c>
      <c r="I73" s="10" t="s">
        <v>3668</v>
      </c>
      <c r="J73" s="10" t="s">
        <v>13766</v>
      </c>
      <c r="K73" s="10" t="s">
        <v>13767</v>
      </c>
      <c r="L73" s="10" t="s">
        <v>13768</v>
      </c>
      <c r="M73" s="10" t="s">
        <v>13769</v>
      </c>
      <c r="N73" s="10" t="s">
        <v>13770</v>
      </c>
      <c r="O73" s="10" t="s">
        <v>13161</v>
      </c>
      <c r="P73" s="10" t="s">
        <v>13161</v>
      </c>
      <c r="Q73" s="10" t="s">
        <v>3668</v>
      </c>
      <c r="R73" s="10" t="s">
        <v>13771</v>
      </c>
      <c r="S73" s="10" t="s">
        <v>13772</v>
      </c>
      <c r="T73" s="10" t="s">
        <v>13773</v>
      </c>
      <c r="U73" s="10" t="s">
        <v>13774</v>
      </c>
      <c r="V73" s="10" t="s">
        <v>3668</v>
      </c>
      <c r="W73" s="10" t="s">
        <v>3668</v>
      </c>
      <c r="X73" s="10" t="s">
        <v>3668</v>
      </c>
      <c r="Y73" s="10" t="s">
        <v>3668</v>
      </c>
      <c r="Z73" s="10" t="s">
        <v>3668</v>
      </c>
      <c r="AA73" s="10" t="s">
        <v>3668</v>
      </c>
      <c r="AB73" s="10" t="s">
        <v>179</v>
      </c>
      <c r="AC73" s="10" t="s">
        <v>3668</v>
      </c>
      <c r="AD73" s="10" t="s">
        <v>3668</v>
      </c>
      <c r="AE73" s="10" t="s">
        <v>179</v>
      </c>
      <c r="AF73" s="10" t="s">
        <v>179</v>
      </c>
      <c r="AG73" s="10" t="s">
        <v>3668</v>
      </c>
      <c r="AH73" s="10" t="s">
        <v>179</v>
      </c>
      <c r="AI73" s="10" t="s">
        <v>3668</v>
      </c>
      <c r="AJ73" s="10" t="s">
        <v>3668</v>
      </c>
      <c r="AK73" s="10" t="s">
        <v>620</v>
      </c>
      <c r="AL73" s="12">
        <v>4.0</v>
      </c>
      <c r="AM73" s="10" t="s">
        <v>13775</v>
      </c>
      <c r="AN73" s="10" t="s">
        <v>13461</v>
      </c>
      <c r="AO73" s="10" t="s">
        <v>13461</v>
      </c>
      <c r="AP73" s="10" t="s">
        <v>13469</v>
      </c>
      <c r="AQ73" s="10" t="s">
        <v>13161</v>
      </c>
      <c r="AR73" s="10" t="s">
        <v>13469</v>
      </c>
      <c r="AS73" s="10" t="s">
        <v>13461</v>
      </c>
      <c r="AT73" s="10" t="s">
        <v>13161</v>
      </c>
      <c r="AU73" s="10" t="s">
        <v>620</v>
      </c>
      <c r="AV73" s="10" t="s">
        <v>13776</v>
      </c>
      <c r="AW73" s="13" t="s">
        <v>13777</v>
      </c>
      <c r="AX73" s="14"/>
    </row>
    <row r="74">
      <c r="A74" s="9">
        <v>43325.84624774306</v>
      </c>
      <c r="B74" s="10" t="s">
        <v>13258</v>
      </c>
      <c r="C74" s="10" t="s">
        <v>13778</v>
      </c>
      <c r="D74" s="11" t="s">
        <v>13138</v>
      </c>
      <c r="E74" s="10" t="s">
        <v>13779</v>
      </c>
      <c r="F74" s="10" t="s">
        <v>13780</v>
      </c>
      <c r="G74" s="12">
        <v>5.0</v>
      </c>
      <c r="H74" s="12">
        <v>5.0</v>
      </c>
      <c r="I74" s="10" t="s">
        <v>3668</v>
      </c>
      <c r="J74" s="10" t="s">
        <v>13781</v>
      </c>
      <c r="K74" s="10" t="s">
        <v>13782</v>
      </c>
      <c r="L74" s="10" t="s">
        <v>13783</v>
      </c>
      <c r="M74" s="10" t="s">
        <v>13784</v>
      </c>
      <c r="N74" s="10" t="s">
        <v>13785</v>
      </c>
      <c r="O74" s="10" t="s">
        <v>3668</v>
      </c>
      <c r="P74" s="10" t="s">
        <v>3668</v>
      </c>
      <c r="Q74" s="10" t="s">
        <v>3668</v>
      </c>
      <c r="R74" s="10" t="s">
        <v>13667</v>
      </c>
      <c r="S74" s="10" t="s">
        <v>13786</v>
      </c>
      <c r="T74" s="10" t="s">
        <v>13787</v>
      </c>
      <c r="U74" s="10" t="s">
        <v>13788</v>
      </c>
      <c r="V74" s="10" t="s">
        <v>3668</v>
      </c>
      <c r="W74" s="10" t="s">
        <v>3668</v>
      </c>
      <c r="X74" s="10" t="s">
        <v>3668</v>
      </c>
      <c r="Y74" s="10" t="s">
        <v>3668</v>
      </c>
      <c r="Z74" s="10" t="s">
        <v>3668</v>
      </c>
      <c r="AA74" s="10" t="s">
        <v>3668</v>
      </c>
      <c r="AB74" s="10" t="s">
        <v>179</v>
      </c>
      <c r="AC74" s="10" t="s">
        <v>3668</v>
      </c>
      <c r="AD74" s="10" t="s">
        <v>3668</v>
      </c>
      <c r="AE74" s="10" t="s">
        <v>179</v>
      </c>
      <c r="AF74" s="10" t="s">
        <v>179</v>
      </c>
      <c r="AG74" s="10" t="s">
        <v>3668</v>
      </c>
      <c r="AH74" s="10" t="s">
        <v>3668</v>
      </c>
      <c r="AI74" s="10" t="s">
        <v>3668</v>
      </c>
      <c r="AJ74" s="10" t="s">
        <v>3668</v>
      </c>
      <c r="AK74" s="10" t="s">
        <v>1593</v>
      </c>
      <c r="AL74" s="12">
        <v>4.0</v>
      </c>
      <c r="AM74" s="10" t="s">
        <v>13789</v>
      </c>
      <c r="AN74" s="10" t="s">
        <v>13565</v>
      </c>
      <c r="AO74" s="10" t="s">
        <v>13565</v>
      </c>
      <c r="AP74" s="10" t="s">
        <v>13565</v>
      </c>
      <c r="AQ74" s="10" t="s">
        <v>13565</v>
      </c>
      <c r="AR74" s="10" t="s">
        <v>13565</v>
      </c>
      <c r="AS74" s="10" t="s">
        <v>13469</v>
      </c>
      <c r="AT74" s="10" t="s">
        <v>13565</v>
      </c>
      <c r="AU74" s="10" t="s">
        <v>13790</v>
      </c>
      <c r="AV74" s="10" t="s">
        <v>13791</v>
      </c>
      <c r="AW74" s="13" t="s">
        <v>13792</v>
      </c>
      <c r="AX74"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9" max="39" width="25.0"/>
    <col customWidth="1" min="40" max="40" width="19.25"/>
    <col customWidth="1" min="41" max="41" width="32.38"/>
  </cols>
  <sheetData>
    <row r="1">
      <c r="A1" s="17" t="s">
        <v>13793</v>
      </c>
      <c r="B1" s="17" t="s">
        <v>13794</v>
      </c>
      <c r="C1" s="17" t="s">
        <v>13795</v>
      </c>
      <c r="D1" s="17" t="s">
        <v>13796</v>
      </c>
      <c r="E1" s="17" t="s">
        <v>13797</v>
      </c>
      <c r="F1" s="17" t="s">
        <v>13798</v>
      </c>
      <c r="G1" s="17" t="s">
        <v>13799</v>
      </c>
      <c r="H1" s="17" t="s">
        <v>13800</v>
      </c>
      <c r="I1" s="17" t="s">
        <v>13801</v>
      </c>
      <c r="J1" s="17" t="s">
        <v>13802</v>
      </c>
      <c r="K1" s="17" t="s">
        <v>13803</v>
      </c>
      <c r="L1" s="17" t="s">
        <v>13804</v>
      </c>
      <c r="M1" s="17" t="s">
        <v>13805</v>
      </c>
      <c r="N1" s="17" t="s">
        <v>13806</v>
      </c>
      <c r="O1" s="17" t="s">
        <v>13807</v>
      </c>
      <c r="P1" s="17" t="s">
        <v>13808</v>
      </c>
      <c r="Q1" s="17" t="s">
        <v>9806</v>
      </c>
      <c r="R1" s="17" t="s">
        <v>13809</v>
      </c>
      <c r="S1" s="17" t="s">
        <v>13810</v>
      </c>
      <c r="T1" s="17" t="s">
        <v>13811</v>
      </c>
      <c r="U1" s="17" t="s">
        <v>13812</v>
      </c>
      <c r="V1" s="17" t="s">
        <v>13813</v>
      </c>
      <c r="W1" s="17" t="s">
        <v>13814</v>
      </c>
      <c r="Y1" s="17" t="s">
        <v>13815</v>
      </c>
      <c r="Z1" s="17" t="s">
        <v>13816</v>
      </c>
      <c r="AA1" s="17" t="s">
        <v>13817</v>
      </c>
      <c r="AB1" s="17" t="s">
        <v>13818</v>
      </c>
      <c r="AC1" s="17" t="s">
        <v>13819</v>
      </c>
      <c r="AD1" s="17" t="s">
        <v>13820</v>
      </c>
      <c r="AE1" s="17" t="s">
        <v>13821</v>
      </c>
      <c r="AF1" s="17" t="s">
        <v>13822</v>
      </c>
      <c r="AG1" s="17" t="s">
        <v>13823</v>
      </c>
      <c r="AH1" s="17" t="s">
        <v>13824</v>
      </c>
      <c r="AI1" s="17" t="s">
        <v>13825</v>
      </c>
      <c r="AJ1" s="17" t="s">
        <v>13826</v>
      </c>
      <c r="AK1" s="17" t="s">
        <v>13827</v>
      </c>
      <c r="AL1" s="17" t="s">
        <v>13828</v>
      </c>
      <c r="AM1" s="17" t="s">
        <v>13829</v>
      </c>
      <c r="AN1" s="17" t="s">
        <v>13830</v>
      </c>
      <c r="AO1" s="17" t="s">
        <v>13831</v>
      </c>
      <c r="AP1" s="17" t="s">
        <v>13832</v>
      </c>
      <c r="AQ1" s="17" t="s">
        <v>13833</v>
      </c>
      <c r="AR1" s="17" t="s">
        <v>13834</v>
      </c>
      <c r="AS1" s="17" t="s">
        <v>13835</v>
      </c>
      <c r="AT1" s="17" t="s">
        <v>13836</v>
      </c>
      <c r="AU1" s="17" t="s">
        <v>13837</v>
      </c>
    </row>
    <row r="2">
      <c r="A2" s="18" t="s">
        <v>13793</v>
      </c>
      <c r="B2" s="18" t="s">
        <v>13794</v>
      </c>
      <c r="C2" s="18" t="s">
        <v>13795</v>
      </c>
      <c r="D2" s="18" t="s">
        <v>13087</v>
      </c>
      <c r="E2" s="18" t="s">
        <v>13088</v>
      </c>
      <c r="F2" s="18" t="s">
        <v>13838</v>
      </c>
      <c r="G2" s="18" t="s">
        <v>13839</v>
      </c>
      <c r="H2" s="18" t="s">
        <v>13840</v>
      </c>
      <c r="I2" s="18" t="s">
        <v>13841</v>
      </c>
      <c r="J2" s="18" t="s">
        <v>13842</v>
      </c>
      <c r="K2" s="18" t="s">
        <v>13843</v>
      </c>
      <c r="L2" s="18" t="s">
        <v>13844</v>
      </c>
      <c r="M2" s="18" t="s">
        <v>13845</v>
      </c>
      <c r="N2" s="18" t="s">
        <v>13846</v>
      </c>
      <c r="O2" s="18" t="s">
        <v>13847</v>
      </c>
      <c r="P2" s="18" t="s">
        <v>13848</v>
      </c>
      <c r="Q2" s="18" t="s">
        <v>13849</v>
      </c>
      <c r="R2" s="18" t="s">
        <v>13850</v>
      </c>
      <c r="S2" s="18" t="s">
        <v>13851</v>
      </c>
      <c r="T2" s="18" t="s">
        <v>13852</v>
      </c>
      <c r="U2" s="18" t="s">
        <v>13853</v>
      </c>
      <c r="V2" s="18" t="s">
        <v>13854</v>
      </c>
      <c r="W2" s="18" t="s">
        <v>13855</v>
      </c>
      <c r="Y2" s="18" t="s">
        <v>13856</v>
      </c>
      <c r="Z2" s="18" t="s">
        <v>13857</v>
      </c>
      <c r="AA2" s="18" t="s">
        <v>13858</v>
      </c>
      <c r="AB2" s="18" t="s">
        <v>13859</v>
      </c>
      <c r="AC2" s="18" t="s">
        <v>13860</v>
      </c>
      <c r="AD2" s="18" t="s">
        <v>13861</v>
      </c>
      <c r="AE2" s="18" t="s">
        <v>13862</v>
      </c>
      <c r="AF2" s="18" t="s">
        <v>13863</v>
      </c>
      <c r="AG2" s="18" t="s">
        <v>13864</v>
      </c>
      <c r="AH2" s="18" t="s">
        <v>13865</v>
      </c>
      <c r="AI2" s="18" t="s">
        <v>13866</v>
      </c>
      <c r="AJ2" s="18" t="s">
        <v>13867</v>
      </c>
      <c r="AK2" s="18" t="s">
        <v>13868</v>
      </c>
      <c r="AL2" s="18" t="s">
        <v>13869</v>
      </c>
      <c r="AM2" s="18" t="s">
        <v>13870</v>
      </c>
      <c r="AN2" s="18" t="s">
        <v>13871</v>
      </c>
      <c r="AO2" s="18" t="s">
        <v>13872</v>
      </c>
      <c r="AP2" s="18" t="s">
        <v>13873</v>
      </c>
      <c r="AQ2" s="18" t="s">
        <v>13874</v>
      </c>
      <c r="AR2" s="18" t="s">
        <v>13875</v>
      </c>
      <c r="AS2" s="18" t="s">
        <v>13876</v>
      </c>
      <c r="AT2" s="18" t="s">
        <v>13877</v>
      </c>
      <c r="AU2" s="19" t="s">
        <v>13864</v>
      </c>
    </row>
    <row r="3">
      <c r="A3" s="20">
        <v>1.0</v>
      </c>
      <c r="B3" s="21" t="s">
        <v>620</v>
      </c>
      <c r="C3" s="21" t="s">
        <v>620</v>
      </c>
      <c r="D3" s="22">
        <v>43301.67228427083</v>
      </c>
      <c r="E3" s="21" t="s">
        <v>2207</v>
      </c>
      <c r="F3" s="21" t="s">
        <v>13878</v>
      </c>
      <c r="G3" s="23" t="s">
        <v>13879</v>
      </c>
      <c r="H3" s="21" t="s">
        <v>13880</v>
      </c>
      <c r="I3" s="21" t="s">
        <v>13881</v>
      </c>
      <c r="J3" s="21" t="s">
        <v>620</v>
      </c>
      <c r="K3" s="21" t="s">
        <v>13882</v>
      </c>
      <c r="L3" s="21" t="s">
        <v>189</v>
      </c>
      <c r="M3" s="21" t="s">
        <v>13883</v>
      </c>
      <c r="N3" s="21" t="s">
        <v>13884</v>
      </c>
      <c r="O3" s="21" t="s">
        <v>13884</v>
      </c>
      <c r="P3" s="21" t="s">
        <v>13885</v>
      </c>
      <c r="Q3" s="21" t="s">
        <v>13886</v>
      </c>
      <c r="R3" s="21" t="s">
        <v>727</v>
      </c>
      <c r="S3" s="24" t="s">
        <v>194</v>
      </c>
      <c r="T3" s="21">
        <v>11.0</v>
      </c>
      <c r="U3" s="23" t="s">
        <v>13887</v>
      </c>
      <c r="V3" s="21">
        <v>3.4</v>
      </c>
      <c r="W3" s="21" t="s">
        <v>9806</v>
      </c>
      <c r="Y3" s="21" t="s">
        <v>13052</v>
      </c>
      <c r="Z3" s="24" t="s">
        <v>636</v>
      </c>
      <c r="AA3" s="21" t="s">
        <v>13888</v>
      </c>
      <c r="AB3" s="24" t="s">
        <v>162</v>
      </c>
      <c r="AC3" s="25" t="s">
        <v>126</v>
      </c>
      <c r="AD3" s="21" t="s">
        <v>13889</v>
      </c>
      <c r="AE3" s="21" t="s">
        <v>13890</v>
      </c>
      <c r="AF3" s="21" t="s">
        <v>13891</v>
      </c>
      <c r="AG3" s="21" t="s">
        <v>13892</v>
      </c>
      <c r="AH3" s="21" t="s">
        <v>13893</v>
      </c>
      <c r="AI3" s="21" t="s">
        <v>13894</v>
      </c>
      <c r="AJ3" s="21" t="s">
        <v>13895</v>
      </c>
      <c r="AK3" s="21" t="s">
        <v>3668</v>
      </c>
      <c r="AL3" s="21" t="s">
        <v>179</v>
      </c>
      <c r="AM3" s="26" t="s">
        <v>13896</v>
      </c>
      <c r="AN3" s="27"/>
      <c r="AO3" s="28" t="s">
        <v>13897</v>
      </c>
      <c r="AP3" s="26" t="s">
        <v>13898</v>
      </c>
      <c r="AQ3" s="29"/>
      <c r="AR3" s="29"/>
      <c r="AS3" s="29"/>
      <c r="AT3" s="29"/>
      <c r="AU3" s="29"/>
    </row>
    <row r="4">
      <c r="A4" s="30">
        <v>3.0</v>
      </c>
      <c r="B4" s="31" t="s">
        <v>620</v>
      </c>
      <c r="C4" s="31" t="s">
        <v>620</v>
      </c>
      <c r="D4" s="32">
        <v>43301.696672314814</v>
      </c>
      <c r="E4" s="31" t="s">
        <v>2207</v>
      </c>
      <c r="F4" s="31" t="s">
        <v>13295</v>
      </c>
      <c r="G4" s="33" t="s">
        <v>13899</v>
      </c>
      <c r="H4" s="31" t="s">
        <v>13900</v>
      </c>
      <c r="I4" s="31" t="s">
        <v>13901</v>
      </c>
      <c r="J4" s="31" t="s">
        <v>620</v>
      </c>
      <c r="K4" s="31" t="s">
        <v>13902</v>
      </c>
      <c r="L4" s="31" t="s">
        <v>152</v>
      </c>
      <c r="M4" s="31" t="s">
        <v>13903</v>
      </c>
      <c r="N4" s="31" t="s">
        <v>13904</v>
      </c>
      <c r="O4" s="31" t="s">
        <v>13904</v>
      </c>
      <c r="P4" s="31" t="s">
        <v>13905</v>
      </c>
      <c r="Q4" s="31" t="s">
        <v>13906</v>
      </c>
      <c r="R4" s="31" t="s">
        <v>13907</v>
      </c>
      <c r="S4" s="34" t="s">
        <v>261</v>
      </c>
      <c r="T4" s="31">
        <v>11.0</v>
      </c>
      <c r="U4" s="33" t="s">
        <v>13908</v>
      </c>
      <c r="V4" s="31">
        <v>3.2</v>
      </c>
      <c r="W4" s="31" t="s">
        <v>9806</v>
      </c>
      <c r="Y4" s="31" t="s">
        <v>13909</v>
      </c>
      <c r="Z4" s="30" t="s">
        <v>13910</v>
      </c>
      <c r="AA4" s="31" t="s">
        <v>13911</v>
      </c>
      <c r="AB4" s="35" t="s">
        <v>13912</v>
      </c>
      <c r="AC4" s="36" t="s">
        <v>13913</v>
      </c>
      <c r="AD4" s="31" t="s">
        <v>13914</v>
      </c>
      <c r="AE4" s="31" t="s">
        <v>13915</v>
      </c>
      <c r="AF4" s="31" t="s">
        <v>13916</v>
      </c>
      <c r="AG4" s="31" t="s">
        <v>13917</v>
      </c>
      <c r="AH4" s="31" t="s">
        <v>13918</v>
      </c>
      <c r="AI4" s="31" t="s">
        <v>13919</v>
      </c>
      <c r="AJ4" s="31" t="s">
        <v>13920</v>
      </c>
      <c r="AK4" s="31" t="s">
        <v>3668</v>
      </c>
      <c r="AL4" s="31" t="s">
        <v>179</v>
      </c>
      <c r="AM4" s="37" t="s">
        <v>13921</v>
      </c>
      <c r="AN4" s="14"/>
      <c r="AO4" s="38" t="s">
        <v>13897</v>
      </c>
      <c r="AP4" s="33" t="s">
        <v>13922</v>
      </c>
      <c r="AQ4" s="37" t="s">
        <v>13923</v>
      </c>
      <c r="AR4" s="10"/>
      <c r="AS4" s="10"/>
      <c r="AT4" s="10"/>
      <c r="AU4" s="10"/>
    </row>
    <row r="5">
      <c r="A5" s="30">
        <v>3.0</v>
      </c>
      <c r="B5" s="21" t="s">
        <v>620</v>
      </c>
      <c r="C5" s="21" t="s">
        <v>620</v>
      </c>
      <c r="D5" s="22">
        <v>43301.71101788194</v>
      </c>
      <c r="E5" s="21" t="s">
        <v>2207</v>
      </c>
      <c r="F5" s="21" t="s">
        <v>13924</v>
      </c>
      <c r="G5" s="23" t="s">
        <v>13925</v>
      </c>
      <c r="H5" s="21" t="s">
        <v>13926</v>
      </c>
      <c r="I5" s="21">
        <v>9.293668766E9</v>
      </c>
      <c r="J5" s="21" t="s">
        <v>13927</v>
      </c>
      <c r="K5" s="21" t="s">
        <v>13928</v>
      </c>
      <c r="L5" s="21" t="s">
        <v>152</v>
      </c>
      <c r="M5" s="21" t="s">
        <v>13929</v>
      </c>
      <c r="N5" s="21" t="s">
        <v>13930</v>
      </c>
      <c r="O5" s="21" t="s">
        <v>13930</v>
      </c>
      <c r="P5" s="21">
        <v>9.293668766E9</v>
      </c>
      <c r="Q5" s="21" t="s">
        <v>13931</v>
      </c>
      <c r="R5" s="21" t="s">
        <v>13932</v>
      </c>
      <c r="S5" s="20" t="s">
        <v>1412</v>
      </c>
      <c r="T5" s="21">
        <v>10.0</v>
      </c>
      <c r="U5" s="23" t="s">
        <v>13933</v>
      </c>
      <c r="V5" s="21">
        <v>2.7</v>
      </c>
      <c r="W5" s="21" t="s">
        <v>9806</v>
      </c>
      <c r="Y5" s="21" t="s">
        <v>13934</v>
      </c>
      <c r="Z5" s="39" t="s">
        <v>387</v>
      </c>
      <c r="AA5" s="21" t="s">
        <v>13935</v>
      </c>
      <c r="AB5" s="40" t="s">
        <v>162</v>
      </c>
      <c r="AC5" s="25" t="s">
        <v>126</v>
      </c>
      <c r="AD5" s="21" t="s">
        <v>13936</v>
      </c>
      <c r="AE5" s="21" t="s">
        <v>13937</v>
      </c>
      <c r="AF5" s="21" t="s">
        <v>13938</v>
      </c>
      <c r="AG5" s="21" t="s">
        <v>13939</v>
      </c>
      <c r="AH5" s="21" t="s">
        <v>13940</v>
      </c>
      <c r="AI5" s="21" t="s">
        <v>13941</v>
      </c>
      <c r="AJ5" s="21" t="s">
        <v>179</v>
      </c>
      <c r="AK5" s="21" t="s">
        <v>179</v>
      </c>
      <c r="AL5" s="21" t="s">
        <v>3668</v>
      </c>
      <c r="AM5" s="21" t="s">
        <v>13942</v>
      </c>
      <c r="AN5" s="21" t="s">
        <v>13943</v>
      </c>
      <c r="AO5" s="21" t="s">
        <v>13897</v>
      </c>
      <c r="AP5" s="23" t="s">
        <v>13944</v>
      </c>
      <c r="AQ5" s="26" t="s">
        <v>13923</v>
      </c>
      <c r="AR5" s="29"/>
      <c r="AS5" s="29"/>
      <c r="AT5" s="29"/>
      <c r="AU5" s="29"/>
    </row>
    <row r="6">
      <c r="A6" s="24">
        <v>2.0</v>
      </c>
      <c r="B6" s="31" t="s">
        <v>620</v>
      </c>
      <c r="C6" s="31" t="s">
        <v>620</v>
      </c>
      <c r="D6" s="32">
        <v>43301.71783075231</v>
      </c>
      <c r="E6" s="31" t="s">
        <v>2207</v>
      </c>
      <c r="F6" s="31" t="s">
        <v>13945</v>
      </c>
      <c r="G6" s="33" t="s">
        <v>13946</v>
      </c>
      <c r="H6" s="31" t="s">
        <v>13672</v>
      </c>
      <c r="I6" s="31">
        <v>7.188566182E9</v>
      </c>
      <c r="J6" s="31" t="s">
        <v>620</v>
      </c>
      <c r="K6" s="31" t="s">
        <v>13947</v>
      </c>
      <c r="L6" s="31" t="s">
        <v>189</v>
      </c>
      <c r="M6" s="31" t="s">
        <v>13948</v>
      </c>
      <c r="N6" s="31" t="s">
        <v>13949</v>
      </c>
      <c r="O6" s="31" t="s">
        <v>13949</v>
      </c>
      <c r="P6" s="31">
        <v>3.472766687E9</v>
      </c>
      <c r="Q6" s="31" t="s">
        <v>13931</v>
      </c>
      <c r="R6" s="31" t="s">
        <v>13932</v>
      </c>
      <c r="S6" s="20" t="s">
        <v>1412</v>
      </c>
      <c r="T6" s="31">
        <v>10.0</v>
      </c>
      <c r="U6" s="33" t="s">
        <v>13950</v>
      </c>
      <c r="V6" s="31">
        <v>3.2</v>
      </c>
      <c r="W6" s="31" t="s">
        <v>9806</v>
      </c>
      <c r="Y6" s="31" t="s">
        <v>2983</v>
      </c>
      <c r="Z6" s="39" t="s">
        <v>387</v>
      </c>
      <c r="AA6" s="31" t="s">
        <v>621</v>
      </c>
      <c r="AB6" s="35" t="s">
        <v>13912</v>
      </c>
      <c r="AC6" s="24" t="s">
        <v>166</v>
      </c>
      <c r="AD6" s="31" t="s">
        <v>13951</v>
      </c>
      <c r="AE6" s="31" t="s">
        <v>13952</v>
      </c>
      <c r="AF6" s="31" t="s">
        <v>13953</v>
      </c>
      <c r="AG6" s="31" t="s">
        <v>13954</v>
      </c>
      <c r="AH6" s="31" t="s">
        <v>13955</v>
      </c>
      <c r="AI6" s="31" t="s">
        <v>13956</v>
      </c>
      <c r="AJ6" s="31" t="s">
        <v>13763</v>
      </c>
      <c r="AK6" s="31" t="s">
        <v>179</v>
      </c>
      <c r="AL6" s="31" t="s">
        <v>179</v>
      </c>
      <c r="AM6" s="31" t="s">
        <v>628</v>
      </c>
      <c r="AN6" s="14"/>
      <c r="AO6" s="38" t="s">
        <v>13897</v>
      </c>
      <c r="AP6" s="33" t="s">
        <v>13957</v>
      </c>
      <c r="AQ6" s="37" t="s">
        <v>13923</v>
      </c>
      <c r="AR6" s="10"/>
      <c r="AS6" s="10"/>
      <c r="AT6" s="10"/>
      <c r="AU6" s="10"/>
    </row>
    <row r="7">
      <c r="A7" s="20">
        <v>0.0</v>
      </c>
      <c r="B7" s="21" t="s">
        <v>620</v>
      </c>
      <c r="C7" s="21" t="s">
        <v>620</v>
      </c>
      <c r="D7" s="22">
        <v>43301.74584133102</v>
      </c>
      <c r="E7" s="21" t="s">
        <v>2207</v>
      </c>
      <c r="F7" s="21" t="s">
        <v>13958</v>
      </c>
      <c r="G7" s="23" t="s">
        <v>13959</v>
      </c>
      <c r="H7" s="21" t="s">
        <v>13960</v>
      </c>
      <c r="I7" s="21">
        <v>2.153036227E9</v>
      </c>
      <c r="J7" s="21" t="s">
        <v>620</v>
      </c>
      <c r="K7" s="21" t="s">
        <v>13961</v>
      </c>
      <c r="L7" s="21" t="s">
        <v>189</v>
      </c>
      <c r="M7" s="21" t="s">
        <v>13962</v>
      </c>
      <c r="N7" s="21" t="s">
        <v>13963</v>
      </c>
      <c r="O7" s="21" t="s">
        <v>13963</v>
      </c>
      <c r="P7" s="21" t="s">
        <v>13964</v>
      </c>
      <c r="Q7" s="21" t="s">
        <v>13965</v>
      </c>
      <c r="R7" s="21" t="s">
        <v>13966</v>
      </c>
      <c r="S7" s="24" t="s">
        <v>194</v>
      </c>
      <c r="T7" s="21">
        <v>11.0</v>
      </c>
      <c r="U7" s="23" t="s">
        <v>13967</v>
      </c>
      <c r="V7" s="21">
        <v>3.0</v>
      </c>
      <c r="W7" s="21" t="s">
        <v>9806</v>
      </c>
      <c r="Y7" s="21" t="s">
        <v>13968</v>
      </c>
      <c r="Z7" s="39" t="s">
        <v>387</v>
      </c>
      <c r="AA7" s="21" t="s">
        <v>199</v>
      </c>
      <c r="AB7" s="40" t="s">
        <v>162</v>
      </c>
      <c r="AC7" s="24" t="s">
        <v>166</v>
      </c>
      <c r="AD7" s="21" t="s">
        <v>620</v>
      </c>
      <c r="AE7" s="21" t="s">
        <v>620</v>
      </c>
      <c r="AF7" s="21" t="s">
        <v>620</v>
      </c>
      <c r="AG7" s="21" t="s">
        <v>13969</v>
      </c>
      <c r="AH7" s="21" t="s">
        <v>13970</v>
      </c>
      <c r="AI7" s="21" t="s">
        <v>13971</v>
      </c>
      <c r="AJ7" s="21" t="s">
        <v>179</v>
      </c>
      <c r="AK7" s="21" t="s">
        <v>179</v>
      </c>
      <c r="AL7" s="21" t="s">
        <v>179</v>
      </c>
      <c r="AM7" s="26" t="s">
        <v>13972</v>
      </c>
      <c r="AN7" s="27"/>
      <c r="AO7" s="28" t="s">
        <v>13897</v>
      </c>
      <c r="AP7" s="23" t="s">
        <v>13973</v>
      </c>
      <c r="AQ7" s="26" t="s">
        <v>13923</v>
      </c>
      <c r="AR7" s="29"/>
      <c r="AS7" s="29"/>
      <c r="AT7" s="29"/>
      <c r="AU7" s="29"/>
    </row>
    <row r="8">
      <c r="A8" s="24">
        <v>2.0</v>
      </c>
      <c r="B8" s="31" t="s">
        <v>620</v>
      </c>
      <c r="C8" s="31" t="s">
        <v>620</v>
      </c>
      <c r="D8" s="32">
        <v>43301.750757685186</v>
      </c>
      <c r="E8" s="31" t="s">
        <v>2207</v>
      </c>
      <c r="F8" s="31" t="s">
        <v>13974</v>
      </c>
      <c r="G8" s="33" t="s">
        <v>13975</v>
      </c>
      <c r="H8" s="31" t="s">
        <v>13976</v>
      </c>
      <c r="I8" s="31" t="s">
        <v>13977</v>
      </c>
      <c r="J8" s="31" t="s">
        <v>620</v>
      </c>
      <c r="K8" s="31" t="s">
        <v>13978</v>
      </c>
      <c r="L8" s="31" t="s">
        <v>152</v>
      </c>
      <c r="M8" s="31" t="s">
        <v>13979</v>
      </c>
      <c r="N8" s="31" t="s">
        <v>13980</v>
      </c>
      <c r="O8" s="31" t="s">
        <v>13981</v>
      </c>
      <c r="P8" s="31" t="s">
        <v>13982</v>
      </c>
      <c r="Q8" s="31" t="s">
        <v>7339</v>
      </c>
      <c r="R8" s="31" t="s">
        <v>13983</v>
      </c>
      <c r="S8" s="24" t="s">
        <v>194</v>
      </c>
      <c r="T8" s="31">
        <v>10.0</v>
      </c>
      <c r="U8" s="33" t="s">
        <v>13984</v>
      </c>
      <c r="V8" s="31">
        <v>3.0</v>
      </c>
      <c r="W8" s="31" t="s">
        <v>9806</v>
      </c>
      <c r="Y8" s="31" t="s">
        <v>412</v>
      </c>
      <c r="Z8" s="41" t="s">
        <v>413</v>
      </c>
      <c r="AA8" s="31" t="s">
        <v>13985</v>
      </c>
      <c r="AB8" s="40" t="s">
        <v>162</v>
      </c>
      <c r="AC8" s="42" t="s">
        <v>201</v>
      </c>
      <c r="AD8" s="31" t="s">
        <v>13986</v>
      </c>
      <c r="AE8" s="31" t="s">
        <v>13987</v>
      </c>
      <c r="AF8" s="31" t="s">
        <v>13988</v>
      </c>
      <c r="AG8" s="31" t="s">
        <v>13989</v>
      </c>
      <c r="AH8" s="31" t="s">
        <v>13990</v>
      </c>
      <c r="AI8" s="31" t="s">
        <v>13991</v>
      </c>
      <c r="AJ8" s="31" t="s">
        <v>179</v>
      </c>
      <c r="AK8" s="31" t="s">
        <v>179</v>
      </c>
      <c r="AL8" s="31" t="s">
        <v>179</v>
      </c>
      <c r="AM8" s="37" t="s">
        <v>13992</v>
      </c>
      <c r="AN8" s="14"/>
      <c r="AO8" s="38" t="s">
        <v>13897</v>
      </c>
      <c r="AP8" s="33" t="s">
        <v>13993</v>
      </c>
      <c r="AQ8" s="31" t="s">
        <v>13923</v>
      </c>
      <c r="AR8" s="43">
        <v>37257.0</v>
      </c>
      <c r="AS8" s="10"/>
      <c r="AT8" s="10"/>
      <c r="AU8" s="10"/>
    </row>
    <row r="9">
      <c r="A9" s="20">
        <v>1.0</v>
      </c>
      <c r="B9" s="21" t="s">
        <v>620</v>
      </c>
      <c r="C9" s="21" t="s">
        <v>620</v>
      </c>
      <c r="D9" s="22">
        <v>43301.77713804398</v>
      </c>
      <c r="E9" s="21" t="s">
        <v>2207</v>
      </c>
      <c r="F9" s="21" t="s">
        <v>13994</v>
      </c>
      <c r="G9" s="23" t="s">
        <v>13995</v>
      </c>
      <c r="H9" s="21" t="s">
        <v>13996</v>
      </c>
      <c r="I9" s="21" t="s">
        <v>13997</v>
      </c>
      <c r="J9" s="21" t="s">
        <v>13998</v>
      </c>
      <c r="K9" s="21" t="s">
        <v>13999</v>
      </c>
      <c r="L9" s="21" t="s">
        <v>152</v>
      </c>
      <c r="M9" s="21" t="s">
        <v>13996</v>
      </c>
      <c r="N9" s="21" t="s">
        <v>14000</v>
      </c>
      <c r="O9" s="21" t="s">
        <v>14000</v>
      </c>
      <c r="P9" s="21" t="s">
        <v>14001</v>
      </c>
      <c r="Q9" s="21" t="s">
        <v>7339</v>
      </c>
      <c r="R9" s="21" t="s">
        <v>14002</v>
      </c>
      <c r="S9" s="24" t="s">
        <v>194</v>
      </c>
      <c r="T9" s="21">
        <v>10.0</v>
      </c>
      <c r="U9" s="23" t="s">
        <v>14003</v>
      </c>
      <c r="V9" s="21">
        <v>3.5</v>
      </c>
      <c r="W9" s="21" t="s">
        <v>9806</v>
      </c>
      <c r="Y9" s="21" t="s">
        <v>7469</v>
      </c>
      <c r="Z9" s="44" t="s">
        <v>1489</v>
      </c>
      <c r="AA9" s="21" t="s">
        <v>14004</v>
      </c>
      <c r="AB9" s="35" t="s">
        <v>13912</v>
      </c>
      <c r="AC9" s="25" t="s">
        <v>126</v>
      </c>
      <c r="AD9" s="21" t="s">
        <v>14005</v>
      </c>
      <c r="AE9" s="21" t="s">
        <v>14006</v>
      </c>
      <c r="AF9" s="21" t="s">
        <v>14007</v>
      </c>
      <c r="AG9" s="21" t="s">
        <v>14008</v>
      </c>
      <c r="AH9" s="21" t="s">
        <v>14009</v>
      </c>
      <c r="AI9" s="21" t="s">
        <v>14010</v>
      </c>
      <c r="AJ9" s="21" t="s">
        <v>3668</v>
      </c>
      <c r="AK9" s="21" t="s">
        <v>3668</v>
      </c>
      <c r="AL9" s="21" t="s">
        <v>3668</v>
      </c>
      <c r="AM9" s="26" t="s">
        <v>13896</v>
      </c>
      <c r="AN9" s="27"/>
      <c r="AO9" s="28" t="s">
        <v>13897</v>
      </c>
      <c r="AP9" s="23" t="s">
        <v>14011</v>
      </c>
      <c r="AQ9" s="21" t="s">
        <v>13923</v>
      </c>
      <c r="AR9" s="45">
        <v>37257.0</v>
      </c>
      <c r="AS9" s="29"/>
      <c r="AT9" s="29"/>
      <c r="AU9" s="29"/>
    </row>
    <row r="10">
      <c r="A10" s="20">
        <v>1.0</v>
      </c>
      <c r="B10" s="31" t="s">
        <v>620</v>
      </c>
      <c r="C10" s="31" t="s">
        <v>620</v>
      </c>
      <c r="D10" s="32">
        <v>43301.820457071764</v>
      </c>
      <c r="E10" s="31" t="s">
        <v>2207</v>
      </c>
      <c r="F10" s="31" t="s">
        <v>14012</v>
      </c>
      <c r="G10" s="33" t="s">
        <v>14013</v>
      </c>
      <c r="H10" s="31" t="s">
        <v>14014</v>
      </c>
      <c r="I10" s="31" t="s">
        <v>620</v>
      </c>
      <c r="J10" s="31" t="s">
        <v>620</v>
      </c>
      <c r="K10" s="31" t="s">
        <v>14015</v>
      </c>
      <c r="L10" s="31" t="s">
        <v>189</v>
      </c>
      <c r="M10" s="31" t="s">
        <v>14014</v>
      </c>
      <c r="N10" s="31" t="s">
        <v>14016</v>
      </c>
      <c r="O10" s="31" t="s">
        <v>14016</v>
      </c>
      <c r="P10" s="31">
        <v>8.565778608E9</v>
      </c>
      <c r="Q10" s="31" t="s">
        <v>13965</v>
      </c>
      <c r="R10" s="31" t="s">
        <v>14017</v>
      </c>
      <c r="S10" s="24" t="s">
        <v>194</v>
      </c>
      <c r="T10" s="31">
        <v>10.0</v>
      </c>
      <c r="U10" s="33" t="s">
        <v>14018</v>
      </c>
      <c r="V10" s="31">
        <v>3.0</v>
      </c>
      <c r="W10" s="31" t="s">
        <v>9806</v>
      </c>
      <c r="Y10" s="31" t="s">
        <v>10106</v>
      </c>
      <c r="Z10" s="46" t="s">
        <v>2301</v>
      </c>
      <c r="AA10" s="31" t="s">
        <v>14019</v>
      </c>
      <c r="AB10" s="40" t="s">
        <v>162</v>
      </c>
      <c r="AC10" s="24" t="s">
        <v>166</v>
      </c>
      <c r="AD10" s="31" t="s">
        <v>14020</v>
      </c>
      <c r="AE10" s="31" t="s">
        <v>14021</v>
      </c>
      <c r="AF10" s="31" t="s">
        <v>14022</v>
      </c>
      <c r="AG10" s="31" t="s">
        <v>14023</v>
      </c>
      <c r="AH10" s="31" t="s">
        <v>14024</v>
      </c>
      <c r="AI10" s="31" t="s">
        <v>14025</v>
      </c>
      <c r="AJ10" s="31" t="s">
        <v>14026</v>
      </c>
      <c r="AK10" s="31" t="s">
        <v>3668</v>
      </c>
      <c r="AL10" s="31" t="s">
        <v>3668</v>
      </c>
      <c r="AM10" s="37" t="s">
        <v>13896</v>
      </c>
      <c r="AN10" s="14"/>
      <c r="AO10" s="38" t="s">
        <v>13897</v>
      </c>
      <c r="AP10" s="33" t="s">
        <v>14027</v>
      </c>
      <c r="AQ10" s="31" t="s">
        <v>13923</v>
      </c>
      <c r="AR10" s="43">
        <v>37006.0</v>
      </c>
      <c r="AS10" s="10"/>
      <c r="AT10" s="10"/>
      <c r="AU10" s="10"/>
    </row>
    <row r="11">
      <c r="A11" s="20">
        <v>1.0</v>
      </c>
      <c r="B11" s="21" t="s">
        <v>620</v>
      </c>
      <c r="C11" s="21" t="s">
        <v>620</v>
      </c>
      <c r="D11" s="22">
        <v>43301.841236238426</v>
      </c>
      <c r="E11" s="21" t="s">
        <v>2207</v>
      </c>
      <c r="F11" s="21" t="s">
        <v>14028</v>
      </c>
      <c r="G11" s="23" t="s">
        <v>14029</v>
      </c>
      <c r="H11" s="21" t="s">
        <v>14030</v>
      </c>
      <c r="I11" s="21">
        <v>2.677770165E9</v>
      </c>
      <c r="J11" s="21" t="s">
        <v>620</v>
      </c>
      <c r="K11" s="21" t="s">
        <v>14031</v>
      </c>
      <c r="L11" s="21" t="s">
        <v>189</v>
      </c>
      <c r="M11" s="21" t="s">
        <v>14030</v>
      </c>
      <c r="N11" s="21" t="s">
        <v>14032</v>
      </c>
      <c r="O11" s="21" t="s">
        <v>14032</v>
      </c>
      <c r="P11" s="21">
        <v>2.157761052E9</v>
      </c>
      <c r="Q11" s="21" t="s">
        <v>14033</v>
      </c>
      <c r="R11" s="21" t="s">
        <v>14034</v>
      </c>
      <c r="S11" s="24" t="s">
        <v>194</v>
      </c>
      <c r="T11" s="21">
        <v>11.0</v>
      </c>
      <c r="U11" s="23" t="s">
        <v>14035</v>
      </c>
      <c r="V11" s="21">
        <v>3.0</v>
      </c>
      <c r="W11" s="21" t="s">
        <v>9806</v>
      </c>
      <c r="Y11" s="21" t="s">
        <v>14036</v>
      </c>
      <c r="Z11" s="47" t="s">
        <v>300</v>
      </c>
      <c r="AA11" s="21" t="s">
        <v>14037</v>
      </c>
      <c r="AB11" s="40" t="s">
        <v>162</v>
      </c>
      <c r="AC11" s="25" t="s">
        <v>126</v>
      </c>
      <c r="AD11" s="21" t="s">
        <v>620</v>
      </c>
      <c r="AE11" s="21" t="s">
        <v>14038</v>
      </c>
      <c r="AF11" s="21" t="s">
        <v>7362</v>
      </c>
      <c r="AG11" s="21" t="s">
        <v>14039</v>
      </c>
      <c r="AH11" s="21" t="s">
        <v>14040</v>
      </c>
      <c r="AI11" s="21" t="s">
        <v>14041</v>
      </c>
      <c r="AJ11" s="21" t="s">
        <v>179</v>
      </c>
      <c r="AK11" s="21" t="s">
        <v>179</v>
      </c>
      <c r="AL11" s="21" t="s">
        <v>179</v>
      </c>
      <c r="AM11" s="26" t="s">
        <v>13972</v>
      </c>
      <c r="AN11" s="27"/>
      <c r="AO11" s="28" t="s">
        <v>13897</v>
      </c>
      <c r="AP11" s="23" t="s">
        <v>14042</v>
      </c>
      <c r="AQ11" s="21" t="s">
        <v>13923</v>
      </c>
      <c r="AR11" s="45">
        <v>36277.0</v>
      </c>
      <c r="AS11" s="29"/>
      <c r="AT11" s="29"/>
      <c r="AU11" s="29"/>
    </row>
    <row r="12">
      <c r="A12" s="20">
        <v>1.0</v>
      </c>
      <c r="B12" s="31" t="s">
        <v>620</v>
      </c>
      <c r="C12" s="31" t="s">
        <v>620</v>
      </c>
      <c r="D12" s="32">
        <v>43301.847703472224</v>
      </c>
      <c r="E12" s="31" t="s">
        <v>2207</v>
      </c>
      <c r="F12" s="31" t="s">
        <v>14043</v>
      </c>
      <c r="G12" s="33" t="s">
        <v>14044</v>
      </c>
      <c r="H12" s="31" t="s">
        <v>14045</v>
      </c>
      <c r="I12" s="31">
        <v>2.159348199E9</v>
      </c>
      <c r="J12" s="31" t="s">
        <v>620</v>
      </c>
      <c r="K12" s="31" t="s">
        <v>14046</v>
      </c>
      <c r="L12" s="31" t="s">
        <v>189</v>
      </c>
      <c r="M12" s="31" t="s">
        <v>14045</v>
      </c>
      <c r="N12" s="31" t="s">
        <v>14047</v>
      </c>
      <c r="O12" s="31" t="s">
        <v>14047</v>
      </c>
      <c r="P12" s="31">
        <v>2.153381537E9</v>
      </c>
      <c r="Q12" s="31" t="s">
        <v>14048</v>
      </c>
      <c r="R12" s="31" t="s">
        <v>14049</v>
      </c>
      <c r="S12" s="24" t="s">
        <v>194</v>
      </c>
      <c r="T12" s="31">
        <v>11.0</v>
      </c>
      <c r="U12" s="33" t="s">
        <v>14050</v>
      </c>
      <c r="V12" s="31">
        <v>3.0</v>
      </c>
      <c r="W12" s="31" t="s">
        <v>9806</v>
      </c>
      <c r="Y12" s="31" t="s">
        <v>1731</v>
      </c>
      <c r="Z12" s="24" t="s">
        <v>636</v>
      </c>
      <c r="AA12" s="31" t="s">
        <v>123</v>
      </c>
      <c r="AB12" s="40" t="s">
        <v>162</v>
      </c>
      <c r="AC12" s="24" t="s">
        <v>166</v>
      </c>
      <c r="AD12" s="31" t="s">
        <v>14051</v>
      </c>
      <c r="AE12" s="31" t="s">
        <v>14052</v>
      </c>
      <c r="AF12" s="31" t="s">
        <v>7362</v>
      </c>
      <c r="AG12" s="31" t="s">
        <v>14053</v>
      </c>
      <c r="AH12" s="31" t="s">
        <v>14054</v>
      </c>
      <c r="AI12" s="31" t="s">
        <v>14055</v>
      </c>
      <c r="AJ12" s="31" t="s">
        <v>179</v>
      </c>
      <c r="AK12" s="31" t="s">
        <v>179</v>
      </c>
      <c r="AL12" s="31" t="s">
        <v>179</v>
      </c>
      <c r="AM12" s="37" t="s">
        <v>13972</v>
      </c>
      <c r="AN12" s="14"/>
      <c r="AO12" s="38" t="s">
        <v>13897</v>
      </c>
      <c r="AP12" s="33" t="s">
        <v>14056</v>
      </c>
      <c r="AQ12" s="31" t="s">
        <v>13923</v>
      </c>
      <c r="AR12" s="43">
        <v>36960.0</v>
      </c>
      <c r="AS12" s="10"/>
      <c r="AT12" s="10"/>
      <c r="AU12" s="10"/>
    </row>
    <row r="13">
      <c r="A13" s="20">
        <v>1.0</v>
      </c>
      <c r="B13" s="21" t="s">
        <v>620</v>
      </c>
      <c r="C13" s="21" t="s">
        <v>620</v>
      </c>
      <c r="D13" s="22">
        <v>43301.853299027774</v>
      </c>
      <c r="E13" s="21" t="s">
        <v>2207</v>
      </c>
      <c r="F13" s="21" t="s">
        <v>14057</v>
      </c>
      <c r="G13" s="23" t="s">
        <v>14058</v>
      </c>
      <c r="H13" s="21" t="s">
        <v>14059</v>
      </c>
      <c r="I13" s="21">
        <v>2.677010587E9</v>
      </c>
      <c r="J13" s="21" t="s">
        <v>620</v>
      </c>
      <c r="K13" s="21" t="s">
        <v>14060</v>
      </c>
      <c r="L13" s="21" t="s">
        <v>189</v>
      </c>
      <c r="M13" s="21" t="s">
        <v>14061</v>
      </c>
      <c r="N13" s="21" t="s">
        <v>14062</v>
      </c>
      <c r="O13" s="21" t="s">
        <v>14062</v>
      </c>
      <c r="P13" s="21">
        <v>2.677010587E9</v>
      </c>
      <c r="Q13" s="21" t="s">
        <v>13965</v>
      </c>
      <c r="R13" s="21" t="s">
        <v>13966</v>
      </c>
      <c r="S13" s="24" t="s">
        <v>194</v>
      </c>
      <c r="T13" s="21">
        <v>11.0</v>
      </c>
      <c r="U13" s="23" t="s">
        <v>14063</v>
      </c>
      <c r="V13" s="21">
        <v>3.0</v>
      </c>
      <c r="W13" s="21" t="s">
        <v>9806</v>
      </c>
      <c r="Y13" s="21" t="s">
        <v>1093</v>
      </c>
      <c r="Z13" s="39" t="s">
        <v>387</v>
      </c>
      <c r="AA13" s="21" t="s">
        <v>14064</v>
      </c>
      <c r="AB13" s="35" t="s">
        <v>13912</v>
      </c>
      <c r="AC13" s="24" t="s">
        <v>415</v>
      </c>
      <c r="AD13" s="21" t="s">
        <v>620</v>
      </c>
      <c r="AE13" s="21" t="s">
        <v>14065</v>
      </c>
      <c r="AF13" s="21" t="s">
        <v>7362</v>
      </c>
      <c r="AG13" s="21" t="s">
        <v>14066</v>
      </c>
      <c r="AH13" s="21" t="s">
        <v>14067</v>
      </c>
      <c r="AI13" s="21" t="s">
        <v>14068</v>
      </c>
      <c r="AJ13" s="21" t="s">
        <v>179</v>
      </c>
      <c r="AK13" s="21" t="s">
        <v>179</v>
      </c>
      <c r="AL13" s="21" t="s">
        <v>179</v>
      </c>
      <c r="AM13" s="21" t="s">
        <v>13942</v>
      </c>
      <c r="AN13" s="21" t="s">
        <v>14069</v>
      </c>
      <c r="AO13" s="21" t="s">
        <v>13897</v>
      </c>
      <c r="AP13" s="23" t="s">
        <v>14070</v>
      </c>
      <c r="AQ13" s="21" t="s">
        <v>13923</v>
      </c>
      <c r="AR13" s="45">
        <v>37043.0</v>
      </c>
      <c r="AS13" s="29"/>
      <c r="AT13" s="29"/>
      <c r="AU13" s="29"/>
    </row>
    <row r="14">
      <c r="A14" s="20">
        <v>0.0</v>
      </c>
      <c r="B14" s="31" t="s">
        <v>620</v>
      </c>
      <c r="C14" s="31" t="s">
        <v>620</v>
      </c>
      <c r="D14" s="32">
        <v>43301.868916238425</v>
      </c>
      <c r="E14" s="31" t="s">
        <v>2207</v>
      </c>
      <c r="F14" s="31" t="s">
        <v>13230</v>
      </c>
      <c r="G14" s="33" t="s">
        <v>14071</v>
      </c>
      <c r="H14" s="31" t="s">
        <v>13229</v>
      </c>
      <c r="I14" s="31" t="s">
        <v>14072</v>
      </c>
      <c r="J14" s="31" t="s">
        <v>620</v>
      </c>
      <c r="K14" s="31" t="s">
        <v>14073</v>
      </c>
      <c r="L14" s="31" t="s">
        <v>189</v>
      </c>
      <c r="M14" s="31" t="s">
        <v>14074</v>
      </c>
      <c r="N14" s="31" t="s">
        <v>14075</v>
      </c>
      <c r="O14" s="31" t="s">
        <v>14075</v>
      </c>
      <c r="P14" s="31">
        <v>9.738012366E9</v>
      </c>
      <c r="Q14" s="31" t="s">
        <v>14076</v>
      </c>
      <c r="R14" s="31" t="s">
        <v>14077</v>
      </c>
      <c r="S14" s="48" t="s">
        <v>1388</v>
      </c>
      <c r="T14" s="31">
        <v>10.0</v>
      </c>
      <c r="U14" s="33" t="s">
        <v>14078</v>
      </c>
      <c r="V14" s="31">
        <v>4.143</v>
      </c>
      <c r="W14" s="31" t="s">
        <v>9806</v>
      </c>
      <c r="Y14" s="31" t="s">
        <v>4374</v>
      </c>
      <c r="Z14" s="20" t="s">
        <v>541</v>
      </c>
      <c r="AA14" s="31" t="s">
        <v>1828</v>
      </c>
      <c r="AB14" s="35" t="s">
        <v>13912</v>
      </c>
      <c r="AC14" s="24" t="s">
        <v>166</v>
      </c>
      <c r="AD14" s="31" t="s">
        <v>14079</v>
      </c>
      <c r="AE14" s="31" t="s">
        <v>14080</v>
      </c>
      <c r="AF14" s="31" t="s">
        <v>14081</v>
      </c>
      <c r="AG14" s="31" t="s">
        <v>14082</v>
      </c>
      <c r="AH14" s="31" t="s">
        <v>14083</v>
      </c>
      <c r="AI14" s="31" t="s">
        <v>14084</v>
      </c>
      <c r="AJ14" s="31" t="s">
        <v>179</v>
      </c>
      <c r="AK14" s="31" t="s">
        <v>3668</v>
      </c>
      <c r="AL14" s="31" t="s">
        <v>179</v>
      </c>
      <c r="AM14" s="31" t="s">
        <v>628</v>
      </c>
      <c r="AN14" s="14"/>
      <c r="AO14" s="38" t="s">
        <v>13897</v>
      </c>
      <c r="AP14" s="33" t="s">
        <v>14085</v>
      </c>
      <c r="AQ14" s="31" t="s">
        <v>13923</v>
      </c>
      <c r="AR14" s="43">
        <v>36892.0</v>
      </c>
      <c r="AS14" s="10"/>
      <c r="AT14" s="10"/>
      <c r="AU14" s="10"/>
    </row>
    <row r="15">
      <c r="A15" s="20">
        <v>1.0</v>
      </c>
      <c r="B15" s="21" t="s">
        <v>620</v>
      </c>
      <c r="C15" s="21" t="s">
        <v>620</v>
      </c>
      <c r="D15" s="22">
        <v>43301.89095554398</v>
      </c>
      <c r="E15" s="21" t="s">
        <v>2207</v>
      </c>
      <c r="F15" s="21" t="s">
        <v>14086</v>
      </c>
      <c r="G15" s="23" t="s">
        <v>14087</v>
      </c>
      <c r="H15" s="21" t="s">
        <v>14088</v>
      </c>
      <c r="I15" s="21" t="s">
        <v>14089</v>
      </c>
      <c r="J15" s="21" t="s">
        <v>14090</v>
      </c>
      <c r="K15" s="21" t="s">
        <v>14091</v>
      </c>
      <c r="L15" s="21" t="s">
        <v>189</v>
      </c>
      <c r="M15" s="21" t="s">
        <v>14092</v>
      </c>
      <c r="N15" s="21" t="s">
        <v>14093</v>
      </c>
      <c r="O15" s="21" t="s">
        <v>14093</v>
      </c>
      <c r="P15" s="21" t="s">
        <v>14094</v>
      </c>
      <c r="Q15" s="21" t="s">
        <v>13965</v>
      </c>
      <c r="R15" s="21" t="s">
        <v>14095</v>
      </c>
      <c r="S15" s="24" t="s">
        <v>194</v>
      </c>
      <c r="T15" s="21">
        <v>11.0</v>
      </c>
      <c r="U15" s="23" t="s">
        <v>14096</v>
      </c>
      <c r="V15" s="21">
        <v>3.8</v>
      </c>
      <c r="W15" s="21" t="s">
        <v>9806</v>
      </c>
      <c r="Y15" s="21" t="s">
        <v>161</v>
      </c>
      <c r="Z15" s="35" t="s">
        <v>163</v>
      </c>
      <c r="AA15" s="21" t="s">
        <v>621</v>
      </c>
      <c r="AB15" s="35" t="s">
        <v>13912</v>
      </c>
      <c r="AC15" s="24" t="s">
        <v>415</v>
      </c>
      <c r="AD15" s="21" t="s">
        <v>14097</v>
      </c>
      <c r="AE15" s="21" t="s">
        <v>14098</v>
      </c>
      <c r="AF15" s="21" t="s">
        <v>14099</v>
      </c>
      <c r="AG15" s="21" t="s">
        <v>14100</v>
      </c>
      <c r="AH15" s="21" t="s">
        <v>14101</v>
      </c>
      <c r="AI15" s="21" t="s">
        <v>14102</v>
      </c>
      <c r="AJ15" s="21" t="s">
        <v>3668</v>
      </c>
      <c r="AK15" s="21" t="s">
        <v>179</v>
      </c>
      <c r="AL15" s="21" t="s">
        <v>179</v>
      </c>
      <c r="AM15" s="26" t="s">
        <v>13942</v>
      </c>
      <c r="AN15" s="27"/>
      <c r="AO15" s="28" t="s">
        <v>13897</v>
      </c>
      <c r="AP15" s="23" t="s">
        <v>14103</v>
      </c>
      <c r="AQ15" s="21" t="s">
        <v>13923</v>
      </c>
      <c r="AR15" s="45">
        <v>36892.0</v>
      </c>
      <c r="AS15" s="29"/>
      <c r="AT15" s="29"/>
      <c r="AU15" s="29"/>
    </row>
    <row r="16">
      <c r="A16" s="20">
        <v>1.0</v>
      </c>
      <c r="B16" s="31" t="s">
        <v>620</v>
      </c>
      <c r="C16" s="31" t="s">
        <v>620</v>
      </c>
      <c r="D16" s="32">
        <v>43301.9222265625</v>
      </c>
      <c r="E16" s="31" t="s">
        <v>2207</v>
      </c>
      <c r="F16" s="31" t="s">
        <v>14104</v>
      </c>
      <c r="G16" s="33" t="s">
        <v>14105</v>
      </c>
      <c r="H16" s="31" t="s">
        <v>14106</v>
      </c>
      <c r="I16" s="31" t="s">
        <v>14107</v>
      </c>
      <c r="J16" s="31" t="s">
        <v>14108</v>
      </c>
      <c r="K16" s="31" t="s">
        <v>14109</v>
      </c>
      <c r="L16" s="31" t="s">
        <v>189</v>
      </c>
      <c r="M16" s="31" t="s">
        <v>14106</v>
      </c>
      <c r="N16" s="31" t="s">
        <v>14110</v>
      </c>
      <c r="O16" s="31" t="s">
        <v>14110</v>
      </c>
      <c r="P16" s="31" t="s">
        <v>14111</v>
      </c>
      <c r="Q16" s="31" t="s">
        <v>13965</v>
      </c>
      <c r="R16" s="31" t="s">
        <v>14034</v>
      </c>
      <c r="S16" s="24" t="s">
        <v>194</v>
      </c>
      <c r="T16" s="31">
        <v>9.0</v>
      </c>
      <c r="U16" s="33" t="s">
        <v>14112</v>
      </c>
      <c r="V16" s="31">
        <v>3.0</v>
      </c>
      <c r="W16" s="31" t="s">
        <v>9806</v>
      </c>
      <c r="Y16" s="31" t="s">
        <v>459</v>
      </c>
      <c r="Z16" s="30" t="s">
        <v>362</v>
      </c>
      <c r="AA16" s="31" t="s">
        <v>1429</v>
      </c>
      <c r="AB16" s="40" t="s">
        <v>162</v>
      </c>
      <c r="AC16" s="24" t="s">
        <v>166</v>
      </c>
      <c r="AD16" s="31" t="s">
        <v>638</v>
      </c>
      <c r="AE16" s="31" t="s">
        <v>14113</v>
      </c>
      <c r="AF16" s="31" t="s">
        <v>14114</v>
      </c>
      <c r="AG16" s="31" t="s">
        <v>14115</v>
      </c>
      <c r="AH16" s="31" t="s">
        <v>14116</v>
      </c>
      <c r="AI16" s="31" t="s">
        <v>14117</v>
      </c>
      <c r="AJ16" s="31" t="s">
        <v>179</v>
      </c>
      <c r="AK16" s="31" t="s">
        <v>179</v>
      </c>
      <c r="AL16" s="31" t="s">
        <v>179</v>
      </c>
      <c r="AM16" s="37" t="s">
        <v>13942</v>
      </c>
      <c r="AN16" s="14"/>
      <c r="AO16" s="38" t="s">
        <v>13897</v>
      </c>
      <c r="AP16" s="33" t="s">
        <v>14118</v>
      </c>
      <c r="AQ16" s="31" t="s">
        <v>13923</v>
      </c>
      <c r="AR16" s="43">
        <v>37643.0</v>
      </c>
      <c r="AS16" s="10"/>
      <c r="AT16" s="10"/>
      <c r="AU16" s="10"/>
    </row>
    <row r="17">
      <c r="A17" s="49">
        <v>1.0</v>
      </c>
      <c r="B17" s="21" t="s">
        <v>620</v>
      </c>
      <c r="C17" s="21" t="s">
        <v>620</v>
      </c>
      <c r="D17" s="22">
        <v>43301.96713612269</v>
      </c>
      <c r="E17" s="21" t="s">
        <v>2207</v>
      </c>
      <c r="F17" s="21" t="s">
        <v>14119</v>
      </c>
      <c r="G17" s="23" t="s">
        <v>14120</v>
      </c>
      <c r="H17" s="21" t="s">
        <v>14121</v>
      </c>
      <c r="I17" s="21" t="s">
        <v>14122</v>
      </c>
      <c r="J17" s="21" t="s">
        <v>14123</v>
      </c>
      <c r="K17" s="21" t="s">
        <v>14124</v>
      </c>
      <c r="L17" s="21" t="s">
        <v>152</v>
      </c>
      <c r="M17" s="21" t="s">
        <v>14121</v>
      </c>
      <c r="N17" s="21" t="s">
        <v>14125</v>
      </c>
      <c r="O17" s="21" t="s">
        <v>14125</v>
      </c>
      <c r="P17" s="21" t="s">
        <v>14126</v>
      </c>
      <c r="Q17" s="21" t="s">
        <v>14033</v>
      </c>
      <c r="R17" s="21" t="s">
        <v>14095</v>
      </c>
      <c r="S17" s="24" t="s">
        <v>194</v>
      </c>
      <c r="T17" s="21">
        <v>10.0</v>
      </c>
      <c r="U17" s="23" t="s">
        <v>14127</v>
      </c>
      <c r="V17" s="21">
        <v>3.0</v>
      </c>
      <c r="W17" s="21" t="s">
        <v>9806</v>
      </c>
      <c r="Y17" s="21" t="s">
        <v>3549</v>
      </c>
      <c r="Z17" s="30" t="s">
        <v>362</v>
      </c>
      <c r="AA17" s="21" t="s">
        <v>3552</v>
      </c>
      <c r="AB17" s="40" t="s">
        <v>162</v>
      </c>
      <c r="AC17" s="24" t="s">
        <v>166</v>
      </c>
      <c r="AD17" s="21" t="s">
        <v>14128</v>
      </c>
      <c r="AE17" s="21" t="s">
        <v>14129</v>
      </c>
      <c r="AF17" s="21" t="s">
        <v>14130</v>
      </c>
      <c r="AG17" s="21" t="s">
        <v>14131</v>
      </c>
      <c r="AH17" s="21" t="s">
        <v>14132</v>
      </c>
      <c r="AI17" s="21" t="s">
        <v>14133</v>
      </c>
      <c r="AJ17" s="21" t="s">
        <v>139</v>
      </c>
      <c r="AK17" s="21" t="s">
        <v>179</v>
      </c>
      <c r="AL17" s="21" t="s">
        <v>3668</v>
      </c>
      <c r="AM17" s="26" t="s">
        <v>13942</v>
      </c>
      <c r="AN17" s="27"/>
      <c r="AO17" s="28" t="s">
        <v>13897</v>
      </c>
      <c r="AP17" s="23" t="s">
        <v>14134</v>
      </c>
      <c r="AQ17" s="21" t="s">
        <v>13923</v>
      </c>
      <c r="AR17" s="45">
        <v>37488.0</v>
      </c>
      <c r="AS17" s="29"/>
      <c r="AT17" s="29"/>
      <c r="AU17" s="29"/>
    </row>
    <row r="18">
      <c r="A18" s="20">
        <v>1.0</v>
      </c>
      <c r="B18" s="31" t="s">
        <v>620</v>
      </c>
      <c r="C18" s="31" t="s">
        <v>620</v>
      </c>
      <c r="D18" s="32">
        <v>43302.02720699074</v>
      </c>
      <c r="E18" s="31" t="s">
        <v>2207</v>
      </c>
      <c r="F18" s="31" t="s">
        <v>14135</v>
      </c>
      <c r="G18" s="33" t="s">
        <v>14136</v>
      </c>
      <c r="H18" s="31" t="s">
        <v>14137</v>
      </c>
      <c r="I18" s="31">
        <v>2.159542385E9</v>
      </c>
      <c r="J18" s="31" t="s">
        <v>14138</v>
      </c>
      <c r="K18" s="31" t="s">
        <v>14139</v>
      </c>
      <c r="L18" s="31" t="s">
        <v>152</v>
      </c>
      <c r="M18" s="31" t="s">
        <v>14140</v>
      </c>
      <c r="N18" s="31" t="s">
        <v>14141</v>
      </c>
      <c r="O18" s="31" t="s">
        <v>14141</v>
      </c>
      <c r="P18" s="31">
        <v>2.153323487E9</v>
      </c>
      <c r="Q18" s="31" t="s">
        <v>13965</v>
      </c>
      <c r="R18" s="31" t="s">
        <v>14142</v>
      </c>
      <c r="S18" s="24" t="s">
        <v>194</v>
      </c>
      <c r="T18" s="31">
        <v>10.0</v>
      </c>
      <c r="U18" s="33" t="s">
        <v>14143</v>
      </c>
      <c r="V18" s="31">
        <v>3.0</v>
      </c>
      <c r="W18" s="31" t="s">
        <v>9806</v>
      </c>
      <c r="Y18" s="31" t="s">
        <v>14144</v>
      </c>
      <c r="Z18" s="24" t="s">
        <v>636</v>
      </c>
      <c r="AA18" s="31" t="s">
        <v>8596</v>
      </c>
      <c r="AB18" s="35" t="s">
        <v>13912</v>
      </c>
      <c r="AC18" s="50" t="s">
        <v>303</v>
      </c>
      <c r="AD18" s="31" t="s">
        <v>14145</v>
      </c>
      <c r="AE18" s="31" t="s">
        <v>14146</v>
      </c>
      <c r="AF18" s="31" t="s">
        <v>14130</v>
      </c>
      <c r="AG18" s="31" t="s">
        <v>14147</v>
      </c>
      <c r="AH18" s="31" t="s">
        <v>14148</v>
      </c>
      <c r="AI18" s="31" t="s">
        <v>14149</v>
      </c>
      <c r="AJ18" s="31" t="s">
        <v>3668</v>
      </c>
      <c r="AK18" s="31" t="s">
        <v>3668</v>
      </c>
      <c r="AL18" s="31" t="s">
        <v>3668</v>
      </c>
      <c r="AM18" s="37" t="s">
        <v>13942</v>
      </c>
      <c r="AN18" s="14"/>
      <c r="AO18" s="38" t="s">
        <v>13897</v>
      </c>
      <c r="AP18" s="33" t="s">
        <v>14150</v>
      </c>
      <c r="AQ18" s="31" t="s">
        <v>13923</v>
      </c>
      <c r="AR18" s="43">
        <v>37316.0</v>
      </c>
      <c r="AS18" s="10"/>
      <c r="AT18" s="10"/>
      <c r="AU18" s="10"/>
    </row>
    <row r="19">
      <c r="A19" s="20">
        <v>1.0</v>
      </c>
      <c r="B19" s="21" t="s">
        <v>620</v>
      </c>
      <c r="C19" s="21" t="s">
        <v>620</v>
      </c>
      <c r="D19" s="22">
        <v>43302.035614699074</v>
      </c>
      <c r="E19" s="21" t="s">
        <v>2207</v>
      </c>
      <c r="F19" s="21" t="s">
        <v>14151</v>
      </c>
      <c r="G19" s="23" t="s">
        <v>14152</v>
      </c>
      <c r="H19" s="21" t="s">
        <v>14153</v>
      </c>
      <c r="I19" s="21">
        <v>2.674693856E9</v>
      </c>
      <c r="J19" s="21" t="s">
        <v>14154</v>
      </c>
      <c r="K19" s="21" t="s">
        <v>14155</v>
      </c>
      <c r="L19" s="21" t="s">
        <v>152</v>
      </c>
      <c r="M19" s="21" t="s">
        <v>14156</v>
      </c>
      <c r="N19" s="21" t="s">
        <v>14157</v>
      </c>
      <c r="O19" s="21" t="s">
        <v>14157</v>
      </c>
      <c r="P19" s="21">
        <v>2.674693856E9</v>
      </c>
      <c r="Q19" s="21" t="s">
        <v>13965</v>
      </c>
      <c r="R19" s="21" t="s">
        <v>13966</v>
      </c>
      <c r="S19" s="24" t="s">
        <v>194</v>
      </c>
      <c r="T19" s="21">
        <v>10.0</v>
      </c>
      <c r="U19" s="23" t="s">
        <v>14158</v>
      </c>
      <c r="V19" s="21">
        <v>3.0</v>
      </c>
      <c r="W19" s="21" t="s">
        <v>9806</v>
      </c>
      <c r="Y19" s="21" t="s">
        <v>14159</v>
      </c>
      <c r="Z19" s="35" t="s">
        <v>163</v>
      </c>
      <c r="AA19" s="21" t="s">
        <v>14160</v>
      </c>
      <c r="AB19" s="40" t="s">
        <v>162</v>
      </c>
      <c r="AC19" s="50" t="s">
        <v>303</v>
      </c>
      <c r="AD19" s="21" t="s">
        <v>3943</v>
      </c>
      <c r="AE19" s="21" t="s">
        <v>14161</v>
      </c>
      <c r="AF19" s="21" t="s">
        <v>13891</v>
      </c>
      <c r="AG19" s="21" t="s">
        <v>14162</v>
      </c>
      <c r="AH19" s="21" t="s">
        <v>14163</v>
      </c>
      <c r="AI19" s="21" t="s">
        <v>14164</v>
      </c>
      <c r="AJ19" s="21" t="s">
        <v>179</v>
      </c>
      <c r="AK19" s="21" t="s">
        <v>179</v>
      </c>
      <c r="AL19" s="21" t="s">
        <v>179</v>
      </c>
      <c r="AM19" s="26" t="s">
        <v>13972</v>
      </c>
      <c r="AN19" s="27"/>
      <c r="AO19" s="28" t="s">
        <v>13897</v>
      </c>
      <c r="AP19" s="23" t="s">
        <v>14165</v>
      </c>
      <c r="AQ19" s="21" t="s">
        <v>13923</v>
      </c>
      <c r="AR19" s="45">
        <v>37271.0</v>
      </c>
      <c r="AS19" s="29"/>
      <c r="AT19" s="29"/>
      <c r="AU19" s="29"/>
    </row>
    <row r="20">
      <c r="A20" s="20">
        <v>0.0</v>
      </c>
      <c r="B20" s="31" t="s">
        <v>620</v>
      </c>
      <c r="C20" s="31" t="s">
        <v>620</v>
      </c>
      <c r="D20" s="32">
        <v>43302.04533728009</v>
      </c>
      <c r="E20" s="31" t="s">
        <v>2207</v>
      </c>
      <c r="F20" s="31" t="s">
        <v>14166</v>
      </c>
      <c r="G20" s="33" t="s">
        <v>14167</v>
      </c>
      <c r="H20" s="31" t="s">
        <v>14168</v>
      </c>
      <c r="I20" s="31" t="s">
        <v>14169</v>
      </c>
      <c r="J20" s="31" t="s">
        <v>620</v>
      </c>
      <c r="K20" s="31" t="s">
        <v>14170</v>
      </c>
      <c r="L20" s="31" t="s">
        <v>189</v>
      </c>
      <c r="M20" s="31" t="s">
        <v>14168</v>
      </c>
      <c r="N20" s="31" t="s">
        <v>14171</v>
      </c>
      <c r="O20" s="31" t="s">
        <v>14171</v>
      </c>
      <c r="P20" s="31">
        <v>9.177752577E9</v>
      </c>
      <c r="Q20" s="31" t="s">
        <v>13965</v>
      </c>
      <c r="R20" s="31" t="s">
        <v>13966</v>
      </c>
      <c r="S20" s="24" t="s">
        <v>194</v>
      </c>
      <c r="T20" s="31">
        <v>10.0</v>
      </c>
      <c r="U20" s="33" t="s">
        <v>14172</v>
      </c>
      <c r="V20" s="31">
        <v>3.0</v>
      </c>
      <c r="W20" s="31" t="s">
        <v>9806</v>
      </c>
      <c r="Y20" s="24" t="s">
        <v>459</v>
      </c>
      <c r="Z20" s="30" t="s">
        <v>362</v>
      </c>
      <c r="AA20" s="31" t="s">
        <v>1429</v>
      </c>
      <c r="AB20" s="40" t="s">
        <v>162</v>
      </c>
      <c r="AC20" s="34" t="s">
        <v>5630</v>
      </c>
      <c r="AD20" s="31" t="s">
        <v>258</v>
      </c>
      <c r="AE20" s="31" t="s">
        <v>14173</v>
      </c>
      <c r="AF20" s="31" t="s">
        <v>14130</v>
      </c>
      <c r="AG20" s="31" t="s">
        <v>14174</v>
      </c>
      <c r="AH20" s="31" t="s">
        <v>14175</v>
      </c>
      <c r="AI20" s="31" t="s">
        <v>14176</v>
      </c>
      <c r="AJ20" s="31" t="s">
        <v>179</v>
      </c>
      <c r="AK20" s="31" t="s">
        <v>179</v>
      </c>
      <c r="AL20" s="31" t="s">
        <v>179</v>
      </c>
      <c r="AM20" s="31" t="s">
        <v>628</v>
      </c>
      <c r="AN20" s="14"/>
      <c r="AO20" s="38" t="s">
        <v>13897</v>
      </c>
      <c r="AP20" s="33" t="s">
        <v>14177</v>
      </c>
      <c r="AQ20" s="31" t="s">
        <v>13923</v>
      </c>
      <c r="AR20" s="43">
        <v>37486.0</v>
      </c>
      <c r="AS20" s="31" t="s">
        <v>3668</v>
      </c>
      <c r="AT20" s="31" t="s">
        <v>99</v>
      </c>
      <c r="AU20" s="10"/>
    </row>
    <row r="21">
      <c r="A21" s="20">
        <v>0.0</v>
      </c>
      <c r="B21" s="21" t="s">
        <v>620</v>
      </c>
      <c r="C21" s="21" t="s">
        <v>620</v>
      </c>
      <c r="D21" s="22">
        <v>43302.06009313658</v>
      </c>
      <c r="E21" s="21" t="s">
        <v>2207</v>
      </c>
      <c r="F21" s="21" t="s">
        <v>14178</v>
      </c>
      <c r="G21" s="23" t="s">
        <v>14179</v>
      </c>
      <c r="H21" s="21" t="s">
        <v>14180</v>
      </c>
      <c r="I21" s="21" t="s">
        <v>14181</v>
      </c>
      <c r="J21" s="21" t="s">
        <v>14182</v>
      </c>
      <c r="K21" s="21" t="s">
        <v>14183</v>
      </c>
      <c r="L21" s="21" t="s">
        <v>189</v>
      </c>
      <c r="M21" s="21" t="s">
        <v>14184</v>
      </c>
      <c r="N21" s="21" t="s">
        <v>14185</v>
      </c>
      <c r="O21" s="21" t="s">
        <v>14185</v>
      </c>
      <c r="P21" s="21" t="s">
        <v>14181</v>
      </c>
      <c r="Q21" s="21" t="s">
        <v>13965</v>
      </c>
      <c r="R21" s="21" t="s">
        <v>13966</v>
      </c>
      <c r="S21" s="24" t="s">
        <v>194</v>
      </c>
      <c r="T21" s="21">
        <v>10.0</v>
      </c>
      <c r="U21" s="23" t="s">
        <v>14186</v>
      </c>
      <c r="V21" s="21">
        <v>3.0</v>
      </c>
      <c r="W21" s="21" t="s">
        <v>9806</v>
      </c>
      <c r="Y21" s="21" t="s">
        <v>14187</v>
      </c>
      <c r="Z21" s="35" t="s">
        <v>163</v>
      </c>
      <c r="AA21" s="21" t="s">
        <v>14188</v>
      </c>
      <c r="AB21" s="35" t="s">
        <v>13912</v>
      </c>
      <c r="AC21" s="42" t="s">
        <v>201</v>
      </c>
      <c r="AD21" s="21" t="s">
        <v>3300</v>
      </c>
      <c r="AE21" s="21" t="s">
        <v>14189</v>
      </c>
      <c r="AF21" s="21" t="s">
        <v>14190</v>
      </c>
      <c r="AG21" s="21" t="s">
        <v>14191</v>
      </c>
      <c r="AH21" s="21" t="s">
        <v>14192</v>
      </c>
      <c r="AI21" s="21" t="s">
        <v>14193</v>
      </c>
      <c r="AJ21" s="21" t="s">
        <v>3668</v>
      </c>
      <c r="AK21" s="21" t="s">
        <v>3668</v>
      </c>
      <c r="AL21" s="21" t="s">
        <v>3668</v>
      </c>
      <c r="AM21" s="21" t="s">
        <v>628</v>
      </c>
      <c r="AN21" s="27"/>
      <c r="AO21" s="28" t="s">
        <v>13897</v>
      </c>
      <c r="AP21" s="23" t="s">
        <v>14194</v>
      </c>
      <c r="AQ21" s="21" t="s">
        <v>13923</v>
      </c>
      <c r="AR21" s="45">
        <v>37363.0</v>
      </c>
      <c r="AS21" s="21" t="s">
        <v>3668</v>
      </c>
      <c r="AT21" s="21" t="s">
        <v>99</v>
      </c>
      <c r="AU21" s="29"/>
    </row>
    <row r="22">
      <c r="A22" s="20">
        <v>1.0</v>
      </c>
      <c r="B22" s="31" t="s">
        <v>620</v>
      </c>
      <c r="C22" s="31" t="s">
        <v>620</v>
      </c>
      <c r="D22" s="32">
        <v>43302.069002592594</v>
      </c>
      <c r="E22" s="31" t="s">
        <v>2207</v>
      </c>
      <c r="F22" s="31" t="s">
        <v>14195</v>
      </c>
      <c r="G22" s="33" t="s">
        <v>14196</v>
      </c>
      <c r="H22" s="31" t="s">
        <v>14197</v>
      </c>
      <c r="I22" s="31" t="s">
        <v>14198</v>
      </c>
      <c r="J22" s="31" t="s">
        <v>14199</v>
      </c>
      <c r="K22" s="31" t="s">
        <v>14200</v>
      </c>
      <c r="L22" s="31" t="s">
        <v>189</v>
      </c>
      <c r="M22" s="31" t="s">
        <v>14201</v>
      </c>
      <c r="N22" s="31" t="s">
        <v>14202</v>
      </c>
      <c r="O22" s="31" t="s">
        <v>14202</v>
      </c>
      <c r="P22" s="31" t="s">
        <v>14203</v>
      </c>
      <c r="Q22" s="31" t="s">
        <v>13965</v>
      </c>
      <c r="R22" s="31" t="s">
        <v>14034</v>
      </c>
      <c r="S22" s="24" t="s">
        <v>194</v>
      </c>
      <c r="T22" s="31">
        <v>10.0</v>
      </c>
      <c r="U22" s="33" t="s">
        <v>14204</v>
      </c>
      <c r="V22" s="31">
        <v>4.09</v>
      </c>
      <c r="W22" s="31" t="s">
        <v>9806</v>
      </c>
      <c r="Y22" s="31" t="s">
        <v>14205</v>
      </c>
      <c r="Z22" s="44" t="s">
        <v>1489</v>
      </c>
      <c r="AA22" s="31" t="s">
        <v>14206</v>
      </c>
      <c r="AB22" s="35" t="s">
        <v>13912</v>
      </c>
      <c r="AC22" s="25" t="s">
        <v>126</v>
      </c>
      <c r="AD22" s="31" t="s">
        <v>14207</v>
      </c>
      <c r="AE22" s="31" t="s">
        <v>14208</v>
      </c>
      <c r="AF22" s="31" t="s">
        <v>14007</v>
      </c>
      <c r="AG22" s="31" t="s">
        <v>14209</v>
      </c>
      <c r="AH22" s="31" t="s">
        <v>14210</v>
      </c>
      <c r="AI22" s="31" t="s">
        <v>14211</v>
      </c>
      <c r="AJ22" s="31" t="s">
        <v>179</v>
      </c>
      <c r="AK22" s="31" t="s">
        <v>179</v>
      </c>
      <c r="AL22" s="31" t="s">
        <v>179</v>
      </c>
      <c r="AM22" s="37" t="s">
        <v>13992</v>
      </c>
      <c r="AN22" s="14"/>
      <c r="AO22" s="38" t="s">
        <v>13897</v>
      </c>
      <c r="AP22" s="33" t="s">
        <v>14212</v>
      </c>
      <c r="AQ22" s="31" t="s">
        <v>13923</v>
      </c>
      <c r="AR22" s="43">
        <v>37257.0</v>
      </c>
      <c r="AS22" s="31" t="s">
        <v>3668</v>
      </c>
      <c r="AT22" s="31" t="s">
        <v>99</v>
      </c>
      <c r="AU22" s="37" t="s">
        <v>14213</v>
      </c>
    </row>
    <row r="23">
      <c r="A23" s="20">
        <v>1.0</v>
      </c>
      <c r="B23" s="21" t="s">
        <v>620</v>
      </c>
      <c r="C23" s="21" t="s">
        <v>620</v>
      </c>
      <c r="D23" s="22">
        <v>43302.07355270833</v>
      </c>
      <c r="E23" s="21" t="s">
        <v>2207</v>
      </c>
      <c r="F23" s="21" t="s">
        <v>14214</v>
      </c>
      <c r="G23" s="23" t="s">
        <v>14215</v>
      </c>
      <c r="H23" s="21" t="s">
        <v>14216</v>
      </c>
      <c r="I23" s="21" t="s">
        <v>14217</v>
      </c>
      <c r="J23" s="21" t="s">
        <v>620</v>
      </c>
      <c r="K23" s="21" t="s">
        <v>14218</v>
      </c>
      <c r="L23" s="21" t="s">
        <v>189</v>
      </c>
      <c r="M23" s="21" t="s">
        <v>14219</v>
      </c>
      <c r="N23" s="21" t="s">
        <v>14220</v>
      </c>
      <c r="O23" s="21" t="s">
        <v>14220</v>
      </c>
      <c r="P23" s="21" t="s">
        <v>14221</v>
      </c>
      <c r="Q23" s="21" t="s">
        <v>13965</v>
      </c>
      <c r="R23" s="21" t="s">
        <v>13966</v>
      </c>
      <c r="S23" s="24" t="s">
        <v>194</v>
      </c>
      <c r="T23" s="21">
        <v>11.0</v>
      </c>
      <c r="U23" s="23" t="s">
        <v>14222</v>
      </c>
      <c r="V23" s="21">
        <v>3.0</v>
      </c>
      <c r="W23" s="21" t="s">
        <v>9806</v>
      </c>
      <c r="Y23" s="24" t="s">
        <v>459</v>
      </c>
      <c r="Z23" s="30" t="s">
        <v>362</v>
      </c>
      <c r="AA23" s="21" t="s">
        <v>14223</v>
      </c>
      <c r="AB23" s="35" t="s">
        <v>13912</v>
      </c>
      <c r="AC23" s="25" t="s">
        <v>126</v>
      </c>
      <c r="AD23" s="21" t="s">
        <v>620</v>
      </c>
      <c r="AE23" s="21" t="s">
        <v>14224</v>
      </c>
      <c r="AF23" s="21" t="s">
        <v>14225</v>
      </c>
      <c r="AG23" s="21" t="s">
        <v>14226</v>
      </c>
      <c r="AH23" s="21" t="s">
        <v>14227</v>
      </c>
      <c r="AI23" s="21" t="s">
        <v>14228</v>
      </c>
      <c r="AJ23" s="21" t="s">
        <v>179</v>
      </c>
      <c r="AK23" s="21" t="s">
        <v>179</v>
      </c>
      <c r="AL23" s="21" t="s">
        <v>179</v>
      </c>
      <c r="AM23" s="21" t="s">
        <v>628</v>
      </c>
      <c r="AN23" s="27"/>
      <c r="AO23" s="28" t="s">
        <v>13897</v>
      </c>
      <c r="AP23" s="23" t="s">
        <v>14229</v>
      </c>
      <c r="AQ23" s="21" t="s">
        <v>13923</v>
      </c>
      <c r="AR23" s="45">
        <v>37043.0</v>
      </c>
      <c r="AS23" s="21" t="s">
        <v>3668</v>
      </c>
      <c r="AT23" s="21" t="s">
        <v>99</v>
      </c>
      <c r="AU23" s="29"/>
    </row>
    <row r="24">
      <c r="A24" s="20">
        <v>0.0</v>
      </c>
      <c r="B24" s="31" t="s">
        <v>620</v>
      </c>
      <c r="C24" s="31" t="s">
        <v>620</v>
      </c>
      <c r="D24" s="32">
        <v>43302.083483877315</v>
      </c>
      <c r="E24" s="31" t="s">
        <v>2207</v>
      </c>
      <c r="F24" s="31" t="s">
        <v>14230</v>
      </c>
      <c r="G24" s="33" t="s">
        <v>14231</v>
      </c>
      <c r="H24" s="31" t="s">
        <v>14232</v>
      </c>
      <c r="I24" s="31" t="s">
        <v>14233</v>
      </c>
      <c r="J24" s="31" t="s">
        <v>14234</v>
      </c>
      <c r="K24" s="31" t="s">
        <v>14235</v>
      </c>
      <c r="L24" s="31" t="s">
        <v>152</v>
      </c>
      <c r="M24" s="31" t="s">
        <v>14236</v>
      </c>
      <c r="N24" s="31" t="s">
        <v>14237</v>
      </c>
      <c r="O24" s="31" t="s">
        <v>14237</v>
      </c>
      <c r="P24" s="31" t="s">
        <v>14238</v>
      </c>
      <c r="Q24" s="31" t="s">
        <v>13965</v>
      </c>
      <c r="R24" s="31" t="s">
        <v>13966</v>
      </c>
      <c r="S24" s="24" t="s">
        <v>194</v>
      </c>
      <c r="T24" s="31">
        <v>11.0</v>
      </c>
      <c r="U24" s="33" t="s">
        <v>14239</v>
      </c>
      <c r="V24" s="31">
        <v>3.0</v>
      </c>
      <c r="W24" s="31" t="s">
        <v>9806</v>
      </c>
      <c r="Y24" s="31" t="s">
        <v>13052</v>
      </c>
      <c r="Z24" s="24" t="s">
        <v>636</v>
      </c>
      <c r="AA24" s="31" t="s">
        <v>14240</v>
      </c>
      <c r="AB24" s="35" t="s">
        <v>13912</v>
      </c>
      <c r="AC24" s="25" t="s">
        <v>126</v>
      </c>
      <c r="AD24" s="31" t="s">
        <v>620</v>
      </c>
      <c r="AE24" s="31" t="s">
        <v>14241</v>
      </c>
      <c r="AF24" s="31" t="s">
        <v>14242</v>
      </c>
      <c r="AG24" s="31" t="s">
        <v>14243</v>
      </c>
      <c r="AH24" s="31" t="s">
        <v>14244</v>
      </c>
      <c r="AI24" s="31" t="s">
        <v>14245</v>
      </c>
      <c r="AJ24" s="31" t="s">
        <v>3668</v>
      </c>
      <c r="AK24" s="31" t="s">
        <v>179</v>
      </c>
      <c r="AL24" s="31" t="s">
        <v>179</v>
      </c>
      <c r="AM24" s="37" t="s">
        <v>13896</v>
      </c>
      <c r="AN24" s="14"/>
      <c r="AO24" s="38" t="s">
        <v>13897</v>
      </c>
      <c r="AP24" s="33" t="s">
        <v>14246</v>
      </c>
      <c r="AQ24" s="31" t="s">
        <v>13923</v>
      </c>
      <c r="AR24" s="43">
        <v>36922.0</v>
      </c>
      <c r="AS24" s="31" t="s">
        <v>3668</v>
      </c>
      <c r="AT24" s="31" t="s">
        <v>99</v>
      </c>
      <c r="AU24" s="10"/>
    </row>
    <row r="25">
      <c r="A25" s="20">
        <v>1.0</v>
      </c>
      <c r="B25" s="21" t="s">
        <v>620</v>
      </c>
      <c r="C25" s="21" t="s">
        <v>620</v>
      </c>
      <c r="D25" s="22">
        <v>43302.08906303241</v>
      </c>
      <c r="E25" s="21" t="s">
        <v>2207</v>
      </c>
      <c r="F25" s="21" t="s">
        <v>14247</v>
      </c>
      <c r="G25" s="23" t="s">
        <v>14248</v>
      </c>
      <c r="H25" s="21" t="s">
        <v>14249</v>
      </c>
      <c r="I25" s="21" t="s">
        <v>14250</v>
      </c>
      <c r="J25" s="21" t="s">
        <v>14251</v>
      </c>
      <c r="K25" s="21" t="s">
        <v>14252</v>
      </c>
      <c r="L25" s="21" t="s">
        <v>189</v>
      </c>
      <c r="M25" s="21" t="s">
        <v>14249</v>
      </c>
      <c r="N25" s="21" t="s">
        <v>14253</v>
      </c>
      <c r="O25" s="21" t="s">
        <v>14249</v>
      </c>
      <c r="P25" s="21" t="s">
        <v>14254</v>
      </c>
      <c r="Q25" s="21" t="s">
        <v>13965</v>
      </c>
      <c r="R25" s="21" t="s">
        <v>13966</v>
      </c>
      <c r="S25" s="24" t="s">
        <v>194</v>
      </c>
      <c r="T25" s="21">
        <v>11.0</v>
      </c>
      <c r="U25" s="23" t="s">
        <v>14255</v>
      </c>
      <c r="V25" s="21">
        <v>3.0</v>
      </c>
      <c r="W25" s="21" t="s">
        <v>9806</v>
      </c>
      <c r="Y25" s="21" t="s">
        <v>14187</v>
      </c>
      <c r="Z25" s="35" t="s">
        <v>163</v>
      </c>
      <c r="AA25" s="21" t="s">
        <v>165</v>
      </c>
      <c r="AB25" s="40" t="s">
        <v>162</v>
      </c>
      <c r="AC25" s="25" t="s">
        <v>126</v>
      </c>
      <c r="AD25" s="21" t="s">
        <v>14256</v>
      </c>
      <c r="AE25" s="21" t="s">
        <v>14257</v>
      </c>
      <c r="AF25" s="21" t="s">
        <v>14130</v>
      </c>
      <c r="AG25" s="21" t="s">
        <v>14258</v>
      </c>
      <c r="AH25" s="21" t="s">
        <v>14259</v>
      </c>
      <c r="AI25" s="21" t="s">
        <v>14260</v>
      </c>
      <c r="AJ25" s="21" t="s">
        <v>3668</v>
      </c>
      <c r="AK25" s="21" t="s">
        <v>179</v>
      </c>
      <c r="AL25" s="21" t="s">
        <v>179</v>
      </c>
      <c r="AM25" s="21" t="s">
        <v>13896</v>
      </c>
      <c r="AN25" s="21" t="s">
        <v>14261</v>
      </c>
      <c r="AO25" s="21" t="s">
        <v>13897</v>
      </c>
      <c r="AP25" s="23" t="s">
        <v>14262</v>
      </c>
      <c r="AQ25" s="21" t="s">
        <v>13923</v>
      </c>
      <c r="AR25" s="45">
        <v>37018.0</v>
      </c>
      <c r="AS25" s="21" t="s">
        <v>3668</v>
      </c>
      <c r="AT25" s="21" t="s">
        <v>99</v>
      </c>
      <c r="AU25" s="29"/>
    </row>
    <row r="26">
      <c r="A26" s="20">
        <v>0.0</v>
      </c>
      <c r="B26" s="10"/>
      <c r="C26" s="10"/>
      <c r="D26" s="32">
        <v>43302.09442068287</v>
      </c>
      <c r="E26" s="31" t="s">
        <v>2207</v>
      </c>
      <c r="F26" s="31" t="s">
        <v>14263</v>
      </c>
      <c r="G26" s="33" t="s">
        <v>14264</v>
      </c>
      <c r="H26" s="31" t="s">
        <v>14265</v>
      </c>
      <c r="I26" s="31" t="s">
        <v>14266</v>
      </c>
      <c r="J26" s="31" t="s">
        <v>14267</v>
      </c>
      <c r="K26" s="31" t="s">
        <v>14268</v>
      </c>
      <c r="L26" s="31" t="s">
        <v>189</v>
      </c>
      <c r="M26" s="31" t="s">
        <v>14269</v>
      </c>
      <c r="N26" s="31" t="s">
        <v>14270</v>
      </c>
      <c r="O26" s="31" t="s">
        <v>14270</v>
      </c>
      <c r="P26" s="31">
        <v>7.278512012E9</v>
      </c>
      <c r="Q26" s="31" t="s">
        <v>14271</v>
      </c>
      <c r="R26" s="31" t="s">
        <v>13966</v>
      </c>
      <c r="S26" s="24" t="s">
        <v>194</v>
      </c>
      <c r="T26" s="31">
        <v>11.0</v>
      </c>
      <c r="U26" s="33" t="s">
        <v>14272</v>
      </c>
      <c r="V26" s="31">
        <v>3.0</v>
      </c>
      <c r="W26" s="31" t="s">
        <v>7449</v>
      </c>
      <c r="Y26" s="31" t="s">
        <v>8752</v>
      </c>
      <c r="Z26" s="35" t="s">
        <v>163</v>
      </c>
      <c r="AA26" s="31" t="s">
        <v>14160</v>
      </c>
      <c r="AB26" s="20" t="s">
        <v>14273</v>
      </c>
      <c r="AC26" s="24" t="s">
        <v>166</v>
      </c>
      <c r="AD26" s="31" t="s">
        <v>620</v>
      </c>
      <c r="AE26" s="31" t="s">
        <v>14274</v>
      </c>
      <c r="AF26" s="31" t="s">
        <v>14007</v>
      </c>
      <c r="AG26" s="31" t="s">
        <v>14275</v>
      </c>
      <c r="AH26" s="31" t="s">
        <v>14276</v>
      </c>
      <c r="AI26" s="31" t="s">
        <v>14277</v>
      </c>
      <c r="AJ26" s="31" t="s">
        <v>139</v>
      </c>
      <c r="AK26" s="31" t="s">
        <v>179</v>
      </c>
      <c r="AL26" s="31" t="s">
        <v>179</v>
      </c>
      <c r="AM26" s="37" t="s">
        <v>13972</v>
      </c>
      <c r="AN26" s="14"/>
      <c r="AO26" s="38" t="s">
        <v>13897</v>
      </c>
      <c r="AP26" s="33" t="s">
        <v>14278</v>
      </c>
      <c r="AQ26" s="31" t="s">
        <v>13923</v>
      </c>
      <c r="AR26" s="43">
        <v>37372.0</v>
      </c>
      <c r="AS26" s="31" t="s">
        <v>3668</v>
      </c>
      <c r="AT26" s="31" t="s">
        <v>99</v>
      </c>
      <c r="AU26" s="10"/>
    </row>
    <row r="27">
      <c r="A27" s="20">
        <v>0.0</v>
      </c>
      <c r="B27" s="29"/>
      <c r="C27" s="29"/>
      <c r="D27" s="22">
        <v>43302.48281208333</v>
      </c>
      <c r="E27" s="21" t="s">
        <v>2207</v>
      </c>
      <c r="F27" s="21" t="s">
        <v>14279</v>
      </c>
      <c r="G27" s="23" t="s">
        <v>14280</v>
      </c>
      <c r="H27" s="21" t="s">
        <v>14281</v>
      </c>
      <c r="I27" s="21" t="s">
        <v>14282</v>
      </c>
      <c r="J27" s="21" t="s">
        <v>620</v>
      </c>
      <c r="K27" s="21" t="s">
        <v>14283</v>
      </c>
      <c r="L27" s="21" t="s">
        <v>152</v>
      </c>
      <c r="M27" s="21" t="s">
        <v>14284</v>
      </c>
      <c r="N27" s="21" t="s">
        <v>14285</v>
      </c>
      <c r="O27" s="21" t="s">
        <v>14285</v>
      </c>
      <c r="P27" s="21">
        <v>2.155009643E9</v>
      </c>
      <c r="Q27" s="21" t="s">
        <v>14286</v>
      </c>
      <c r="R27" s="21" t="s">
        <v>14095</v>
      </c>
      <c r="S27" s="24" t="s">
        <v>194</v>
      </c>
      <c r="T27" s="21">
        <v>11.0</v>
      </c>
      <c r="U27" s="23" t="s">
        <v>14287</v>
      </c>
      <c r="V27" s="21">
        <v>3.0</v>
      </c>
      <c r="W27" s="21" t="s">
        <v>9806</v>
      </c>
      <c r="Y27" s="24" t="s">
        <v>459</v>
      </c>
      <c r="Z27" s="30" t="s">
        <v>362</v>
      </c>
      <c r="AA27" s="21" t="s">
        <v>1429</v>
      </c>
      <c r="AB27" s="40" t="s">
        <v>162</v>
      </c>
      <c r="AC27" s="25" t="s">
        <v>126</v>
      </c>
      <c r="AD27" s="21" t="s">
        <v>14288</v>
      </c>
      <c r="AE27" s="21" t="s">
        <v>14289</v>
      </c>
      <c r="AF27" s="21" t="s">
        <v>14007</v>
      </c>
      <c r="AG27" s="21" t="s">
        <v>14290</v>
      </c>
      <c r="AH27" s="21" t="s">
        <v>14291</v>
      </c>
      <c r="AI27" s="21" t="s">
        <v>14292</v>
      </c>
      <c r="AJ27" s="21" t="s">
        <v>3668</v>
      </c>
      <c r="AK27" s="21" t="s">
        <v>179</v>
      </c>
      <c r="AL27" s="21" t="s">
        <v>179</v>
      </c>
      <c r="AM27" s="21" t="s">
        <v>628</v>
      </c>
      <c r="AN27" s="27"/>
      <c r="AO27" s="28" t="s">
        <v>13897</v>
      </c>
      <c r="AP27" s="23" t="s">
        <v>14293</v>
      </c>
      <c r="AQ27" s="21" t="s">
        <v>13923</v>
      </c>
      <c r="AR27" s="45">
        <v>36738.0</v>
      </c>
      <c r="AS27" s="21" t="s">
        <v>3668</v>
      </c>
      <c r="AT27" s="21" t="s">
        <v>99</v>
      </c>
      <c r="AU27" s="29"/>
    </row>
    <row r="28">
      <c r="A28" s="51">
        <v>1.0</v>
      </c>
      <c r="B28" s="10"/>
      <c r="C28" s="10"/>
      <c r="D28" s="9">
        <v>43302.50384076389</v>
      </c>
      <c r="E28" s="10" t="s">
        <v>2207</v>
      </c>
      <c r="F28" s="10" t="s">
        <v>14294</v>
      </c>
      <c r="G28" s="52" t="s">
        <v>14295</v>
      </c>
      <c r="H28" s="10" t="s">
        <v>14296</v>
      </c>
      <c r="I28" s="10" t="s">
        <v>14297</v>
      </c>
      <c r="J28" s="10" t="s">
        <v>14298</v>
      </c>
      <c r="K28" s="10" t="s">
        <v>14299</v>
      </c>
      <c r="L28" s="10" t="s">
        <v>189</v>
      </c>
      <c r="M28" s="10" t="s">
        <v>14300</v>
      </c>
      <c r="N28" s="10" t="s">
        <v>14301</v>
      </c>
      <c r="O28" s="10" t="s">
        <v>14301</v>
      </c>
      <c r="P28" s="10" t="s">
        <v>14297</v>
      </c>
      <c r="Q28" s="10" t="s">
        <v>13965</v>
      </c>
      <c r="R28" s="10" t="s">
        <v>14095</v>
      </c>
      <c r="S28" s="11" t="s">
        <v>194</v>
      </c>
      <c r="T28" s="12">
        <v>11.0</v>
      </c>
      <c r="U28" s="52" t="s">
        <v>14302</v>
      </c>
      <c r="V28" s="12">
        <v>3.0</v>
      </c>
      <c r="W28" s="10" t="s">
        <v>9806</v>
      </c>
      <c r="Y28" s="10" t="s">
        <v>1093</v>
      </c>
      <c r="Z28" s="53" t="s">
        <v>387</v>
      </c>
      <c r="AA28" s="10" t="s">
        <v>199</v>
      </c>
      <c r="AB28" s="54" t="s">
        <v>13912</v>
      </c>
      <c r="AC28" s="11" t="s">
        <v>415</v>
      </c>
      <c r="AD28" s="10" t="s">
        <v>14303</v>
      </c>
      <c r="AE28" s="10" t="s">
        <v>14304</v>
      </c>
      <c r="AF28" s="10" t="s">
        <v>7362</v>
      </c>
      <c r="AG28" s="10" t="s">
        <v>14305</v>
      </c>
      <c r="AH28" s="10" t="s">
        <v>14306</v>
      </c>
      <c r="AI28" s="10" t="s">
        <v>14307</v>
      </c>
      <c r="AJ28" s="10" t="s">
        <v>139</v>
      </c>
      <c r="AK28" s="10" t="s">
        <v>179</v>
      </c>
      <c r="AL28" s="10" t="s">
        <v>179</v>
      </c>
      <c r="AM28" s="10" t="s">
        <v>628</v>
      </c>
      <c r="AN28" s="10"/>
      <c r="AO28" s="10" t="s">
        <v>13897</v>
      </c>
      <c r="AP28" s="52" t="s">
        <v>14308</v>
      </c>
      <c r="AQ28" s="10" t="s">
        <v>13923</v>
      </c>
      <c r="AR28" s="55">
        <v>37049.0</v>
      </c>
      <c r="AS28" s="10" t="s">
        <v>14309</v>
      </c>
      <c r="AT28" s="10" t="s">
        <v>99</v>
      </c>
      <c r="AU28" s="10"/>
    </row>
    <row r="29">
      <c r="A29" s="51">
        <v>0.0</v>
      </c>
      <c r="B29" s="29"/>
      <c r="C29" s="29"/>
      <c r="D29" s="56">
        <v>43302.53627321759</v>
      </c>
      <c r="E29" s="29" t="s">
        <v>2207</v>
      </c>
      <c r="F29" s="29" t="s">
        <v>14310</v>
      </c>
      <c r="G29" s="57" t="s">
        <v>14311</v>
      </c>
      <c r="H29" s="29" t="s">
        <v>14312</v>
      </c>
      <c r="I29" s="29" t="s">
        <v>14313</v>
      </c>
      <c r="J29" s="29" t="s">
        <v>14314</v>
      </c>
      <c r="K29" s="29" t="s">
        <v>14315</v>
      </c>
      <c r="L29" s="29" t="s">
        <v>189</v>
      </c>
      <c r="M29" s="29" t="s">
        <v>14312</v>
      </c>
      <c r="N29" s="29" t="s">
        <v>14316</v>
      </c>
      <c r="O29" s="29" t="s">
        <v>14316</v>
      </c>
      <c r="P29" s="29" t="s">
        <v>14317</v>
      </c>
      <c r="Q29" s="29" t="s">
        <v>13965</v>
      </c>
      <c r="R29" s="29" t="s">
        <v>14095</v>
      </c>
      <c r="S29" s="11" t="s">
        <v>194</v>
      </c>
      <c r="T29" s="58">
        <v>11.0</v>
      </c>
      <c r="U29" s="57" t="s">
        <v>14318</v>
      </c>
      <c r="V29" s="58">
        <v>3.0</v>
      </c>
      <c r="W29" s="29" t="s">
        <v>14319</v>
      </c>
      <c r="Y29" s="29" t="s">
        <v>14187</v>
      </c>
      <c r="Z29" s="54" t="s">
        <v>163</v>
      </c>
      <c r="AA29" s="29" t="s">
        <v>165</v>
      </c>
      <c r="AB29" s="40" t="s">
        <v>162</v>
      </c>
      <c r="AC29" s="59" t="s">
        <v>201</v>
      </c>
      <c r="AD29" s="29" t="s">
        <v>14320</v>
      </c>
      <c r="AE29" s="29" t="s">
        <v>14321</v>
      </c>
      <c r="AF29" s="29" t="s">
        <v>14130</v>
      </c>
      <c r="AG29" s="29" t="s">
        <v>14322</v>
      </c>
      <c r="AH29" s="29" t="s">
        <v>14323</v>
      </c>
      <c r="AI29" s="29" t="s">
        <v>14324</v>
      </c>
      <c r="AJ29" s="29" t="s">
        <v>3668</v>
      </c>
      <c r="AK29" s="29" t="s">
        <v>179</v>
      </c>
      <c r="AL29" s="29" t="s">
        <v>179</v>
      </c>
      <c r="AM29" s="29" t="s">
        <v>628</v>
      </c>
      <c r="AN29" s="29"/>
      <c r="AO29" s="29" t="s">
        <v>13897</v>
      </c>
      <c r="AP29" s="57" t="s">
        <v>14325</v>
      </c>
      <c r="AQ29" s="29" t="s">
        <v>13923</v>
      </c>
      <c r="AR29" s="60">
        <v>37149.0</v>
      </c>
      <c r="AS29" s="29" t="s">
        <v>14309</v>
      </c>
      <c r="AT29" s="29" t="s">
        <v>99</v>
      </c>
      <c r="AU29" s="29"/>
    </row>
    <row r="30">
      <c r="A30" s="51">
        <v>0.0</v>
      </c>
      <c r="B30" s="10"/>
      <c r="C30" s="10"/>
      <c r="D30" s="9">
        <v>43302.594242210645</v>
      </c>
      <c r="E30" s="10" t="s">
        <v>2207</v>
      </c>
      <c r="F30" s="10" t="s">
        <v>14326</v>
      </c>
      <c r="G30" s="52" t="s">
        <v>14327</v>
      </c>
      <c r="H30" s="10" t="s">
        <v>14328</v>
      </c>
      <c r="I30" s="10" t="s">
        <v>14329</v>
      </c>
      <c r="J30" s="10" t="s">
        <v>620</v>
      </c>
      <c r="K30" s="10" t="s">
        <v>14330</v>
      </c>
      <c r="L30" s="10" t="s">
        <v>189</v>
      </c>
      <c r="M30" s="10" t="s">
        <v>14331</v>
      </c>
      <c r="N30" s="10" t="s">
        <v>14332</v>
      </c>
      <c r="O30" s="10" t="s">
        <v>14332</v>
      </c>
      <c r="P30" s="10" t="s">
        <v>14333</v>
      </c>
      <c r="Q30" s="10" t="s">
        <v>14076</v>
      </c>
      <c r="R30" s="10" t="s">
        <v>14334</v>
      </c>
      <c r="S30" s="61" t="s">
        <v>1388</v>
      </c>
      <c r="T30" s="12">
        <v>11.0</v>
      </c>
      <c r="U30" s="52" t="s">
        <v>14335</v>
      </c>
      <c r="V30" s="12">
        <v>3.8</v>
      </c>
      <c r="W30" s="10" t="s">
        <v>9806</v>
      </c>
      <c r="Y30" s="10" t="s">
        <v>14336</v>
      </c>
      <c r="Z30" s="62" t="s">
        <v>541</v>
      </c>
      <c r="AA30" s="10" t="s">
        <v>621</v>
      </c>
      <c r="AB30" s="54" t="s">
        <v>13912</v>
      </c>
      <c r="AC30" s="63" t="s">
        <v>5630</v>
      </c>
      <c r="AD30" s="10" t="s">
        <v>14337</v>
      </c>
      <c r="AE30" s="10" t="s">
        <v>14338</v>
      </c>
      <c r="AF30" s="10" t="s">
        <v>14339</v>
      </c>
      <c r="AG30" s="10" t="s">
        <v>14340</v>
      </c>
      <c r="AH30" s="10" t="s">
        <v>14341</v>
      </c>
      <c r="AI30" s="10" t="s">
        <v>14342</v>
      </c>
      <c r="AJ30" s="10" t="s">
        <v>179</v>
      </c>
      <c r="AK30" s="10" t="s">
        <v>3668</v>
      </c>
      <c r="AL30" s="10" t="s">
        <v>3668</v>
      </c>
      <c r="AM30" s="10" t="s">
        <v>628</v>
      </c>
      <c r="AN30" s="10" t="s">
        <v>14343</v>
      </c>
      <c r="AO30" s="10" t="s">
        <v>13897</v>
      </c>
      <c r="AP30" s="52" t="s">
        <v>14344</v>
      </c>
      <c r="AQ30" s="10" t="s">
        <v>13923</v>
      </c>
      <c r="AR30" s="55">
        <v>37257.0</v>
      </c>
      <c r="AS30" s="10" t="s">
        <v>3668</v>
      </c>
      <c r="AT30" s="10" t="s">
        <v>99</v>
      </c>
      <c r="AU30" s="10"/>
    </row>
    <row r="31">
      <c r="A31" s="64">
        <v>3.0</v>
      </c>
      <c r="B31" s="29"/>
      <c r="C31" s="29"/>
      <c r="D31" s="56">
        <v>43302.60667032408</v>
      </c>
      <c r="E31" s="29" t="s">
        <v>2207</v>
      </c>
      <c r="F31" s="29" t="s">
        <v>14345</v>
      </c>
      <c r="G31" s="57" t="s">
        <v>14346</v>
      </c>
      <c r="H31" s="29" t="s">
        <v>14347</v>
      </c>
      <c r="I31" s="58">
        <v>9.089063834E9</v>
      </c>
      <c r="J31" s="29" t="s">
        <v>620</v>
      </c>
      <c r="K31" s="29" t="s">
        <v>14348</v>
      </c>
      <c r="L31" s="29" t="s">
        <v>189</v>
      </c>
      <c r="M31" s="29" t="s">
        <v>14349</v>
      </c>
      <c r="N31" s="29" t="s">
        <v>14350</v>
      </c>
      <c r="O31" s="29" t="s">
        <v>14350</v>
      </c>
      <c r="P31" s="29" t="s">
        <v>14351</v>
      </c>
      <c r="Q31" s="29" t="s">
        <v>14076</v>
      </c>
      <c r="R31" s="29" t="s">
        <v>14334</v>
      </c>
      <c r="S31" s="61" t="s">
        <v>1388</v>
      </c>
      <c r="T31" s="58">
        <v>10.0</v>
      </c>
      <c r="U31" s="57" t="s">
        <v>14352</v>
      </c>
      <c r="V31" s="58">
        <v>3.46</v>
      </c>
      <c r="W31" s="29" t="s">
        <v>9806</v>
      </c>
      <c r="Y31" s="29" t="s">
        <v>2185</v>
      </c>
      <c r="Z31" s="65" t="s">
        <v>300</v>
      </c>
      <c r="AA31" s="29" t="s">
        <v>14353</v>
      </c>
      <c r="AB31" s="54" t="s">
        <v>13912</v>
      </c>
      <c r="AC31" s="66" t="s">
        <v>126</v>
      </c>
      <c r="AD31" s="29" t="s">
        <v>2004</v>
      </c>
      <c r="AE31" s="29" t="s">
        <v>14354</v>
      </c>
      <c r="AF31" s="29" t="s">
        <v>14355</v>
      </c>
      <c r="AG31" s="29" t="s">
        <v>14356</v>
      </c>
      <c r="AH31" s="29" t="s">
        <v>14357</v>
      </c>
      <c r="AI31" s="29" t="s">
        <v>14358</v>
      </c>
      <c r="AJ31" s="29" t="s">
        <v>3668</v>
      </c>
      <c r="AK31" s="29" t="s">
        <v>179</v>
      </c>
      <c r="AL31" s="29" t="s">
        <v>179</v>
      </c>
      <c r="AM31" s="29" t="s">
        <v>14359</v>
      </c>
      <c r="AN31" s="29" t="s">
        <v>14360</v>
      </c>
      <c r="AO31" s="29" t="s">
        <v>13897</v>
      </c>
      <c r="AP31" s="57" t="s">
        <v>14361</v>
      </c>
      <c r="AQ31" s="29" t="s">
        <v>13923</v>
      </c>
      <c r="AR31" s="60">
        <v>36892.0</v>
      </c>
      <c r="AS31" s="29" t="s">
        <v>3668</v>
      </c>
      <c r="AT31" s="29" t="s">
        <v>99</v>
      </c>
      <c r="AU31" s="29"/>
    </row>
    <row r="32">
      <c r="A32" s="64">
        <v>3.0</v>
      </c>
      <c r="B32" s="10"/>
      <c r="C32" s="10"/>
      <c r="D32" s="9">
        <v>43302.63532321759</v>
      </c>
      <c r="E32" s="10" t="s">
        <v>2207</v>
      </c>
      <c r="F32" s="10" t="s">
        <v>13184</v>
      </c>
      <c r="G32" s="52" t="s">
        <v>14362</v>
      </c>
      <c r="H32" s="10" t="s">
        <v>13649</v>
      </c>
      <c r="I32" s="12">
        <v>8.628880071E9</v>
      </c>
      <c r="J32" s="10" t="s">
        <v>14363</v>
      </c>
      <c r="K32" s="10" t="s">
        <v>14364</v>
      </c>
      <c r="L32" s="10" t="s">
        <v>152</v>
      </c>
      <c r="M32" s="10" t="s">
        <v>14365</v>
      </c>
      <c r="N32" s="10" t="s">
        <v>14366</v>
      </c>
      <c r="O32" s="10" t="s">
        <v>14366</v>
      </c>
      <c r="P32" s="10" t="s">
        <v>14367</v>
      </c>
      <c r="Q32" s="10" t="s">
        <v>14076</v>
      </c>
      <c r="R32" s="10" t="s">
        <v>14334</v>
      </c>
      <c r="S32" s="61" t="s">
        <v>1388</v>
      </c>
      <c r="T32" s="12">
        <v>10.0</v>
      </c>
      <c r="U32" s="52" t="s">
        <v>14368</v>
      </c>
      <c r="V32" s="12">
        <v>4.429</v>
      </c>
      <c r="W32" s="10" t="s">
        <v>9806</v>
      </c>
      <c r="Y32" s="10" t="s">
        <v>2651</v>
      </c>
      <c r="Z32" s="67" t="s">
        <v>2301</v>
      </c>
      <c r="AA32" s="10" t="s">
        <v>199</v>
      </c>
      <c r="AB32" s="54" t="s">
        <v>13912</v>
      </c>
      <c r="AC32" s="66" t="s">
        <v>126</v>
      </c>
      <c r="AD32" s="10" t="s">
        <v>127</v>
      </c>
      <c r="AE32" s="10" t="s">
        <v>14369</v>
      </c>
      <c r="AF32" s="10" t="s">
        <v>14370</v>
      </c>
      <c r="AG32" s="10" t="s">
        <v>14371</v>
      </c>
      <c r="AH32" s="10" t="s">
        <v>14372</v>
      </c>
      <c r="AI32" s="10" t="s">
        <v>14373</v>
      </c>
      <c r="AJ32" s="10" t="s">
        <v>3668</v>
      </c>
      <c r="AK32" s="10" t="s">
        <v>3668</v>
      </c>
      <c r="AL32" s="10" t="s">
        <v>3668</v>
      </c>
      <c r="AM32" s="13" t="s">
        <v>14374</v>
      </c>
      <c r="AN32" s="10"/>
      <c r="AO32" s="10" t="s">
        <v>13897</v>
      </c>
      <c r="AP32" s="52" t="s">
        <v>14375</v>
      </c>
      <c r="AQ32" s="10" t="s">
        <v>13923</v>
      </c>
      <c r="AR32" s="55">
        <v>37257.0</v>
      </c>
      <c r="AS32" s="10" t="s">
        <v>3668</v>
      </c>
      <c r="AT32" s="10" t="s">
        <v>99</v>
      </c>
      <c r="AU32" s="10"/>
    </row>
    <row r="33">
      <c r="A33" s="64">
        <v>3.0</v>
      </c>
      <c r="B33" s="29"/>
      <c r="C33" s="29"/>
      <c r="D33" s="56">
        <v>43302.64415501157</v>
      </c>
      <c r="E33" s="29" t="s">
        <v>2207</v>
      </c>
      <c r="F33" s="29" t="s">
        <v>14376</v>
      </c>
      <c r="G33" s="57" t="s">
        <v>14377</v>
      </c>
      <c r="H33" s="29" t="s">
        <v>13463</v>
      </c>
      <c r="I33" s="29" t="s">
        <v>14378</v>
      </c>
      <c r="J33" s="29" t="s">
        <v>3943</v>
      </c>
      <c r="K33" s="29" t="s">
        <v>14379</v>
      </c>
      <c r="L33" s="29" t="s">
        <v>189</v>
      </c>
      <c r="M33" s="29" t="s">
        <v>14380</v>
      </c>
      <c r="N33" s="29" t="s">
        <v>14381</v>
      </c>
      <c r="O33" s="29" t="s">
        <v>14381</v>
      </c>
      <c r="P33" s="58">
        <v>8.62571312E9</v>
      </c>
      <c r="Q33" s="29" t="s">
        <v>14076</v>
      </c>
      <c r="R33" s="29" t="s">
        <v>14334</v>
      </c>
      <c r="S33" s="61" t="s">
        <v>1388</v>
      </c>
      <c r="T33" s="58">
        <v>10.0</v>
      </c>
      <c r="U33" s="57" t="s">
        <v>14382</v>
      </c>
      <c r="V33" s="58">
        <v>4.64</v>
      </c>
      <c r="W33" s="29" t="s">
        <v>9806</v>
      </c>
      <c r="Y33" s="29" t="s">
        <v>540</v>
      </c>
      <c r="Z33" s="53" t="s">
        <v>387</v>
      </c>
      <c r="AA33" s="29" t="s">
        <v>14383</v>
      </c>
      <c r="AB33" s="54" t="s">
        <v>13912</v>
      </c>
      <c r="AC33" s="66" t="s">
        <v>126</v>
      </c>
      <c r="AD33" s="29" t="s">
        <v>14384</v>
      </c>
      <c r="AE33" s="29" t="s">
        <v>14385</v>
      </c>
      <c r="AF33" s="29" t="s">
        <v>14386</v>
      </c>
      <c r="AG33" s="29" t="s">
        <v>14387</v>
      </c>
      <c r="AH33" s="29" t="s">
        <v>14388</v>
      </c>
      <c r="AI33" s="29" t="s">
        <v>14389</v>
      </c>
      <c r="AJ33" s="29" t="s">
        <v>3668</v>
      </c>
      <c r="AK33" s="29" t="s">
        <v>179</v>
      </c>
      <c r="AL33" s="29" t="s">
        <v>179</v>
      </c>
      <c r="AM33" s="68" t="s">
        <v>14359</v>
      </c>
      <c r="AN33" s="29"/>
      <c r="AO33" s="29" t="s">
        <v>13897</v>
      </c>
      <c r="AP33" s="57" t="s">
        <v>14390</v>
      </c>
      <c r="AQ33" s="29" t="s">
        <v>13923</v>
      </c>
      <c r="AR33" s="60">
        <v>37257.0</v>
      </c>
      <c r="AS33" s="29" t="s">
        <v>3668</v>
      </c>
      <c r="AT33" s="29" t="s">
        <v>99</v>
      </c>
      <c r="AU33" s="29"/>
    </row>
    <row r="34">
      <c r="A34" s="69">
        <v>2.0</v>
      </c>
      <c r="B34" s="10"/>
      <c r="C34" s="10"/>
      <c r="D34" s="9">
        <v>43302.65376663195</v>
      </c>
      <c r="E34" s="10" t="s">
        <v>2207</v>
      </c>
      <c r="F34" s="10" t="s">
        <v>14391</v>
      </c>
      <c r="G34" s="52" t="s">
        <v>14392</v>
      </c>
      <c r="H34" s="10" t="s">
        <v>13451</v>
      </c>
      <c r="I34" s="10" t="s">
        <v>14393</v>
      </c>
      <c r="J34" s="10" t="s">
        <v>14394</v>
      </c>
      <c r="K34" s="10" t="s">
        <v>14395</v>
      </c>
      <c r="L34" s="10" t="s">
        <v>152</v>
      </c>
      <c r="M34" s="10" t="s">
        <v>14396</v>
      </c>
      <c r="N34" s="10" t="s">
        <v>14397</v>
      </c>
      <c r="O34" s="10" t="s">
        <v>14397</v>
      </c>
      <c r="P34" s="12">
        <v>8.628889896E9</v>
      </c>
      <c r="Q34" s="10" t="s">
        <v>14076</v>
      </c>
      <c r="R34" s="10" t="s">
        <v>14334</v>
      </c>
      <c r="S34" s="61" t="s">
        <v>1388</v>
      </c>
      <c r="T34" s="12">
        <v>10.0</v>
      </c>
      <c r="U34" s="52" t="s">
        <v>14398</v>
      </c>
      <c r="V34" s="12">
        <v>3.0</v>
      </c>
      <c r="W34" s="10" t="s">
        <v>9806</v>
      </c>
      <c r="Y34" s="10" t="s">
        <v>6847</v>
      </c>
      <c r="Z34" s="65" t="s">
        <v>300</v>
      </c>
      <c r="AA34" s="10" t="s">
        <v>14399</v>
      </c>
      <c r="AB34" s="54" t="s">
        <v>13912</v>
      </c>
      <c r="AC34" s="59" t="s">
        <v>201</v>
      </c>
      <c r="AD34" s="10" t="s">
        <v>14400</v>
      </c>
      <c r="AE34" s="10" t="s">
        <v>14401</v>
      </c>
      <c r="AF34" s="10" t="s">
        <v>14402</v>
      </c>
      <c r="AG34" s="10" t="s">
        <v>14403</v>
      </c>
      <c r="AH34" s="10" t="s">
        <v>14404</v>
      </c>
      <c r="AI34" s="10" t="s">
        <v>14405</v>
      </c>
      <c r="AJ34" s="10" t="s">
        <v>3668</v>
      </c>
      <c r="AK34" s="10" t="s">
        <v>179</v>
      </c>
      <c r="AL34" s="10" t="s">
        <v>179</v>
      </c>
      <c r="AM34" s="10" t="s">
        <v>14359</v>
      </c>
      <c r="AN34" s="10" t="s">
        <v>14406</v>
      </c>
      <c r="AO34" s="10" t="s">
        <v>13897</v>
      </c>
      <c r="AP34" s="52" t="s">
        <v>14407</v>
      </c>
      <c r="AQ34" s="10" t="s">
        <v>13923</v>
      </c>
      <c r="AR34" s="55">
        <v>36892.0</v>
      </c>
      <c r="AS34" s="10" t="s">
        <v>3668</v>
      </c>
      <c r="AT34" s="10" t="s">
        <v>99</v>
      </c>
      <c r="AU34" s="10"/>
    </row>
    <row r="35">
      <c r="A35" s="51">
        <v>0.0</v>
      </c>
      <c r="B35" s="29"/>
      <c r="C35" s="29"/>
      <c r="D35" s="56">
        <v>43302.6598461574</v>
      </c>
      <c r="E35" s="29" t="s">
        <v>2207</v>
      </c>
      <c r="F35" s="29" t="s">
        <v>14408</v>
      </c>
      <c r="G35" s="57" t="s">
        <v>14409</v>
      </c>
      <c r="H35" s="29" t="s">
        <v>14410</v>
      </c>
      <c r="I35" s="29" t="s">
        <v>14411</v>
      </c>
      <c r="J35" s="29" t="s">
        <v>620</v>
      </c>
      <c r="K35" s="29" t="s">
        <v>14412</v>
      </c>
      <c r="L35" s="29" t="s">
        <v>189</v>
      </c>
      <c r="M35" s="29" t="s">
        <v>14413</v>
      </c>
      <c r="N35" s="29" t="s">
        <v>14414</v>
      </c>
      <c r="O35" s="29" t="s">
        <v>14414</v>
      </c>
      <c r="P35" s="29" t="s">
        <v>14415</v>
      </c>
      <c r="Q35" s="29" t="s">
        <v>14076</v>
      </c>
      <c r="R35" s="29" t="s">
        <v>14334</v>
      </c>
      <c r="S35" s="61" t="s">
        <v>1388</v>
      </c>
      <c r="T35" s="58">
        <v>10.0</v>
      </c>
      <c r="U35" s="57" t="s">
        <v>14416</v>
      </c>
      <c r="V35" s="58">
        <v>4.031</v>
      </c>
      <c r="W35" s="29" t="s">
        <v>9806</v>
      </c>
      <c r="Y35" s="29" t="s">
        <v>4374</v>
      </c>
      <c r="Z35" s="62" t="s">
        <v>541</v>
      </c>
      <c r="AA35" s="29" t="s">
        <v>9313</v>
      </c>
      <c r="AB35" s="62" t="s">
        <v>14417</v>
      </c>
      <c r="AC35" s="11" t="s">
        <v>415</v>
      </c>
      <c r="AD35" s="29" t="s">
        <v>14418</v>
      </c>
      <c r="AE35" s="29" t="s">
        <v>14419</v>
      </c>
      <c r="AF35" s="29" t="s">
        <v>14420</v>
      </c>
      <c r="AG35" s="29" t="s">
        <v>14421</v>
      </c>
      <c r="AH35" s="29" t="s">
        <v>14422</v>
      </c>
      <c r="AI35" s="29" t="s">
        <v>14423</v>
      </c>
      <c r="AJ35" s="29" t="s">
        <v>3668</v>
      </c>
      <c r="AK35" s="29" t="s">
        <v>179</v>
      </c>
      <c r="AL35" s="29" t="s">
        <v>179</v>
      </c>
      <c r="AM35" s="29" t="s">
        <v>628</v>
      </c>
      <c r="AN35" s="29" t="s">
        <v>14424</v>
      </c>
      <c r="AO35" s="29" t="s">
        <v>13897</v>
      </c>
      <c r="AP35" s="57" t="s">
        <v>14425</v>
      </c>
      <c r="AQ35" s="29" t="s">
        <v>13923</v>
      </c>
      <c r="AR35" s="60">
        <v>37257.0</v>
      </c>
      <c r="AS35" s="29" t="s">
        <v>3668</v>
      </c>
      <c r="AT35" s="29" t="s">
        <v>99</v>
      </c>
      <c r="AU35" s="29"/>
    </row>
    <row r="36">
      <c r="A36" s="51">
        <v>0.0</v>
      </c>
      <c r="B36" s="10"/>
      <c r="C36" s="10"/>
      <c r="D36" s="9">
        <v>43302.67023243055</v>
      </c>
      <c r="E36" s="10" t="s">
        <v>2207</v>
      </c>
      <c r="F36" s="10" t="s">
        <v>14426</v>
      </c>
      <c r="G36" s="52" t="s">
        <v>14427</v>
      </c>
      <c r="H36" s="10" t="s">
        <v>14428</v>
      </c>
      <c r="I36" s="10" t="s">
        <v>14429</v>
      </c>
      <c r="J36" s="10" t="s">
        <v>620</v>
      </c>
      <c r="K36" s="10" t="s">
        <v>14430</v>
      </c>
      <c r="L36" s="10" t="s">
        <v>152</v>
      </c>
      <c r="M36" s="10" t="s">
        <v>14428</v>
      </c>
      <c r="N36" s="10" t="s">
        <v>14431</v>
      </c>
      <c r="O36" s="10" t="s">
        <v>14431</v>
      </c>
      <c r="P36" s="10" t="s">
        <v>14432</v>
      </c>
      <c r="Q36" s="10" t="s">
        <v>14076</v>
      </c>
      <c r="R36" s="10" t="s">
        <v>14334</v>
      </c>
      <c r="S36" s="61" t="s">
        <v>1388</v>
      </c>
      <c r="T36" s="12">
        <v>10.0</v>
      </c>
      <c r="U36" s="52" t="s">
        <v>14433</v>
      </c>
      <c r="V36" s="12">
        <v>3.21</v>
      </c>
      <c r="W36" s="10" t="s">
        <v>9806</v>
      </c>
      <c r="Y36" s="10" t="s">
        <v>1650</v>
      </c>
      <c r="Z36" s="65" t="s">
        <v>300</v>
      </c>
      <c r="AA36" s="10" t="s">
        <v>14434</v>
      </c>
      <c r="AB36" s="40" t="s">
        <v>162</v>
      </c>
      <c r="AC36" s="66" t="s">
        <v>126</v>
      </c>
      <c r="AD36" s="10" t="s">
        <v>7633</v>
      </c>
      <c r="AE36" s="10" t="s">
        <v>14435</v>
      </c>
      <c r="AF36" s="10" t="s">
        <v>620</v>
      </c>
      <c r="AG36" s="10" t="s">
        <v>14436</v>
      </c>
      <c r="AH36" s="10" t="s">
        <v>14437</v>
      </c>
      <c r="AI36" s="10" t="s">
        <v>14438</v>
      </c>
      <c r="AJ36" s="10" t="s">
        <v>179</v>
      </c>
      <c r="AK36" s="10" t="s">
        <v>179</v>
      </c>
      <c r="AL36" s="10" t="s">
        <v>179</v>
      </c>
      <c r="AM36" s="13" t="s">
        <v>14359</v>
      </c>
      <c r="AN36" s="10"/>
      <c r="AO36" s="10" t="s">
        <v>13897</v>
      </c>
      <c r="AP36" s="52" t="s">
        <v>14439</v>
      </c>
      <c r="AQ36" s="10" t="s">
        <v>13923</v>
      </c>
      <c r="AR36" s="55">
        <v>36892.0</v>
      </c>
      <c r="AS36" s="10" t="s">
        <v>3668</v>
      </c>
      <c r="AT36" s="10" t="s">
        <v>99</v>
      </c>
      <c r="AU36" s="10"/>
    </row>
    <row r="37">
      <c r="A37" s="69">
        <v>2.0</v>
      </c>
      <c r="B37" s="29"/>
      <c r="C37" s="29"/>
      <c r="D37" s="56">
        <v>43302.6759827662</v>
      </c>
      <c r="E37" s="29" t="s">
        <v>2207</v>
      </c>
      <c r="F37" s="29" t="s">
        <v>14440</v>
      </c>
      <c r="G37" s="57" t="s">
        <v>14441</v>
      </c>
      <c r="H37" s="29" t="s">
        <v>13404</v>
      </c>
      <c r="I37" s="29" t="s">
        <v>14442</v>
      </c>
      <c r="J37" s="29" t="s">
        <v>620</v>
      </c>
      <c r="K37" s="29" t="s">
        <v>14443</v>
      </c>
      <c r="L37" s="29" t="s">
        <v>189</v>
      </c>
      <c r="M37" s="29" t="s">
        <v>14444</v>
      </c>
      <c r="N37" s="29" t="s">
        <v>14445</v>
      </c>
      <c r="O37" s="29" t="s">
        <v>14445</v>
      </c>
      <c r="P37" s="29" t="s">
        <v>14446</v>
      </c>
      <c r="Q37" s="29" t="s">
        <v>14076</v>
      </c>
      <c r="R37" s="29" t="s">
        <v>14334</v>
      </c>
      <c r="S37" s="61" t="s">
        <v>1388</v>
      </c>
      <c r="T37" s="58">
        <v>10.0</v>
      </c>
      <c r="U37" s="57" t="s">
        <v>14447</v>
      </c>
      <c r="V37" s="58">
        <v>4.21</v>
      </c>
      <c r="W37" s="29" t="s">
        <v>9806</v>
      </c>
      <c r="Y37" s="29" t="s">
        <v>4450</v>
      </c>
      <c r="Z37" s="53" t="s">
        <v>387</v>
      </c>
      <c r="AA37" s="29" t="s">
        <v>14064</v>
      </c>
      <c r="AB37" s="54" t="s">
        <v>13912</v>
      </c>
      <c r="AC37" s="59" t="s">
        <v>201</v>
      </c>
      <c r="AD37" s="29" t="s">
        <v>1708</v>
      </c>
      <c r="AE37" s="29" t="s">
        <v>14448</v>
      </c>
      <c r="AF37" s="29" t="s">
        <v>14449</v>
      </c>
      <c r="AG37" s="29" t="s">
        <v>14450</v>
      </c>
      <c r="AH37" s="29" t="s">
        <v>14451</v>
      </c>
      <c r="AI37" s="29" t="s">
        <v>14452</v>
      </c>
      <c r="AJ37" s="29" t="s">
        <v>3668</v>
      </c>
      <c r="AK37" s="29" t="s">
        <v>179</v>
      </c>
      <c r="AL37" s="29" t="s">
        <v>179</v>
      </c>
      <c r="AM37" s="29" t="s">
        <v>14374</v>
      </c>
      <c r="AN37" s="29" t="s">
        <v>14453</v>
      </c>
      <c r="AO37" s="29" t="s">
        <v>13897</v>
      </c>
      <c r="AP37" s="57" t="s">
        <v>14454</v>
      </c>
      <c r="AQ37" s="29" t="s">
        <v>13923</v>
      </c>
      <c r="AR37" s="60">
        <v>36892.0</v>
      </c>
      <c r="AS37" s="29" t="s">
        <v>3668</v>
      </c>
      <c r="AT37" s="29" t="s">
        <v>99</v>
      </c>
      <c r="AU37" s="29"/>
    </row>
    <row r="38">
      <c r="A38" s="64">
        <v>3.0</v>
      </c>
      <c r="B38" s="10"/>
      <c r="C38" s="10"/>
      <c r="D38" s="9">
        <v>43302.68932954861</v>
      </c>
      <c r="E38" s="10" t="s">
        <v>2207</v>
      </c>
      <c r="F38" s="10" t="s">
        <v>13210</v>
      </c>
      <c r="G38" s="52" t="s">
        <v>14455</v>
      </c>
      <c r="H38" s="10" t="s">
        <v>13513</v>
      </c>
      <c r="I38" s="10" t="s">
        <v>14456</v>
      </c>
      <c r="J38" s="10" t="s">
        <v>14457</v>
      </c>
      <c r="K38" s="10" t="s">
        <v>14458</v>
      </c>
      <c r="L38" s="10" t="s">
        <v>189</v>
      </c>
      <c r="M38" s="10" t="s">
        <v>13513</v>
      </c>
      <c r="N38" s="10" t="s">
        <v>14459</v>
      </c>
      <c r="O38" s="10" t="s">
        <v>14459</v>
      </c>
      <c r="P38" s="10" t="s">
        <v>14460</v>
      </c>
      <c r="Q38" s="10" t="s">
        <v>14076</v>
      </c>
      <c r="R38" s="10" t="s">
        <v>14334</v>
      </c>
      <c r="S38" s="61" t="s">
        <v>1388</v>
      </c>
      <c r="T38" s="12">
        <v>10.0</v>
      </c>
      <c r="U38" s="52" t="s">
        <v>14461</v>
      </c>
      <c r="V38" s="12">
        <v>4.39</v>
      </c>
      <c r="W38" s="10" t="s">
        <v>9806</v>
      </c>
      <c r="Y38" s="10" t="s">
        <v>6847</v>
      </c>
      <c r="Z38" s="65" t="s">
        <v>300</v>
      </c>
      <c r="AA38" s="10" t="s">
        <v>14462</v>
      </c>
      <c r="AB38" s="54" t="s">
        <v>13912</v>
      </c>
      <c r="AC38" s="11" t="s">
        <v>415</v>
      </c>
      <c r="AD38" s="10" t="s">
        <v>14463</v>
      </c>
      <c r="AE38" s="10" t="s">
        <v>14464</v>
      </c>
      <c r="AF38" s="10" t="s">
        <v>14465</v>
      </c>
      <c r="AG38" s="10" t="s">
        <v>14466</v>
      </c>
      <c r="AH38" s="10" t="s">
        <v>14467</v>
      </c>
      <c r="AI38" s="10" t="s">
        <v>14468</v>
      </c>
      <c r="AJ38" s="10" t="s">
        <v>3668</v>
      </c>
      <c r="AK38" s="10" t="s">
        <v>179</v>
      </c>
      <c r="AL38" s="10" t="s">
        <v>3668</v>
      </c>
      <c r="AM38" s="13" t="s">
        <v>14374</v>
      </c>
      <c r="AN38" s="10"/>
      <c r="AO38" s="10" t="s">
        <v>13897</v>
      </c>
      <c r="AP38" s="52" t="s">
        <v>14469</v>
      </c>
      <c r="AQ38" s="10" t="s">
        <v>13923</v>
      </c>
      <c r="AR38" s="55">
        <v>37257.0</v>
      </c>
      <c r="AS38" s="10" t="s">
        <v>3668</v>
      </c>
      <c r="AT38" s="10" t="s">
        <v>99</v>
      </c>
      <c r="AU38" s="10"/>
    </row>
    <row r="39">
      <c r="A39" s="64">
        <v>3.0</v>
      </c>
      <c r="B39" s="29"/>
      <c r="C39" s="29"/>
      <c r="D39" s="56">
        <v>43302.69534677084</v>
      </c>
      <c r="E39" s="29" t="s">
        <v>2207</v>
      </c>
      <c r="F39" s="29" t="s">
        <v>13191</v>
      </c>
      <c r="G39" s="57" t="s">
        <v>14470</v>
      </c>
      <c r="H39" s="29" t="s">
        <v>14471</v>
      </c>
      <c r="I39" s="29" t="s">
        <v>14472</v>
      </c>
      <c r="J39" s="29" t="s">
        <v>14473</v>
      </c>
      <c r="K39" s="29" t="s">
        <v>14474</v>
      </c>
      <c r="L39" s="29" t="s">
        <v>152</v>
      </c>
      <c r="M39" s="29" t="s">
        <v>14475</v>
      </c>
      <c r="N39" s="29" t="s">
        <v>14476</v>
      </c>
      <c r="O39" s="29" t="s">
        <v>14476</v>
      </c>
      <c r="P39" s="29" t="s">
        <v>14477</v>
      </c>
      <c r="Q39" s="29" t="s">
        <v>14076</v>
      </c>
      <c r="R39" s="29" t="s">
        <v>14478</v>
      </c>
      <c r="S39" s="61" t="s">
        <v>1388</v>
      </c>
      <c r="T39" s="58">
        <v>9.0</v>
      </c>
      <c r="U39" s="57" t="s">
        <v>14479</v>
      </c>
      <c r="V39" s="58">
        <v>3.786</v>
      </c>
      <c r="W39" s="29" t="s">
        <v>9806</v>
      </c>
      <c r="Y39" s="29" t="s">
        <v>13934</v>
      </c>
      <c r="Z39" s="53" t="s">
        <v>387</v>
      </c>
      <c r="AA39" s="29" t="s">
        <v>14480</v>
      </c>
      <c r="AB39" s="54" t="s">
        <v>13912</v>
      </c>
      <c r="AC39" s="11" t="s">
        <v>415</v>
      </c>
      <c r="AD39" s="29" t="s">
        <v>14481</v>
      </c>
      <c r="AE39" s="29" t="s">
        <v>14482</v>
      </c>
      <c r="AF39" s="29" t="s">
        <v>14483</v>
      </c>
      <c r="AG39" s="29" t="s">
        <v>14484</v>
      </c>
      <c r="AH39" s="29" t="s">
        <v>14485</v>
      </c>
      <c r="AI39" s="29" t="s">
        <v>14486</v>
      </c>
      <c r="AJ39" s="29" t="s">
        <v>3668</v>
      </c>
      <c r="AK39" s="29" t="s">
        <v>179</v>
      </c>
      <c r="AL39" s="29" t="s">
        <v>179</v>
      </c>
      <c r="AM39" s="68" t="s">
        <v>14374</v>
      </c>
      <c r="AN39" s="29"/>
      <c r="AO39" s="29" t="s">
        <v>13897</v>
      </c>
      <c r="AP39" s="57" t="s">
        <v>14487</v>
      </c>
      <c r="AQ39" s="29" t="s">
        <v>13923</v>
      </c>
      <c r="AR39" s="60">
        <v>37257.0</v>
      </c>
      <c r="AS39" s="29" t="s">
        <v>3668</v>
      </c>
      <c r="AT39" s="29" t="s">
        <v>99</v>
      </c>
      <c r="AU39" s="29"/>
    </row>
    <row r="40">
      <c r="A40" s="51">
        <v>0.0</v>
      </c>
      <c r="B40" s="10"/>
      <c r="C40" s="10"/>
      <c r="D40" s="9">
        <v>43302.7971715625</v>
      </c>
      <c r="E40" s="10" t="s">
        <v>2207</v>
      </c>
      <c r="F40" s="10" t="s">
        <v>14488</v>
      </c>
      <c r="G40" s="52" t="s">
        <v>14489</v>
      </c>
      <c r="H40" s="10" t="s">
        <v>14490</v>
      </c>
      <c r="I40" s="10" t="s">
        <v>14491</v>
      </c>
      <c r="J40" s="10" t="s">
        <v>620</v>
      </c>
      <c r="K40" s="10" t="s">
        <v>14492</v>
      </c>
      <c r="L40" s="10" t="s">
        <v>189</v>
      </c>
      <c r="M40" s="10" t="s">
        <v>14490</v>
      </c>
      <c r="N40" s="10" t="s">
        <v>14493</v>
      </c>
      <c r="O40" s="10" t="s">
        <v>14493</v>
      </c>
      <c r="P40" s="10" t="s">
        <v>14494</v>
      </c>
      <c r="Q40" s="10" t="s">
        <v>14076</v>
      </c>
      <c r="R40" s="10" t="s">
        <v>14334</v>
      </c>
      <c r="S40" s="61" t="s">
        <v>1388</v>
      </c>
      <c r="T40" s="12">
        <v>9.0</v>
      </c>
      <c r="U40" s="52" t="s">
        <v>14495</v>
      </c>
      <c r="V40" s="12">
        <v>3.68</v>
      </c>
      <c r="W40" s="10" t="s">
        <v>9806</v>
      </c>
      <c r="Y40" s="10" t="s">
        <v>13968</v>
      </c>
      <c r="Z40" s="53" t="s">
        <v>387</v>
      </c>
      <c r="AA40" s="10" t="s">
        <v>14064</v>
      </c>
      <c r="AB40" s="54" t="s">
        <v>13912</v>
      </c>
      <c r="AC40" s="66" t="s">
        <v>126</v>
      </c>
      <c r="AD40" s="10" t="s">
        <v>14496</v>
      </c>
      <c r="AE40" s="10" t="s">
        <v>14497</v>
      </c>
      <c r="AF40" s="10" t="s">
        <v>14498</v>
      </c>
      <c r="AG40" s="10" t="s">
        <v>14499</v>
      </c>
      <c r="AH40" s="10" t="s">
        <v>14500</v>
      </c>
      <c r="AI40" s="10" t="s">
        <v>14501</v>
      </c>
      <c r="AJ40" s="10" t="s">
        <v>179</v>
      </c>
      <c r="AK40" s="10" t="s">
        <v>179</v>
      </c>
      <c r="AL40" s="10" t="s">
        <v>179</v>
      </c>
      <c r="AM40" s="13" t="s">
        <v>14374</v>
      </c>
      <c r="AN40" s="10"/>
      <c r="AO40" s="10" t="s">
        <v>13897</v>
      </c>
      <c r="AP40" s="52" t="s">
        <v>14502</v>
      </c>
      <c r="AQ40" s="10" t="s">
        <v>13923</v>
      </c>
      <c r="AR40" s="55">
        <v>37257.0</v>
      </c>
      <c r="AS40" s="10" t="s">
        <v>3668</v>
      </c>
      <c r="AT40" s="10" t="s">
        <v>99</v>
      </c>
      <c r="AU40" s="10"/>
    </row>
    <row r="41">
      <c r="A41" s="69">
        <v>2.0</v>
      </c>
      <c r="B41" s="29"/>
      <c r="C41" s="29"/>
      <c r="D41" s="56">
        <v>43302.80612</v>
      </c>
      <c r="E41" s="29" t="s">
        <v>2207</v>
      </c>
      <c r="F41" s="29" t="s">
        <v>14503</v>
      </c>
      <c r="G41" s="57" t="s">
        <v>14504</v>
      </c>
      <c r="H41" s="29" t="s">
        <v>14505</v>
      </c>
      <c r="I41" s="29" t="s">
        <v>14506</v>
      </c>
      <c r="J41" s="29" t="s">
        <v>620</v>
      </c>
      <c r="K41" s="29" t="s">
        <v>14507</v>
      </c>
      <c r="L41" s="29" t="s">
        <v>189</v>
      </c>
      <c r="M41" s="29" t="s">
        <v>14508</v>
      </c>
      <c r="N41" s="29" t="s">
        <v>14509</v>
      </c>
      <c r="O41" s="29" t="s">
        <v>14510</v>
      </c>
      <c r="P41" s="29" t="s">
        <v>14511</v>
      </c>
      <c r="Q41" s="29" t="s">
        <v>14076</v>
      </c>
      <c r="R41" s="29" t="s">
        <v>14334</v>
      </c>
      <c r="S41" s="61" t="s">
        <v>1388</v>
      </c>
      <c r="T41" s="58">
        <v>9.0</v>
      </c>
      <c r="U41" s="57" t="s">
        <v>14512</v>
      </c>
      <c r="V41" s="58">
        <v>2.89</v>
      </c>
      <c r="W41" s="29" t="s">
        <v>9806</v>
      </c>
      <c r="Y41" s="29" t="s">
        <v>14513</v>
      </c>
      <c r="Z41" s="65" t="s">
        <v>300</v>
      </c>
      <c r="AA41" s="29" t="s">
        <v>13935</v>
      </c>
      <c r="AB41" s="40" t="s">
        <v>162</v>
      </c>
      <c r="AC41" s="59" t="s">
        <v>201</v>
      </c>
      <c r="AD41" s="29" t="s">
        <v>3300</v>
      </c>
      <c r="AE41" s="29" t="s">
        <v>14514</v>
      </c>
      <c r="AF41" s="29" t="s">
        <v>14515</v>
      </c>
      <c r="AG41" s="29" t="s">
        <v>14516</v>
      </c>
      <c r="AH41" s="29" t="s">
        <v>14517</v>
      </c>
      <c r="AI41" s="29" t="s">
        <v>14518</v>
      </c>
      <c r="AJ41" s="29" t="s">
        <v>179</v>
      </c>
      <c r="AK41" s="29" t="s">
        <v>179</v>
      </c>
      <c r="AL41" s="29" t="s">
        <v>179</v>
      </c>
      <c r="AM41" s="68" t="s">
        <v>14374</v>
      </c>
      <c r="AN41" s="29"/>
      <c r="AO41" s="29" t="s">
        <v>13897</v>
      </c>
      <c r="AP41" s="57" t="s">
        <v>14519</v>
      </c>
      <c r="AQ41" s="29" t="s">
        <v>13923</v>
      </c>
      <c r="AR41" s="60">
        <v>37622.0</v>
      </c>
      <c r="AS41" s="29" t="s">
        <v>3668</v>
      </c>
      <c r="AT41" s="29" t="s">
        <v>99</v>
      </c>
      <c r="AU41" s="29"/>
    </row>
    <row r="42">
      <c r="A42" s="64">
        <v>3.0</v>
      </c>
      <c r="B42" s="10"/>
      <c r="C42" s="10"/>
      <c r="D42" s="9">
        <v>43302.825827430555</v>
      </c>
      <c r="E42" s="10" t="s">
        <v>2207</v>
      </c>
      <c r="F42" s="10" t="s">
        <v>13660</v>
      </c>
      <c r="G42" s="52" t="s">
        <v>14520</v>
      </c>
      <c r="H42" s="10" t="s">
        <v>13330</v>
      </c>
      <c r="I42" s="10" t="s">
        <v>14521</v>
      </c>
      <c r="J42" s="10" t="s">
        <v>620</v>
      </c>
      <c r="K42" s="10" t="s">
        <v>14522</v>
      </c>
      <c r="L42" s="10" t="s">
        <v>189</v>
      </c>
      <c r="M42" s="10" t="s">
        <v>14523</v>
      </c>
      <c r="N42" s="10" t="s">
        <v>14524</v>
      </c>
      <c r="O42" s="10" t="s">
        <v>14524</v>
      </c>
      <c r="P42" s="10" t="s">
        <v>14525</v>
      </c>
      <c r="Q42" s="10" t="s">
        <v>14076</v>
      </c>
      <c r="R42" s="10" t="s">
        <v>14334</v>
      </c>
      <c r="S42" s="61" t="s">
        <v>1388</v>
      </c>
      <c r="T42" s="12">
        <v>9.0</v>
      </c>
      <c r="U42" s="52" t="s">
        <v>14526</v>
      </c>
      <c r="V42" s="12">
        <v>3.5</v>
      </c>
      <c r="W42" s="10" t="s">
        <v>9806</v>
      </c>
      <c r="Y42" s="10" t="s">
        <v>14527</v>
      </c>
      <c r="Z42" s="62" t="s">
        <v>541</v>
      </c>
      <c r="AA42" s="10" t="s">
        <v>621</v>
      </c>
      <c r="AB42" s="54" t="s">
        <v>13912</v>
      </c>
      <c r="AC42" s="10" t="s">
        <v>461</v>
      </c>
      <c r="AD42" s="10" t="s">
        <v>14528</v>
      </c>
      <c r="AE42" s="10" t="s">
        <v>14529</v>
      </c>
      <c r="AF42" s="10" t="s">
        <v>14530</v>
      </c>
      <c r="AG42" s="10" t="s">
        <v>14531</v>
      </c>
      <c r="AH42" s="10" t="s">
        <v>14532</v>
      </c>
      <c r="AI42" s="10" t="s">
        <v>14533</v>
      </c>
      <c r="AJ42" s="10" t="s">
        <v>179</v>
      </c>
      <c r="AK42" s="10" t="s">
        <v>179</v>
      </c>
      <c r="AL42" s="10" t="s">
        <v>179</v>
      </c>
      <c r="AM42" s="13" t="s">
        <v>14534</v>
      </c>
      <c r="AN42" s="10"/>
      <c r="AO42" s="10" t="s">
        <v>13897</v>
      </c>
      <c r="AP42" s="52" t="s">
        <v>14535</v>
      </c>
      <c r="AQ42" s="10" t="s">
        <v>13923</v>
      </c>
      <c r="AR42" s="55">
        <v>37257.0</v>
      </c>
      <c r="AS42" s="10" t="s">
        <v>3668</v>
      </c>
      <c r="AT42" s="10" t="s">
        <v>99</v>
      </c>
      <c r="AU42" s="10"/>
    </row>
    <row r="43">
      <c r="A43" s="69">
        <v>2.0</v>
      </c>
      <c r="B43" s="29"/>
      <c r="C43" s="29"/>
      <c r="D43" s="56">
        <v>43302.993607488424</v>
      </c>
      <c r="E43" s="29" t="s">
        <v>2207</v>
      </c>
      <c r="F43" s="29" t="s">
        <v>14536</v>
      </c>
      <c r="G43" s="57" t="s">
        <v>14537</v>
      </c>
      <c r="H43" s="29" t="s">
        <v>14538</v>
      </c>
      <c r="I43" s="29" t="s">
        <v>14539</v>
      </c>
      <c r="J43" s="29" t="s">
        <v>14540</v>
      </c>
      <c r="K43" s="29" t="s">
        <v>14541</v>
      </c>
      <c r="L43" s="29" t="s">
        <v>189</v>
      </c>
      <c r="M43" s="29" t="s">
        <v>14542</v>
      </c>
      <c r="N43" s="29" t="s">
        <v>14543</v>
      </c>
      <c r="O43" s="29" t="s">
        <v>14543</v>
      </c>
      <c r="P43" s="29" t="s">
        <v>14544</v>
      </c>
      <c r="Q43" s="29" t="s">
        <v>14545</v>
      </c>
      <c r="R43" s="29" t="s">
        <v>14334</v>
      </c>
      <c r="S43" s="61" t="s">
        <v>1388</v>
      </c>
      <c r="T43" s="58">
        <v>9.0</v>
      </c>
      <c r="U43" s="57" t="s">
        <v>14546</v>
      </c>
      <c r="V43" s="58">
        <v>1.607</v>
      </c>
      <c r="W43" s="29" t="s">
        <v>9806</v>
      </c>
      <c r="Y43" s="29" t="s">
        <v>14547</v>
      </c>
      <c r="Z43" s="62" t="s">
        <v>14548</v>
      </c>
      <c r="AA43" s="29" t="s">
        <v>14549</v>
      </c>
      <c r="AB43" s="54" t="s">
        <v>13912</v>
      </c>
      <c r="AC43" s="59" t="s">
        <v>201</v>
      </c>
      <c r="AD43" s="29" t="s">
        <v>3300</v>
      </c>
      <c r="AE43" s="29" t="s">
        <v>14550</v>
      </c>
      <c r="AF43" s="29" t="s">
        <v>14551</v>
      </c>
      <c r="AG43" s="29" t="s">
        <v>14552</v>
      </c>
      <c r="AH43" s="29" t="s">
        <v>14553</v>
      </c>
      <c r="AI43" s="29" t="s">
        <v>14554</v>
      </c>
      <c r="AJ43" s="29" t="s">
        <v>3668</v>
      </c>
      <c r="AK43" s="29" t="s">
        <v>179</v>
      </c>
      <c r="AL43" s="29" t="s">
        <v>179</v>
      </c>
      <c r="AM43" s="29" t="s">
        <v>14359</v>
      </c>
      <c r="AN43" s="29" t="s">
        <v>14555</v>
      </c>
      <c r="AO43" s="29" t="s">
        <v>13897</v>
      </c>
      <c r="AP43" s="57" t="s">
        <v>14556</v>
      </c>
      <c r="AQ43" s="29" t="s">
        <v>13923</v>
      </c>
      <c r="AR43" s="60">
        <v>37622.0</v>
      </c>
      <c r="AS43" s="29" t="s">
        <v>3668</v>
      </c>
      <c r="AT43" s="29" t="s">
        <v>99</v>
      </c>
      <c r="AU43" s="29"/>
    </row>
    <row r="44">
      <c r="A44" s="51">
        <v>1.0</v>
      </c>
      <c r="B44" s="10"/>
      <c r="C44" s="10"/>
      <c r="D44" s="9">
        <v>43303.00613204861</v>
      </c>
      <c r="E44" s="10" t="s">
        <v>2207</v>
      </c>
      <c r="F44" s="10" t="s">
        <v>14557</v>
      </c>
      <c r="G44" s="52" t="s">
        <v>14558</v>
      </c>
      <c r="H44" s="10" t="s">
        <v>14559</v>
      </c>
      <c r="I44" s="10" t="s">
        <v>14560</v>
      </c>
      <c r="J44" s="10" t="s">
        <v>620</v>
      </c>
      <c r="K44" s="10" t="s">
        <v>14561</v>
      </c>
      <c r="L44" s="10" t="s">
        <v>189</v>
      </c>
      <c r="M44" s="10" t="s">
        <v>14562</v>
      </c>
      <c r="N44" s="10" t="s">
        <v>14563</v>
      </c>
      <c r="O44" s="10" t="s">
        <v>14563</v>
      </c>
      <c r="P44" s="10" t="s">
        <v>14564</v>
      </c>
      <c r="Q44" s="10" t="s">
        <v>14565</v>
      </c>
      <c r="R44" s="10" t="s">
        <v>14334</v>
      </c>
      <c r="S44" s="61" t="s">
        <v>1388</v>
      </c>
      <c r="T44" s="12">
        <v>9.0</v>
      </c>
      <c r="U44" s="52" t="s">
        <v>14566</v>
      </c>
      <c r="V44" s="12">
        <v>3.821</v>
      </c>
      <c r="W44" s="10" t="s">
        <v>9806</v>
      </c>
      <c r="Y44" s="10" t="s">
        <v>197</v>
      </c>
      <c r="Z44" s="53" t="s">
        <v>387</v>
      </c>
      <c r="AA44" s="10" t="s">
        <v>14567</v>
      </c>
      <c r="AB44" s="54" t="s">
        <v>13912</v>
      </c>
      <c r="AC44" s="70" t="s">
        <v>303</v>
      </c>
      <c r="AD44" s="10" t="s">
        <v>620</v>
      </c>
      <c r="AE44" s="10" t="s">
        <v>14568</v>
      </c>
      <c r="AF44" s="10" t="s">
        <v>14569</v>
      </c>
      <c r="AG44" s="10" t="s">
        <v>14570</v>
      </c>
      <c r="AH44" s="10" t="s">
        <v>14571</v>
      </c>
      <c r="AI44" s="10" t="s">
        <v>14572</v>
      </c>
      <c r="AJ44" s="10" t="s">
        <v>179</v>
      </c>
      <c r="AK44" s="10" t="s">
        <v>179</v>
      </c>
      <c r="AL44" s="10" t="s">
        <v>179</v>
      </c>
      <c r="AM44" s="10" t="s">
        <v>14374</v>
      </c>
      <c r="AN44" s="10" t="s">
        <v>14573</v>
      </c>
      <c r="AO44" s="10" t="s">
        <v>13897</v>
      </c>
      <c r="AP44" s="52" t="s">
        <v>14574</v>
      </c>
      <c r="AQ44" s="10" t="s">
        <v>13923</v>
      </c>
      <c r="AR44" s="55">
        <v>37622.0</v>
      </c>
      <c r="AS44" s="10" t="s">
        <v>3668</v>
      </c>
      <c r="AT44" s="10" t="s">
        <v>99</v>
      </c>
      <c r="AU44" s="10"/>
    </row>
    <row r="45">
      <c r="A45" s="69">
        <v>2.0</v>
      </c>
      <c r="B45" s="29"/>
      <c r="C45" s="29"/>
      <c r="D45" s="56">
        <v>43303.01314190972</v>
      </c>
      <c r="E45" s="29" t="s">
        <v>2207</v>
      </c>
      <c r="F45" s="29" t="s">
        <v>14575</v>
      </c>
      <c r="G45" s="57" t="s">
        <v>14576</v>
      </c>
      <c r="H45" s="68" t="s">
        <v>14577</v>
      </c>
      <c r="I45" s="29"/>
      <c r="J45" s="29" t="s">
        <v>14578</v>
      </c>
      <c r="K45" s="29" t="s">
        <v>14579</v>
      </c>
      <c r="L45" s="29" t="s">
        <v>189</v>
      </c>
      <c r="M45" s="29" t="s">
        <v>14580</v>
      </c>
      <c r="N45" s="29" t="s">
        <v>14581</v>
      </c>
      <c r="O45" s="29" t="s">
        <v>14581</v>
      </c>
      <c r="P45" s="29" t="s">
        <v>14582</v>
      </c>
      <c r="Q45" s="29" t="s">
        <v>14076</v>
      </c>
      <c r="R45" s="29" t="s">
        <v>14334</v>
      </c>
      <c r="S45" s="61" t="s">
        <v>1388</v>
      </c>
      <c r="T45" s="58">
        <v>9.0</v>
      </c>
      <c r="U45" s="57" t="s">
        <v>14583</v>
      </c>
      <c r="V45" s="58">
        <v>3.679</v>
      </c>
      <c r="W45" s="29" t="s">
        <v>9806</v>
      </c>
      <c r="Y45" s="29" t="s">
        <v>4374</v>
      </c>
      <c r="Z45" s="62" t="s">
        <v>541</v>
      </c>
      <c r="AA45" s="29" t="s">
        <v>14584</v>
      </c>
      <c r="AB45" s="54" t="s">
        <v>13912</v>
      </c>
      <c r="AC45" s="66" t="s">
        <v>126</v>
      </c>
      <c r="AD45" s="29" t="s">
        <v>127</v>
      </c>
      <c r="AE45" s="29" t="s">
        <v>14585</v>
      </c>
      <c r="AF45" s="29" t="s">
        <v>14586</v>
      </c>
      <c r="AG45" s="29" t="s">
        <v>14587</v>
      </c>
      <c r="AH45" s="29" t="s">
        <v>14588</v>
      </c>
      <c r="AI45" s="29" t="s">
        <v>14589</v>
      </c>
      <c r="AJ45" s="29" t="s">
        <v>3668</v>
      </c>
      <c r="AK45" s="29" t="s">
        <v>179</v>
      </c>
      <c r="AL45" s="29" t="s">
        <v>179</v>
      </c>
      <c r="AM45" s="29" t="s">
        <v>14374</v>
      </c>
      <c r="AN45" s="29" t="s">
        <v>14590</v>
      </c>
      <c r="AO45" s="29" t="s">
        <v>13897</v>
      </c>
      <c r="AP45" s="57" t="s">
        <v>14591</v>
      </c>
      <c r="AQ45" s="29" t="s">
        <v>13923</v>
      </c>
      <c r="AR45" s="60">
        <v>37622.0</v>
      </c>
      <c r="AS45" s="29" t="s">
        <v>3668</v>
      </c>
      <c r="AT45" s="29" t="s">
        <v>99</v>
      </c>
      <c r="AU45" s="29"/>
    </row>
    <row r="46">
      <c r="A46" s="51">
        <v>1.0</v>
      </c>
      <c r="B46" s="10"/>
      <c r="C46" s="10"/>
      <c r="D46" s="9">
        <v>43303.021483310185</v>
      </c>
      <c r="E46" s="10" t="s">
        <v>2207</v>
      </c>
      <c r="F46" s="10" t="s">
        <v>14592</v>
      </c>
      <c r="G46" s="52" t="s">
        <v>14593</v>
      </c>
      <c r="H46" s="10" t="s">
        <v>13384</v>
      </c>
      <c r="I46" s="10" t="s">
        <v>14594</v>
      </c>
      <c r="J46" s="10" t="s">
        <v>620</v>
      </c>
      <c r="K46" s="10" t="s">
        <v>14595</v>
      </c>
      <c r="L46" s="10" t="s">
        <v>152</v>
      </c>
      <c r="M46" s="10" t="s">
        <v>14596</v>
      </c>
      <c r="N46" s="10" t="s">
        <v>14597</v>
      </c>
      <c r="O46" s="10" t="s">
        <v>14597</v>
      </c>
      <c r="P46" s="10" t="s">
        <v>14598</v>
      </c>
      <c r="Q46" s="10" t="s">
        <v>14076</v>
      </c>
      <c r="R46" s="10" t="s">
        <v>14334</v>
      </c>
      <c r="S46" s="61" t="s">
        <v>1388</v>
      </c>
      <c r="T46" s="12">
        <v>9.0</v>
      </c>
      <c r="U46" s="52" t="s">
        <v>14599</v>
      </c>
      <c r="V46" s="12">
        <v>3.89</v>
      </c>
      <c r="W46" s="10" t="s">
        <v>9806</v>
      </c>
      <c r="Y46" s="10" t="s">
        <v>14600</v>
      </c>
      <c r="Z46" s="53" t="s">
        <v>387</v>
      </c>
      <c r="AA46" s="10" t="s">
        <v>14601</v>
      </c>
      <c r="AB46" s="54" t="s">
        <v>13912</v>
      </c>
      <c r="AC46" s="66" t="s">
        <v>126</v>
      </c>
      <c r="AD46" s="10" t="s">
        <v>14602</v>
      </c>
      <c r="AE46" s="10" t="s">
        <v>14603</v>
      </c>
      <c r="AF46" s="10" t="s">
        <v>14551</v>
      </c>
      <c r="AG46" s="10" t="s">
        <v>14604</v>
      </c>
      <c r="AH46" s="10" t="s">
        <v>14605</v>
      </c>
      <c r="AI46" s="10" t="s">
        <v>14606</v>
      </c>
      <c r="AJ46" s="10" t="s">
        <v>179</v>
      </c>
      <c r="AK46" s="10" t="s">
        <v>179</v>
      </c>
      <c r="AL46" s="10" t="s">
        <v>179</v>
      </c>
      <c r="AM46" s="10" t="s">
        <v>14534</v>
      </c>
      <c r="AN46" s="10" t="s">
        <v>14607</v>
      </c>
      <c r="AO46" s="10" t="s">
        <v>13897</v>
      </c>
      <c r="AP46" s="52" t="s">
        <v>14608</v>
      </c>
      <c r="AQ46" s="10" t="s">
        <v>13923</v>
      </c>
      <c r="AR46" s="55">
        <v>37622.0</v>
      </c>
      <c r="AS46" s="10" t="s">
        <v>3668</v>
      </c>
      <c r="AT46" s="10" t="s">
        <v>99</v>
      </c>
      <c r="AU46" s="10"/>
    </row>
    <row r="47">
      <c r="A47" s="51">
        <v>1.0</v>
      </c>
      <c r="B47" s="29"/>
      <c r="C47" s="29"/>
      <c r="D47" s="56">
        <v>43303.0265162037</v>
      </c>
      <c r="E47" s="29" t="s">
        <v>2207</v>
      </c>
      <c r="F47" s="29" t="s">
        <v>14609</v>
      </c>
      <c r="G47" s="57" t="s">
        <v>14610</v>
      </c>
      <c r="H47" s="29" t="s">
        <v>14611</v>
      </c>
      <c r="I47" s="29" t="s">
        <v>14612</v>
      </c>
      <c r="J47" s="29" t="s">
        <v>620</v>
      </c>
      <c r="K47" s="29" t="s">
        <v>14613</v>
      </c>
      <c r="L47" s="29" t="s">
        <v>189</v>
      </c>
      <c r="M47" s="29" t="s">
        <v>14614</v>
      </c>
      <c r="N47" s="29" t="s">
        <v>14615</v>
      </c>
      <c r="O47" s="29" t="s">
        <v>14615</v>
      </c>
      <c r="P47" s="29" t="s">
        <v>14616</v>
      </c>
      <c r="Q47" s="29" t="s">
        <v>14076</v>
      </c>
      <c r="R47" s="29" t="s">
        <v>14334</v>
      </c>
      <c r="S47" s="61" t="s">
        <v>1388</v>
      </c>
      <c r="T47" s="58">
        <v>9.0</v>
      </c>
      <c r="U47" s="57" t="s">
        <v>14617</v>
      </c>
      <c r="V47" s="58">
        <v>3.214</v>
      </c>
      <c r="W47" s="29" t="s">
        <v>9806</v>
      </c>
      <c r="Y47" s="29" t="s">
        <v>14618</v>
      </c>
      <c r="Z47" s="53" t="s">
        <v>387</v>
      </c>
      <c r="AA47" s="29" t="s">
        <v>14619</v>
      </c>
      <c r="AB47" s="54" t="s">
        <v>13912</v>
      </c>
      <c r="AC47" s="59" t="s">
        <v>201</v>
      </c>
      <c r="AD47" s="29" t="s">
        <v>14620</v>
      </c>
      <c r="AE47" s="29" t="s">
        <v>14621</v>
      </c>
      <c r="AF47" s="29" t="s">
        <v>14551</v>
      </c>
      <c r="AG47" s="29" t="s">
        <v>14622</v>
      </c>
      <c r="AH47" s="29" t="s">
        <v>620</v>
      </c>
      <c r="AI47" s="29" t="s">
        <v>14623</v>
      </c>
      <c r="AJ47" s="29" t="s">
        <v>179</v>
      </c>
      <c r="AK47" s="29" t="s">
        <v>179</v>
      </c>
      <c r="AL47" s="29" t="s">
        <v>179</v>
      </c>
      <c r="AM47" s="68" t="s">
        <v>14374</v>
      </c>
      <c r="AN47" s="29"/>
      <c r="AO47" s="29" t="s">
        <v>13897</v>
      </c>
      <c r="AP47" s="57" t="s">
        <v>14624</v>
      </c>
      <c r="AQ47" s="29" t="s">
        <v>13923</v>
      </c>
      <c r="AR47" s="60">
        <v>37622.0</v>
      </c>
      <c r="AS47" s="29" t="s">
        <v>3668</v>
      </c>
      <c r="AT47" s="29" t="s">
        <v>99</v>
      </c>
      <c r="AU47" s="29"/>
    </row>
    <row r="48">
      <c r="A48" s="51">
        <v>1.0</v>
      </c>
      <c r="B48" s="10"/>
      <c r="C48" s="10"/>
      <c r="D48" s="9">
        <v>43303.03163728009</v>
      </c>
      <c r="E48" s="10" t="s">
        <v>2207</v>
      </c>
      <c r="F48" s="10" t="s">
        <v>14625</v>
      </c>
      <c r="G48" s="52" t="s">
        <v>14626</v>
      </c>
      <c r="H48" s="10" t="s">
        <v>14627</v>
      </c>
      <c r="I48" s="10" t="s">
        <v>14628</v>
      </c>
      <c r="J48" s="10" t="s">
        <v>620</v>
      </c>
      <c r="K48" s="10" t="s">
        <v>14629</v>
      </c>
      <c r="L48" s="10" t="s">
        <v>189</v>
      </c>
      <c r="M48" s="10" t="s">
        <v>14630</v>
      </c>
      <c r="N48" s="10" t="s">
        <v>14631</v>
      </c>
      <c r="O48" s="10" t="s">
        <v>14631</v>
      </c>
      <c r="P48" s="10" t="s">
        <v>14632</v>
      </c>
      <c r="Q48" s="10" t="s">
        <v>14076</v>
      </c>
      <c r="R48" s="10" t="s">
        <v>14334</v>
      </c>
      <c r="S48" s="61" t="s">
        <v>1388</v>
      </c>
      <c r="T48" s="12">
        <v>11.0</v>
      </c>
      <c r="U48" s="52" t="s">
        <v>14633</v>
      </c>
      <c r="V48" s="12">
        <v>4.18</v>
      </c>
      <c r="W48" s="10" t="s">
        <v>9806</v>
      </c>
      <c r="Y48" s="10" t="s">
        <v>14634</v>
      </c>
      <c r="Z48" s="53" t="s">
        <v>387</v>
      </c>
      <c r="AA48" s="10" t="s">
        <v>14635</v>
      </c>
      <c r="AB48" s="54" t="s">
        <v>13912</v>
      </c>
      <c r="AC48" s="11" t="s">
        <v>415</v>
      </c>
      <c r="AD48" s="10" t="s">
        <v>14636</v>
      </c>
      <c r="AE48" s="10" t="s">
        <v>14637</v>
      </c>
      <c r="AF48" s="10" t="s">
        <v>14638</v>
      </c>
      <c r="AG48" s="10" t="s">
        <v>14639</v>
      </c>
      <c r="AH48" s="10" t="s">
        <v>14640</v>
      </c>
      <c r="AI48" s="10" t="s">
        <v>14641</v>
      </c>
      <c r="AJ48" s="10" t="s">
        <v>3668</v>
      </c>
      <c r="AK48" s="10" t="s">
        <v>179</v>
      </c>
      <c r="AL48" s="10" t="s">
        <v>179</v>
      </c>
      <c r="AM48" s="13" t="s">
        <v>14534</v>
      </c>
      <c r="AN48" s="10"/>
      <c r="AO48" s="10" t="s">
        <v>13897</v>
      </c>
      <c r="AP48" s="52" t="s">
        <v>14642</v>
      </c>
      <c r="AQ48" s="10" t="s">
        <v>13923</v>
      </c>
      <c r="AR48" s="55">
        <v>36892.0</v>
      </c>
      <c r="AS48" s="10" t="s">
        <v>3668</v>
      </c>
      <c r="AT48" s="10" t="s">
        <v>99</v>
      </c>
      <c r="AU48" s="10"/>
    </row>
    <row r="49">
      <c r="A49" s="51">
        <v>0.0</v>
      </c>
      <c r="B49" s="29"/>
      <c r="C49" s="29"/>
      <c r="D49" s="56">
        <v>43303.04007081018</v>
      </c>
      <c r="E49" s="29" t="s">
        <v>2207</v>
      </c>
      <c r="F49" s="29" t="s">
        <v>14643</v>
      </c>
      <c r="G49" s="57" t="s">
        <v>14644</v>
      </c>
      <c r="H49" s="29" t="s">
        <v>14645</v>
      </c>
      <c r="I49" s="29" t="s">
        <v>14646</v>
      </c>
      <c r="J49" s="29" t="s">
        <v>14647</v>
      </c>
      <c r="K49" s="29" t="s">
        <v>14648</v>
      </c>
      <c r="L49" s="29" t="s">
        <v>189</v>
      </c>
      <c r="M49" s="29" t="s">
        <v>14649</v>
      </c>
      <c r="N49" s="29" t="s">
        <v>14650</v>
      </c>
      <c r="O49" s="29" t="s">
        <v>14650</v>
      </c>
      <c r="P49" s="29" t="s">
        <v>14651</v>
      </c>
      <c r="Q49" s="29" t="s">
        <v>14652</v>
      </c>
      <c r="R49" s="29" t="s">
        <v>14334</v>
      </c>
      <c r="S49" s="61" t="s">
        <v>1388</v>
      </c>
      <c r="T49" s="58">
        <v>11.0</v>
      </c>
      <c r="U49" s="57" t="s">
        <v>14653</v>
      </c>
      <c r="V49" s="58">
        <v>3.786</v>
      </c>
      <c r="W49" s="29" t="s">
        <v>9806</v>
      </c>
      <c r="Y49" s="29" t="s">
        <v>197</v>
      </c>
      <c r="Z49" s="53" t="s">
        <v>387</v>
      </c>
      <c r="AA49" s="29" t="s">
        <v>14584</v>
      </c>
      <c r="AB49" s="54" t="s">
        <v>13912</v>
      </c>
      <c r="AC49" s="11" t="s">
        <v>415</v>
      </c>
      <c r="AD49" s="29" t="s">
        <v>14654</v>
      </c>
      <c r="AE49" s="29" t="s">
        <v>14655</v>
      </c>
      <c r="AF49" s="29" t="s">
        <v>14656</v>
      </c>
      <c r="AG49" s="29" t="s">
        <v>14657</v>
      </c>
      <c r="AH49" s="29" t="s">
        <v>14658</v>
      </c>
      <c r="AI49" s="29" t="s">
        <v>14659</v>
      </c>
      <c r="AJ49" s="29" t="s">
        <v>179</v>
      </c>
      <c r="AK49" s="29" t="s">
        <v>179</v>
      </c>
      <c r="AL49" s="29" t="s">
        <v>179</v>
      </c>
      <c r="AM49" s="68" t="s">
        <v>14534</v>
      </c>
      <c r="AN49" s="29"/>
      <c r="AO49" s="29" t="s">
        <v>13897</v>
      </c>
      <c r="AP49" s="57" t="s">
        <v>14660</v>
      </c>
      <c r="AQ49" s="29" t="s">
        <v>13923</v>
      </c>
      <c r="AR49" s="60">
        <v>37622.0</v>
      </c>
      <c r="AS49" s="29" t="s">
        <v>3668</v>
      </c>
      <c r="AT49" s="29" t="s">
        <v>99</v>
      </c>
      <c r="AU49" s="29"/>
    </row>
    <row r="50">
      <c r="A50" s="51">
        <v>1.0</v>
      </c>
      <c r="B50" s="10"/>
      <c r="C50" s="10"/>
      <c r="D50" s="9">
        <v>43303.04573975694</v>
      </c>
      <c r="E50" s="10" t="s">
        <v>2207</v>
      </c>
      <c r="F50" s="10" t="s">
        <v>14661</v>
      </c>
      <c r="G50" s="52" t="s">
        <v>14662</v>
      </c>
      <c r="H50" s="10" t="s">
        <v>14663</v>
      </c>
      <c r="I50" s="12">
        <v>9.175882764E9</v>
      </c>
      <c r="J50" s="10" t="s">
        <v>620</v>
      </c>
      <c r="K50" s="10" t="s">
        <v>14664</v>
      </c>
      <c r="L50" s="10" t="s">
        <v>108</v>
      </c>
      <c r="M50" s="10" t="s">
        <v>14665</v>
      </c>
      <c r="N50" s="10" t="s">
        <v>14666</v>
      </c>
      <c r="O50" s="10" t="s">
        <v>14666</v>
      </c>
      <c r="P50" s="10" t="s">
        <v>14667</v>
      </c>
      <c r="Q50" s="10" t="s">
        <v>13931</v>
      </c>
      <c r="R50" s="10" t="s">
        <v>14668</v>
      </c>
      <c r="S50" s="62" t="s">
        <v>1412</v>
      </c>
      <c r="T50" s="12">
        <v>9.0</v>
      </c>
      <c r="U50" s="52" t="s">
        <v>14669</v>
      </c>
      <c r="V50" s="12">
        <v>3.0</v>
      </c>
      <c r="W50" s="10" t="s">
        <v>9806</v>
      </c>
      <c r="Y50" s="10" t="s">
        <v>4374</v>
      </c>
      <c r="Z50" s="62" t="s">
        <v>541</v>
      </c>
      <c r="AA50" s="10" t="s">
        <v>14619</v>
      </c>
      <c r="AB50" s="54" t="s">
        <v>13912</v>
      </c>
      <c r="AC50" s="59" t="s">
        <v>201</v>
      </c>
      <c r="AD50" s="10" t="s">
        <v>620</v>
      </c>
      <c r="AE50" s="10" t="s">
        <v>14670</v>
      </c>
      <c r="AF50" s="10" t="s">
        <v>14671</v>
      </c>
      <c r="AG50" s="10" t="s">
        <v>14672</v>
      </c>
      <c r="AH50" s="10" t="s">
        <v>620</v>
      </c>
      <c r="AI50" s="10" t="s">
        <v>14673</v>
      </c>
      <c r="AJ50" s="10" t="s">
        <v>139</v>
      </c>
      <c r="AK50" s="10" t="s">
        <v>179</v>
      </c>
      <c r="AL50" s="10" t="s">
        <v>179</v>
      </c>
      <c r="AM50" s="10" t="s">
        <v>628</v>
      </c>
      <c r="AN50" s="10"/>
      <c r="AO50" s="10" t="s">
        <v>13897</v>
      </c>
      <c r="AP50" s="52" t="s">
        <v>14674</v>
      </c>
      <c r="AQ50" s="10" t="s">
        <v>13923</v>
      </c>
      <c r="AR50" s="55">
        <v>37622.0</v>
      </c>
      <c r="AS50" s="10" t="s">
        <v>3668</v>
      </c>
      <c r="AT50" s="10" t="s">
        <v>99</v>
      </c>
      <c r="AU50" s="10"/>
    </row>
    <row r="51">
      <c r="A51" s="51">
        <v>1.0</v>
      </c>
      <c r="B51" s="29"/>
      <c r="C51" s="29"/>
      <c r="D51" s="56">
        <v>43303.049604479165</v>
      </c>
      <c r="E51" s="29" t="s">
        <v>2207</v>
      </c>
      <c r="F51" s="29" t="s">
        <v>13245</v>
      </c>
      <c r="G51" s="57" t="s">
        <v>14675</v>
      </c>
      <c r="H51" s="29" t="s">
        <v>14676</v>
      </c>
      <c r="I51" s="29" t="s">
        <v>14677</v>
      </c>
      <c r="J51" s="29" t="s">
        <v>620</v>
      </c>
      <c r="K51" s="29" t="s">
        <v>14678</v>
      </c>
      <c r="L51" s="29" t="s">
        <v>152</v>
      </c>
      <c r="M51" s="29" t="s">
        <v>14679</v>
      </c>
      <c r="N51" s="29" t="s">
        <v>14680</v>
      </c>
      <c r="O51" s="29" t="s">
        <v>14680</v>
      </c>
      <c r="P51" s="29" t="s">
        <v>14681</v>
      </c>
      <c r="Q51" s="29" t="s">
        <v>14076</v>
      </c>
      <c r="R51" s="29" t="s">
        <v>14334</v>
      </c>
      <c r="S51" s="61" t="s">
        <v>1388</v>
      </c>
      <c r="T51" s="58">
        <v>9.0</v>
      </c>
      <c r="U51" s="57" t="s">
        <v>14682</v>
      </c>
      <c r="V51" s="58">
        <v>3.64</v>
      </c>
      <c r="W51" s="29" t="s">
        <v>9806</v>
      </c>
      <c r="Y51" s="29" t="s">
        <v>14527</v>
      </c>
      <c r="Z51" s="62" t="s">
        <v>541</v>
      </c>
      <c r="AA51" s="29" t="s">
        <v>621</v>
      </c>
      <c r="AB51" s="54" t="s">
        <v>13912</v>
      </c>
      <c r="AC51" s="59" t="s">
        <v>201</v>
      </c>
      <c r="AD51" s="29" t="s">
        <v>7922</v>
      </c>
      <c r="AE51" s="29" t="s">
        <v>14683</v>
      </c>
      <c r="AF51" s="29" t="s">
        <v>14684</v>
      </c>
      <c r="AG51" s="29" t="s">
        <v>620</v>
      </c>
      <c r="AH51" s="29" t="s">
        <v>14685</v>
      </c>
      <c r="AI51" s="29" t="s">
        <v>14686</v>
      </c>
      <c r="AJ51" s="29" t="s">
        <v>179</v>
      </c>
      <c r="AK51" s="29" t="s">
        <v>179</v>
      </c>
      <c r="AL51" s="29" t="s">
        <v>179</v>
      </c>
      <c r="AM51" s="68" t="s">
        <v>14359</v>
      </c>
      <c r="AN51" s="29"/>
      <c r="AO51" s="29" t="s">
        <v>13897</v>
      </c>
      <c r="AP51" s="57" t="s">
        <v>14687</v>
      </c>
      <c r="AQ51" s="29" t="s">
        <v>13923</v>
      </c>
      <c r="AR51" s="60">
        <v>37622.0</v>
      </c>
      <c r="AS51" s="29" t="s">
        <v>3668</v>
      </c>
      <c r="AT51" s="29" t="s">
        <v>99</v>
      </c>
      <c r="AU51" s="29"/>
    </row>
    <row r="52">
      <c r="A52" s="69">
        <v>2.0</v>
      </c>
      <c r="B52" s="10"/>
      <c r="C52" s="10"/>
      <c r="D52" s="9">
        <v>43303.05617902778</v>
      </c>
      <c r="E52" s="10" t="s">
        <v>2207</v>
      </c>
      <c r="F52" s="10" t="s">
        <v>14688</v>
      </c>
      <c r="G52" s="52" t="s">
        <v>14689</v>
      </c>
      <c r="H52" s="10" t="s">
        <v>14690</v>
      </c>
      <c r="I52" s="12">
        <v>3.473518851E9</v>
      </c>
      <c r="J52" s="10" t="s">
        <v>620</v>
      </c>
      <c r="K52" s="10" t="s">
        <v>14691</v>
      </c>
      <c r="L52" s="10" t="s">
        <v>189</v>
      </c>
      <c r="M52" s="10" t="s">
        <v>14690</v>
      </c>
      <c r="N52" s="10" t="s">
        <v>14692</v>
      </c>
      <c r="O52" s="10" t="s">
        <v>14692</v>
      </c>
      <c r="P52" s="10" t="s">
        <v>14693</v>
      </c>
      <c r="Q52" s="10" t="s">
        <v>13931</v>
      </c>
      <c r="R52" s="10" t="s">
        <v>13932</v>
      </c>
      <c r="S52" s="62" t="s">
        <v>1412</v>
      </c>
      <c r="T52" s="12">
        <v>9.0</v>
      </c>
      <c r="U52" s="52" t="s">
        <v>14694</v>
      </c>
      <c r="V52" s="12">
        <v>3.0</v>
      </c>
      <c r="W52" s="10" t="s">
        <v>9806</v>
      </c>
      <c r="Y52" s="10" t="s">
        <v>4374</v>
      </c>
      <c r="Z52" s="62" t="s">
        <v>541</v>
      </c>
      <c r="AA52" s="10" t="s">
        <v>199</v>
      </c>
      <c r="AB52" s="62" t="s">
        <v>14695</v>
      </c>
      <c r="AC52" s="11" t="s">
        <v>166</v>
      </c>
      <c r="AD52" s="10" t="s">
        <v>14696</v>
      </c>
      <c r="AE52" s="10" t="s">
        <v>14697</v>
      </c>
      <c r="AF52" s="10" t="s">
        <v>14698</v>
      </c>
      <c r="AG52" s="10" t="s">
        <v>14699</v>
      </c>
      <c r="AH52" s="10" t="s">
        <v>14700</v>
      </c>
      <c r="AI52" s="10" t="s">
        <v>14701</v>
      </c>
      <c r="AJ52" s="10" t="s">
        <v>179</v>
      </c>
      <c r="AK52" s="10" t="s">
        <v>179</v>
      </c>
      <c r="AL52" s="10" t="s">
        <v>179</v>
      </c>
      <c r="AM52" s="13" t="s">
        <v>14702</v>
      </c>
      <c r="AN52" s="10"/>
      <c r="AO52" s="10" t="s">
        <v>13897</v>
      </c>
      <c r="AP52" s="52" t="s">
        <v>14703</v>
      </c>
      <c r="AQ52" s="10" t="s">
        <v>13923</v>
      </c>
      <c r="AR52" s="55">
        <v>37622.0</v>
      </c>
      <c r="AS52" s="10" t="s">
        <v>14309</v>
      </c>
      <c r="AT52" s="10" t="s">
        <v>99</v>
      </c>
      <c r="AU52" s="10"/>
    </row>
    <row r="53">
      <c r="A53" s="51">
        <v>1.0</v>
      </c>
      <c r="B53" s="29"/>
      <c r="C53" s="29"/>
      <c r="D53" s="56">
        <v>43303.48375818287</v>
      </c>
      <c r="E53" s="29" t="s">
        <v>2207</v>
      </c>
      <c r="F53" s="29" t="s">
        <v>14704</v>
      </c>
      <c r="G53" s="57" t="s">
        <v>14705</v>
      </c>
      <c r="H53" s="29" t="s">
        <v>14706</v>
      </c>
      <c r="I53" s="29" t="s">
        <v>14707</v>
      </c>
      <c r="J53" s="29" t="s">
        <v>14708</v>
      </c>
      <c r="K53" s="29" t="s">
        <v>14709</v>
      </c>
      <c r="L53" s="29" t="s">
        <v>1510</v>
      </c>
      <c r="M53" s="29" t="s">
        <v>14710</v>
      </c>
      <c r="N53" s="29" t="s">
        <v>14711</v>
      </c>
      <c r="O53" s="29" t="s">
        <v>14711</v>
      </c>
      <c r="P53" s="29" t="s">
        <v>14712</v>
      </c>
      <c r="Q53" s="29" t="s">
        <v>7339</v>
      </c>
      <c r="R53" s="29" t="s">
        <v>727</v>
      </c>
      <c r="S53" s="11" t="s">
        <v>194</v>
      </c>
      <c r="T53" s="58">
        <v>9.0</v>
      </c>
      <c r="U53" s="57" t="s">
        <v>14713</v>
      </c>
      <c r="V53" s="58">
        <v>3.0</v>
      </c>
      <c r="W53" s="29" t="s">
        <v>9806</v>
      </c>
      <c r="Y53" s="29" t="s">
        <v>13052</v>
      </c>
      <c r="Z53" s="11" t="s">
        <v>636</v>
      </c>
      <c r="AA53" s="29" t="s">
        <v>14714</v>
      </c>
      <c r="AB53" s="40" t="s">
        <v>162</v>
      </c>
      <c r="AC53" s="66" t="s">
        <v>126</v>
      </c>
      <c r="AD53" s="29" t="s">
        <v>14715</v>
      </c>
      <c r="AE53" s="29" t="s">
        <v>14716</v>
      </c>
      <c r="AF53" s="29" t="s">
        <v>14130</v>
      </c>
      <c r="AG53" s="29" t="s">
        <v>2317</v>
      </c>
      <c r="AH53" s="29" t="s">
        <v>14717</v>
      </c>
      <c r="AI53" s="29" t="s">
        <v>14716</v>
      </c>
      <c r="AJ53" s="29" t="s">
        <v>3668</v>
      </c>
      <c r="AK53" s="29" t="s">
        <v>179</v>
      </c>
      <c r="AL53" s="29" t="s">
        <v>179</v>
      </c>
      <c r="AM53" s="29" t="s">
        <v>14534</v>
      </c>
      <c r="AN53" s="29" t="s">
        <v>14718</v>
      </c>
      <c r="AO53" s="29" t="s">
        <v>13897</v>
      </c>
      <c r="AP53" s="57" t="s">
        <v>14719</v>
      </c>
      <c r="AQ53" s="29" t="s">
        <v>13923</v>
      </c>
      <c r="AR53" s="60">
        <v>37622.0</v>
      </c>
      <c r="AS53" s="29" t="s">
        <v>3668</v>
      </c>
      <c r="AT53" s="29" t="s">
        <v>99</v>
      </c>
      <c r="AU53" s="29"/>
    </row>
    <row r="54">
      <c r="A54" s="69">
        <v>2.0</v>
      </c>
      <c r="B54" s="10"/>
      <c r="C54" s="10"/>
      <c r="D54" s="9">
        <v>43303.515314062504</v>
      </c>
      <c r="E54" s="10" t="s">
        <v>2207</v>
      </c>
      <c r="F54" s="10" t="s">
        <v>14720</v>
      </c>
      <c r="G54" s="52" t="s">
        <v>14721</v>
      </c>
      <c r="H54" s="10" t="s">
        <v>14722</v>
      </c>
      <c r="I54" s="10" t="s">
        <v>14723</v>
      </c>
      <c r="J54" s="10" t="s">
        <v>14724</v>
      </c>
      <c r="K54" s="10" t="s">
        <v>14725</v>
      </c>
      <c r="L54" s="10" t="s">
        <v>189</v>
      </c>
      <c r="M54" s="10" t="s">
        <v>14726</v>
      </c>
      <c r="N54" s="10" t="s">
        <v>14727</v>
      </c>
      <c r="O54" s="10" t="s">
        <v>14727</v>
      </c>
      <c r="P54" s="10" t="s">
        <v>14728</v>
      </c>
      <c r="Q54" s="10" t="s">
        <v>7339</v>
      </c>
      <c r="R54" s="10" t="s">
        <v>836</v>
      </c>
      <c r="S54" s="11" t="s">
        <v>194</v>
      </c>
      <c r="T54" s="12">
        <v>9.0</v>
      </c>
      <c r="U54" s="52" t="s">
        <v>14729</v>
      </c>
      <c r="V54" s="12">
        <v>3.0</v>
      </c>
      <c r="W54" s="10" t="s">
        <v>9806</v>
      </c>
      <c r="Y54" s="10" t="s">
        <v>7469</v>
      </c>
      <c r="Z54" s="71" t="s">
        <v>1489</v>
      </c>
      <c r="AA54" s="10" t="s">
        <v>14730</v>
      </c>
      <c r="AB54" s="40" t="s">
        <v>162</v>
      </c>
      <c r="AC54" s="72" t="s">
        <v>13913</v>
      </c>
      <c r="AD54" s="10" t="s">
        <v>8386</v>
      </c>
      <c r="AE54" s="10" t="s">
        <v>14731</v>
      </c>
      <c r="AF54" s="10" t="s">
        <v>14732</v>
      </c>
      <c r="AG54" s="10" t="s">
        <v>14733</v>
      </c>
      <c r="AH54" s="10" t="s">
        <v>14734</v>
      </c>
      <c r="AI54" s="10" t="s">
        <v>14735</v>
      </c>
      <c r="AJ54" s="10" t="s">
        <v>3668</v>
      </c>
      <c r="AK54" s="10" t="s">
        <v>179</v>
      </c>
      <c r="AL54" s="10" t="s">
        <v>179</v>
      </c>
      <c r="AM54" s="10" t="s">
        <v>14374</v>
      </c>
      <c r="AN54" s="10" t="s">
        <v>14736</v>
      </c>
      <c r="AO54" s="10" t="s">
        <v>13897</v>
      </c>
      <c r="AP54" s="52" t="s">
        <v>14737</v>
      </c>
      <c r="AQ54" s="10" t="s">
        <v>13923</v>
      </c>
      <c r="AR54" s="55">
        <v>37257.0</v>
      </c>
      <c r="AS54" s="10" t="s">
        <v>3668</v>
      </c>
      <c r="AT54" s="10" t="s">
        <v>99</v>
      </c>
      <c r="AU54" s="10"/>
    </row>
    <row r="55">
      <c r="A55" s="69">
        <v>2.0</v>
      </c>
      <c r="B55" s="29"/>
      <c r="C55" s="29"/>
      <c r="D55" s="56">
        <v>43303.52590354167</v>
      </c>
      <c r="E55" s="29" t="s">
        <v>2207</v>
      </c>
      <c r="F55" s="29" t="s">
        <v>13502</v>
      </c>
      <c r="G55" s="57" t="s">
        <v>14738</v>
      </c>
      <c r="H55" s="29" t="s">
        <v>14739</v>
      </c>
      <c r="I55" s="29" t="s">
        <v>14740</v>
      </c>
      <c r="J55" s="29" t="s">
        <v>14741</v>
      </c>
      <c r="K55" s="29" t="s">
        <v>14742</v>
      </c>
      <c r="L55" s="29" t="s">
        <v>189</v>
      </c>
      <c r="M55" s="29" t="s">
        <v>14743</v>
      </c>
      <c r="N55" s="29" t="s">
        <v>14744</v>
      </c>
      <c r="O55" s="29" t="s">
        <v>14744</v>
      </c>
      <c r="P55" s="29" t="s">
        <v>14745</v>
      </c>
      <c r="Q55" s="29" t="s">
        <v>7339</v>
      </c>
      <c r="R55" s="29" t="s">
        <v>727</v>
      </c>
      <c r="S55" s="11" t="s">
        <v>194</v>
      </c>
      <c r="T55" s="58">
        <v>10.0</v>
      </c>
      <c r="U55" s="57" t="s">
        <v>14746</v>
      </c>
      <c r="V55" s="58">
        <v>3.0</v>
      </c>
      <c r="W55" s="29" t="s">
        <v>9806</v>
      </c>
      <c r="Y55" s="29" t="s">
        <v>14747</v>
      </c>
      <c r="Z55" s="29" t="s">
        <v>619</v>
      </c>
      <c r="AA55" s="29" t="s">
        <v>14748</v>
      </c>
      <c r="AB55" s="40" t="s">
        <v>162</v>
      </c>
      <c r="AC55" s="66" t="s">
        <v>126</v>
      </c>
      <c r="AD55" s="29" t="s">
        <v>13695</v>
      </c>
      <c r="AE55" s="29" t="s">
        <v>14749</v>
      </c>
      <c r="AF55" s="29" t="s">
        <v>14750</v>
      </c>
      <c r="AG55" s="29" t="s">
        <v>14751</v>
      </c>
      <c r="AH55" s="29" t="s">
        <v>14752</v>
      </c>
      <c r="AI55" s="29" t="s">
        <v>14753</v>
      </c>
      <c r="AJ55" s="29" t="s">
        <v>3668</v>
      </c>
      <c r="AK55" s="29" t="s">
        <v>179</v>
      </c>
      <c r="AL55" s="29" t="s">
        <v>179</v>
      </c>
      <c r="AM55" s="29" t="s">
        <v>14374</v>
      </c>
      <c r="AN55" s="29" t="s">
        <v>14754</v>
      </c>
      <c r="AO55" s="29" t="s">
        <v>13897</v>
      </c>
      <c r="AP55" s="57" t="s">
        <v>14755</v>
      </c>
      <c r="AQ55" s="29" t="s">
        <v>13923</v>
      </c>
      <c r="AR55" s="60">
        <v>37257.0</v>
      </c>
      <c r="AS55" s="29" t="s">
        <v>3668</v>
      </c>
      <c r="AT55" s="29" t="s">
        <v>99</v>
      </c>
      <c r="AU55" s="29"/>
    </row>
    <row r="56">
      <c r="A56" s="64">
        <v>3.0</v>
      </c>
      <c r="B56" s="10"/>
      <c r="C56" s="10"/>
      <c r="D56" s="9">
        <v>43303.546735613425</v>
      </c>
      <c r="E56" s="10" t="s">
        <v>2207</v>
      </c>
      <c r="F56" s="10" t="s">
        <v>13158</v>
      </c>
      <c r="G56" s="52" t="s">
        <v>14756</v>
      </c>
      <c r="H56" s="10" t="s">
        <v>13471</v>
      </c>
      <c r="I56" s="10" t="s">
        <v>14757</v>
      </c>
      <c r="J56" s="10" t="s">
        <v>258</v>
      </c>
      <c r="K56" s="10" t="s">
        <v>14758</v>
      </c>
      <c r="L56" s="10" t="s">
        <v>152</v>
      </c>
      <c r="M56" s="10" t="s">
        <v>14759</v>
      </c>
      <c r="N56" s="10" t="s">
        <v>14760</v>
      </c>
      <c r="O56" s="10" t="s">
        <v>14760</v>
      </c>
      <c r="P56" s="10" t="s">
        <v>14761</v>
      </c>
      <c r="Q56" s="10" t="s">
        <v>7339</v>
      </c>
      <c r="R56" s="10" t="s">
        <v>727</v>
      </c>
      <c r="S56" s="11" t="s">
        <v>194</v>
      </c>
      <c r="T56" s="12">
        <v>10.0</v>
      </c>
      <c r="U56" s="52" t="s">
        <v>14762</v>
      </c>
      <c r="V56" s="12">
        <v>3.8</v>
      </c>
      <c r="W56" s="10" t="s">
        <v>9806</v>
      </c>
      <c r="Y56" s="10" t="s">
        <v>14763</v>
      </c>
      <c r="Z56" s="73" t="s">
        <v>413</v>
      </c>
      <c r="AA56" s="10" t="s">
        <v>14764</v>
      </c>
      <c r="AB56" s="40" t="s">
        <v>162</v>
      </c>
      <c r="AC56" s="11" t="s">
        <v>166</v>
      </c>
      <c r="AD56" s="10" t="s">
        <v>14765</v>
      </c>
      <c r="AE56" s="10" t="s">
        <v>14766</v>
      </c>
      <c r="AF56" s="10" t="s">
        <v>14767</v>
      </c>
      <c r="AG56" s="10" t="s">
        <v>14768</v>
      </c>
      <c r="AH56" s="10" t="s">
        <v>14769</v>
      </c>
      <c r="AI56" s="10" t="s">
        <v>14770</v>
      </c>
      <c r="AJ56" s="10" t="s">
        <v>179</v>
      </c>
      <c r="AK56" s="10" t="s">
        <v>179</v>
      </c>
      <c r="AL56" s="10" t="s">
        <v>179</v>
      </c>
      <c r="AM56" s="13" t="s">
        <v>14374</v>
      </c>
      <c r="AN56" s="10"/>
      <c r="AO56" s="10" t="s">
        <v>13897</v>
      </c>
      <c r="AP56" s="52" t="s">
        <v>14771</v>
      </c>
      <c r="AQ56" s="10" t="s">
        <v>13923</v>
      </c>
      <c r="AR56" s="55">
        <v>37257.0</v>
      </c>
      <c r="AS56" s="10" t="s">
        <v>3668</v>
      </c>
      <c r="AT56" s="10" t="s">
        <v>99</v>
      </c>
      <c r="AU56" s="10"/>
    </row>
    <row r="57">
      <c r="A57" s="51">
        <v>1.0</v>
      </c>
      <c r="B57" s="29"/>
      <c r="C57" s="29"/>
      <c r="D57" s="56">
        <v>43303.55099694444</v>
      </c>
      <c r="E57" s="29" t="s">
        <v>2207</v>
      </c>
      <c r="F57" s="29" t="s">
        <v>14772</v>
      </c>
      <c r="G57" s="57" t="s">
        <v>14773</v>
      </c>
      <c r="H57" s="29" t="s">
        <v>14774</v>
      </c>
      <c r="I57" s="29" t="s">
        <v>14775</v>
      </c>
      <c r="J57" s="29" t="s">
        <v>620</v>
      </c>
      <c r="K57" s="29" t="s">
        <v>14776</v>
      </c>
      <c r="L57" s="29" t="s">
        <v>189</v>
      </c>
      <c r="M57" s="29" t="s">
        <v>14777</v>
      </c>
      <c r="N57" s="29" t="s">
        <v>14778</v>
      </c>
      <c r="O57" s="29" t="s">
        <v>14778</v>
      </c>
      <c r="P57" s="29" t="s">
        <v>14779</v>
      </c>
      <c r="Q57" s="29" t="s">
        <v>7339</v>
      </c>
      <c r="R57" s="29" t="s">
        <v>727</v>
      </c>
      <c r="S57" s="11" t="s">
        <v>194</v>
      </c>
      <c r="T57" s="58">
        <v>9.0</v>
      </c>
      <c r="U57" s="57" t="s">
        <v>14780</v>
      </c>
      <c r="V57" s="58">
        <v>3.0</v>
      </c>
      <c r="W57" s="29" t="s">
        <v>9806</v>
      </c>
      <c r="Y57" s="29" t="s">
        <v>13052</v>
      </c>
      <c r="Z57" s="11" t="s">
        <v>636</v>
      </c>
      <c r="AA57" s="29" t="s">
        <v>14781</v>
      </c>
      <c r="AB57" s="54" t="s">
        <v>13912</v>
      </c>
      <c r="AC57" s="66" t="s">
        <v>126</v>
      </c>
      <c r="AD57" s="29" t="s">
        <v>14051</v>
      </c>
      <c r="AE57" s="29" t="s">
        <v>14782</v>
      </c>
      <c r="AF57" s="29" t="s">
        <v>14783</v>
      </c>
      <c r="AG57" s="29" t="s">
        <v>14784</v>
      </c>
      <c r="AH57" s="29" t="s">
        <v>14785</v>
      </c>
      <c r="AI57" s="29" t="s">
        <v>14786</v>
      </c>
      <c r="AJ57" s="29" t="s">
        <v>179</v>
      </c>
      <c r="AK57" s="29" t="s">
        <v>179</v>
      </c>
      <c r="AL57" s="29" t="s">
        <v>179</v>
      </c>
      <c r="AM57" s="68" t="s">
        <v>14374</v>
      </c>
      <c r="AN57" s="29"/>
      <c r="AO57" s="29" t="s">
        <v>13897</v>
      </c>
      <c r="AP57" s="57" t="s">
        <v>14787</v>
      </c>
      <c r="AQ57" s="29" t="s">
        <v>13923</v>
      </c>
      <c r="AR57" s="60">
        <v>37622.0</v>
      </c>
      <c r="AS57" s="29" t="s">
        <v>3668</v>
      </c>
      <c r="AT57" s="29" t="s">
        <v>99</v>
      </c>
      <c r="AU57" s="29"/>
    </row>
    <row r="58">
      <c r="A58" s="51">
        <v>1.0</v>
      </c>
      <c r="B58" s="10"/>
      <c r="C58" s="10"/>
      <c r="D58" s="9">
        <v>43303.560285949075</v>
      </c>
      <c r="E58" s="10" t="s">
        <v>2207</v>
      </c>
      <c r="F58" s="10" t="s">
        <v>14788</v>
      </c>
      <c r="G58" s="52" t="s">
        <v>14789</v>
      </c>
      <c r="H58" s="10" t="s">
        <v>14790</v>
      </c>
      <c r="I58" s="12">
        <v>2.675933393E9</v>
      </c>
      <c r="J58" s="10" t="s">
        <v>620</v>
      </c>
      <c r="K58" s="10" t="s">
        <v>14791</v>
      </c>
      <c r="L58" s="10" t="s">
        <v>152</v>
      </c>
      <c r="M58" s="10" t="s">
        <v>14790</v>
      </c>
      <c r="N58" s="10" t="s">
        <v>14792</v>
      </c>
      <c r="O58" s="10" t="s">
        <v>14792</v>
      </c>
      <c r="P58" s="10" t="s">
        <v>14793</v>
      </c>
      <c r="Q58" s="10" t="s">
        <v>7339</v>
      </c>
      <c r="R58" s="10" t="s">
        <v>727</v>
      </c>
      <c r="S58" s="11" t="s">
        <v>194</v>
      </c>
      <c r="T58" s="12">
        <v>10.0</v>
      </c>
      <c r="U58" s="52" t="s">
        <v>14794</v>
      </c>
      <c r="V58" s="12">
        <v>3.0</v>
      </c>
      <c r="W58" s="10" t="s">
        <v>9806</v>
      </c>
      <c r="Y58" s="10" t="s">
        <v>14795</v>
      </c>
      <c r="Z58" s="73" t="s">
        <v>413</v>
      </c>
      <c r="AA58" s="10" t="s">
        <v>14796</v>
      </c>
      <c r="AB58" s="40" t="s">
        <v>162</v>
      </c>
      <c r="AC58" s="66" t="s">
        <v>126</v>
      </c>
      <c r="AD58" s="10" t="s">
        <v>14020</v>
      </c>
      <c r="AE58" s="10" t="s">
        <v>14797</v>
      </c>
      <c r="AF58" s="10" t="s">
        <v>14798</v>
      </c>
      <c r="AG58" s="10" t="s">
        <v>14799</v>
      </c>
      <c r="AH58" s="10" t="s">
        <v>14800</v>
      </c>
      <c r="AI58" s="10" t="s">
        <v>14801</v>
      </c>
      <c r="AJ58" s="10" t="s">
        <v>179</v>
      </c>
      <c r="AK58" s="10" t="s">
        <v>179</v>
      </c>
      <c r="AL58" s="10" t="s">
        <v>179</v>
      </c>
      <c r="AM58" s="10" t="s">
        <v>14359</v>
      </c>
      <c r="AN58" s="10" t="s">
        <v>14802</v>
      </c>
      <c r="AO58" s="10" t="s">
        <v>13897</v>
      </c>
      <c r="AP58" s="52" t="s">
        <v>14803</v>
      </c>
      <c r="AQ58" s="10" t="s">
        <v>13923</v>
      </c>
      <c r="AR58" s="55">
        <v>37257.0</v>
      </c>
      <c r="AS58" s="10" t="s">
        <v>3668</v>
      </c>
      <c r="AT58" s="10" t="s">
        <v>99</v>
      </c>
      <c r="AU58" s="10"/>
    </row>
    <row r="59">
      <c r="A59" s="51">
        <v>1.0</v>
      </c>
      <c r="B59" s="29"/>
      <c r="C59" s="29"/>
      <c r="D59" s="56">
        <v>43303.56902819444</v>
      </c>
      <c r="E59" s="29" t="s">
        <v>2207</v>
      </c>
      <c r="F59" s="29" t="s">
        <v>14804</v>
      </c>
      <c r="G59" s="57" t="s">
        <v>14805</v>
      </c>
      <c r="H59" s="29" t="s">
        <v>14806</v>
      </c>
      <c r="I59" s="29" t="s">
        <v>14807</v>
      </c>
      <c r="J59" s="29" t="s">
        <v>164</v>
      </c>
      <c r="K59" s="29" t="s">
        <v>14808</v>
      </c>
      <c r="L59" s="29" t="s">
        <v>189</v>
      </c>
      <c r="M59" s="29" t="s">
        <v>14809</v>
      </c>
      <c r="N59" s="29" t="s">
        <v>14810</v>
      </c>
      <c r="O59" s="29" t="s">
        <v>14810</v>
      </c>
      <c r="P59" s="29" t="s">
        <v>14811</v>
      </c>
      <c r="Q59" s="29" t="s">
        <v>7339</v>
      </c>
      <c r="R59" s="29" t="s">
        <v>836</v>
      </c>
      <c r="S59" s="11" t="s">
        <v>194</v>
      </c>
      <c r="T59" s="58">
        <v>10.0</v>
      </c>
      <c r="U59" s="57" t="s">
        <v>14812</v>
      </c>
      <c r="V59" s="58">
        <v>3.0</v>
      </c>
      <c r="W59" s="29" t="s">
        <v>9806</v>
      </c>
      <c r="Y59" s="29" t="s">
        <v>412</v>
      </c>
      <c r="Z59" s="73" t="s">
        <v>413</v>
      </c>
      <c r="AA59" s="29" t="s">
        <v>14813</v>
      </c>
      <c r="AB59" s="40" t="s">
        <v>162</v>
      </c>
      <c r="AC59" s="66" t="s">
        <v>126</v>
      </c>
      <c r="AD59" s="29" t="s">
        <v>840</v>
      </c>
      <c r="AE59" s="29" t="s">
        <v>14814</v>
      </c>
      <c r="AF59" s="29" t="s">
        <v>14130</v>
      </c>
      <c r="AG59" s="29" t="s">
        <v>14815</v>
      </c>
      <c r="AH59" s="29" t="s">
        <v>14816</v>
      </c>
      <c r="AI59" s="29" t="s">
        <v>14817</v>
      </c>
      <c r="AJ59" s="29" t="s">
        <v>3668</v>
      </c>
      <c r="AK59" s="29" t="s">
        <v>179</v>
      </c>
      <c r="AL59" s="29" t="s">
        <v>179</v>
      </c>
      <c r="AM59" s="68" t="s">
        <v>14534</v>
      </c>
      <c r="AN59" s="29"/>
      <c r="AO59" s="29" t="s">
        <v>13897</v>
      </c>
      <c r="AP59" s="57" t="s">
        <v>14818</v>
      </c>
      <c r="AQ59" s="29" t="s">
        <v>13923</v>
      </c>
      <c r="AR59" s="60">
        <v>37622.0</v>
      </c>
      <c r="AS59" s="29" t="s">
        <v>3668</v>
      </c>
      <c r="AT59" s="29" t="s">
        <v>99</v>
      </c>
      <c r="AU59" s="29"/>
    </row>
    <row r="60">
      <c r="A60" s="69">
        <v>2.0</v>
      </c>
      <c r="B60" s="10"/>
      <c r="C60" s="10"/>
      <c r="D60" s="9">
        <v>43303.57831172454</v>
      </c>
      <c r="E60" s="10" t="s">
        <v>2207</v>
      </c>
      <c r="F60" s="10" t="s">
        <v>14819</v>
      </c>
      <c r="G60" s="52" t="s">
        <v>14820</v>
      </c>
      <c r="H60" s="10" t="s">
        <v>13731</v>
      </c>
      <c r="I60" s="10" t="s">
        <v>14821</v>
      </c>
      <c r="J60" s="52" t="s">
        <v>14822</v>
      </c>
      <c r="K60" s="10" t="s">
        <v>14823</v>
      </c>
      <c r="L60" s="10" t="s">
        <v>152</v>
      </c>
      <c r="M60" s="10" t="s">
        <v>13731</v>
      </c>
      <c r="N60" s="10" t="s">
        <v>14824</v>
      </c>
      <c r="O60" s="10" t="s">
        <v>14824</v>
      </c>
      <c r="P60" s="10" t="s">
        <v>14825</v>
      </c>
      <c r="Q60" s="10" t="s">
        <v>7339</v>
      </c>
      <c r="R60" s="10" t="s">
        <v>727</v>
      </c>
      <c r="S60" s="11" t="s">
        <v>194</v>
      </c>
      <c r="T60" s="12">
        <v>10.0</v>
      </c>
      <c r="U60" s="52" t="s">
        <v>14826</v>
      </c>
      <c r="V60" s="12">
        <v>4.0</v>
      </c>
      <c r="W60" s="10" t="s">
        <v>9806</v>
      </c>
      <c r="Y60" s="10" t="s">
        <v>412</v>
      </c>
      <c r="Z60" s="73" t="s">
        <v>413</v>
      </c>
      <c r="AA60" s="10" t="s">
        <v>14827</v>
      </c>
      <c r="AB60" s="40" t="s">
        <v>162</v>
      </c>
      <c r="AC60" s="11" t="s">
        <v>415</v>
      </c>
      <c r="AD60" s="10" t="s">
        <v>14828</v>
      </c>
      <c r="AE60" s="10" t="s">
        <v>14829</v>
      </c>
      <c r="AF60" s="10" t="s">
        <v>14783</v>
      </c>
      <c r="AG60" s="10" t="s">
        <v>14830</v>
      </c>
      <c r="AH60" s="10" t="s">
        <v>14831</v>
      </c>
      <c r="AI60" s="10" t="s">
        <v>14832</v>
      </c>
      <c r="AJ60" s="10" t="s">
        <v>3668</v>
      </c>
      <c r="AK60" s="10" t="s">
        <v>179</v>
      </c>
      <c r="AL60" s="10" t="s">
        <v>179</v>
      </c>
      <c r="AM60" s="13" t="s">
        <v>14534</v>
      </c>
      <c r="AN60" s="10"/>
      <c r="AO60" s="10" t="s">
        <v>13897</v>
      </c>
      <c r="AP60" s="52" t="s">
        <v>14833</v>
      </c>
      <c r="AQ60" s="10" t="s">
        <v>13923</v>
      </c>
      <c r="AR60" s="55">
        <v>37622.0</v>
      </c>
      <c r="AS60" s="10" t="s">
        <v>3668</v>
      </c>
      <c r="AT60" s="10" t="s">
        <v>99</v>
      </c>
      <c r="AU60" s="10"/>
    </row>
    <row r="61">
      <c r="A61" s="51">
        <v>0.0</v>
      </c>
      <c r="B61" s="10"/>
      <c r="C61" s="10"/>
      <c r="D61" s="9">
        <v>43303.67226396991</v>
      </c>
      <c r="E61" s="10" t="s">
        <v>2207</v>
      </c>
      <c r="F61" s="10" t="s">
        <v>14834</v>
      </c>
      <c r="G61" s="52" t="s">
        <v>14835</v>
      </c>
      <c r="H61" s="10" t="s">
        <v>14836</v>
      </c>
      <c r="I61" s="10" t="s">
        <v>14837</v>
      </c>
      <c r="J61" s="10" t="s">
        <v>620</v>
      </c>
      <c r="K61" s="10" t="s">
        <v>14838</v>
      </c>
      <c r="L61" s="10" t="s">
        <v>152</v>
      </c>
      <c r="M61" s="10" t="s">
        <v>14839</v>
      </c>
      <c r="N61" s="10" t="s">
        <v>14840</v>
      </c>
      <c r="O61" s="10" t="s">
        <v>14840</v>
      </c>
      <c r="P61" s="10" t="s">
        <v>14841</v>
      </c>
      <c r="Q61" s="10" t="s">
        <v>7339</v>
      </c>
      <c r="R61" s="10" t="s">
        <v>727</v>
      </c>
      <c r="S61" s="11" t="s">
        <v>194</v>
      </c>
      <c r="T61" s="12">
        <v>9.0</v>
      </c>
      <c r="U61" s="52" t="s">
        <v>14842</v>
      </c>
      <c r="V61" s="12">
        <v>3.0</v>
      </c>
      <c r="W61" s="10" t="s">
        <v>14319</v>
      </c>
      <c r="Y61" s="10" t="s">
        <v>14843</v>
      </c>
      <c r="Z61" s="71" t="s">
        <v>1489</v>
      </c>
      <c r="AA61" s="10" t="s">
        <v>14844</v>
      </c>
      <c r="AB61" s="54" t="s">
        <v>13912</v>
      </c>
      <c r="AC61" s="59" t="s">
        <v>201</v>
      </c>
      <c r="AD61" s="10" t="s">
        <v>3300</v>
      </c>
      <c r="AE61" s="10" t="s">
        <v>14845</v>
      </c>
      <c r="AF61" s="10" t="s">
        <v>14130</v>
      </c>
      <c r="AG61" s="10" t="s">
        <v>14846</v>
      </c>
      <c r="AH61" s="10" t="s">
        <v>14847</v>
      </c>
      <c r="AI61" s="10" t="s">
        <v>14848</v>
      </c>
      <c r="AJ61" s="10" t="s">
        <v>179</v>
      </c>
      <c r="AK61" s="10" t="s">
        <v>179</v>
      </c>
      <c r="AL61" s="10" t="s">
        <v>179</v>
      </c>
      <c r="AM61" s="13" t="s">
        <v>14374</v>
      </c>
      <c r="AN61" s="10"/>
      <c r="AO61" s="10" t="s">
        <v>13897</v>
      </c>
      <c r="AP61" s="52" t="s">
        <v>14849</v>
      </c>
      <c r="AQ61" s="10" t="s">
        <v>13923</v>
      </c>
      <c r="AR61" s="55">
        <v>37622.0</v>
      </c>
      <c r="AS61" s="10" t="s">
        <v>3668</v>
      </c>
      <c r="AT61" s="10" t="s">
        <v>99</v>
      </c>
      <c r="AU61" s="10"/>
    </row>
    <row r="62">
      <c r="A62" s="51">
        <v>0.0</v>
      </c>
      <c r="B62" s="10"/>
      <c r="C62" s="10"/>
      <c r="D62" s="9">
        <v>43303.676049594906</v>
      </c>
      <c r="E62" s="10" t="s">
        <v>2207</v>
      </c>
      <c r="F62" s="10" t="s">
        <v>14850</v>
      </c>
      <c r="G62" s="52" t="s">
        <v>14851</v>
      </c>
      <c r="H62" s="10" t="s">
        <v>14852</v>
      </c>
      <c r="I62" s="10" t="s">
        <v>14853</v>
      </c>
      <c r="J62" s="10" t="s">
        <v>620</v>
      </c>
      <c r="K62" s="10" t="s">
        <v>14854</v>
      </c>
      <c r="L62" s="10" t="s">
        <v>152</v>
      </c>
      <c r="M62" s="10" t="s">
        <v>14855</v>
      </c>
      <c r="N62" s="10" t="s">
        <v>14856</v>
      </c>
      <c r="O62" s="10" t="s">
        <v>14856</v>
      </c>
      <c r="P62" s="10" t="s">
        <v>14857</v>
      </c>
      <c r="Q62" s="10" t="s">
        <v>14076</v>
      </c>
      <c r="R62" s="10" t="s">
        <v>14334</v>
      </c>
      <c r="S62" s="61" t="s">
        <v>1388</v>
      </c>
      <c r="T62" s="12">
        <v>11.0</v>
      </c>
      <c r="U62" s="52" t="s">
        <v>14858</v>
      </c>
      <c r="V62" s="12">
        <v>3.0</v>
      </c>
      <c r="W62" s="10" t="s">
        <v>9806</v>
      </c>
      <c r="Y62" s="10" t="s">
        <v>1093</v>
      </c>
      <c r="Z62" s="53" t="s">
        <v>387</v>
      </c>
      <c r="AA62" s="10"/>
      <c r="AB62" s="54" t="s">
        <v>13912</v>
      </c>
      <c r="AC62" s="70" t="s">
        <v>303</v>
      </c>
      <c r="AD62" s="10" t="s">
        <v>14859</v>
      </c>
      <c r="AE62" s="10" t="s">
        <v>14860</v>
      </c>
      <c r="AF62" s="10" t="s">
        <v>14861</v>
      </c>
      <c r="AG62" s="10" t="s">
        <v>14862</v>
      </c>
      <c r="AH62" s="10" t="s">
        <v>14863</v>
      </c>
      <c r="AI62" s="10" t="s">
        <v>14864</v>
      </c>
      <c r="AJ62" s="10" t="s">
        <v>179</v>
      </c>
      <c r="AK62" s="10" t="s">
        <v>179</v>
      </c>
      <c r="AL62" s="10" t="s">
        <v>179</v>
      </c>
      <c r="AM62" s="13" t="s">
        <v>14534</v>
      </c>
      <c r="AN62" s="10"/>
      <c r="AO62" s="10" t="s">
        <v>13897</v>
      </c>
      <c r="AP62" s="52" t="s">
        <v>14865</v>
      </c>
      <c r="AQ62" s="10" t="s">
        <v>13923</v>
      </c>
      <c r="AR62" s="55">
        <v>36892.0</v>
      </c>
      <c r="AS62" s="10" t="s">
        <v>3668</v>
      </c>
      <c r="AT62" s="10" t="s">
        <v>99</v>
      </c>
      <c r="AU62" s="10"/>
    </row>
    <row r="63">
      <c r="A63" s="51">
        <v>0.0</v>
      </c>
      <c r="B63" s="10"/>
      <c r="C63" s="10"/>
      <c r="D63" s="9">
        <v>43303.68409740741</v>
      </c>
      <c r="E63" s="10" t="s">
        <v>2207</v>
      </c>
      <c r="F63" s="10" t="s">
        <v>14866</v>
      </c>
      <c r="G63" s="52" t="s">
        <v>14867</v>
      </c>
      <c r="H63" s="10" t="s">
        <v>14868</v>
      </c>
      <c r="I63" s="10" t="s">
        <v>14869</v>
      </c>
      <c r="J63" s="10" t="s">
        <v>620</v>
      </c>
      <c r="K63" s="10" t="s">
        <v>14870</v>
      </c>
      <c r="L63" s="10" t="s">
        <v>189</v>
      </c>
      <c r="M63" s="10" t="s">
        <v>14871</v>
      </c>
      <c r="N63" s="10" t="s">
        <v>14872</v>
      </c>
      <c r="O63" s="10" t="s">
        <v>14872</v>
      </c>
      <c r="P63" s="10" t="s">
        <v>14869</v>
      </c>
      <c r="Q63" s="10" t="s">
        <v>14076</v>
      </c>
      <c r="R63" s="10" t="s">
        <v>14334</v>
      </c>
      <c r="S63" s="61" t="s">
        <v>1388</v>
      </c>
      <c r="T63" s="12">
        <v>11.0</v>
      </c>
      <c r="U63" s="52" t="s">
        <v>14873</v>
      </c>
      <c r="V63" s="12">
        <v>4.0</v>
      </c>
      <c r="W63" s="10" t="s">
        <v>9806</v>
      </c>
      <c r="Y63" s="10" t="s">
        <v>14634</v>
      </c>
      <c r="Z63" s="53" t="s">
        <v>387</v>
      </c>
      <c r="AA63" s="10" t="s">
        <v>14619</v>
      </c>
      <c r="AB63" s="54" t="s">
        <v>13912</v>
      </c>
      <c r="AC63" s="11" t="s">
        <v>166</v>
      </c>
      <c r="AD63" s="10" t="s">
        <v>14874</v>
      </c>
      <c r="AE63" s="10" t="s">
        <v>14875</v>
      </c>
      <c r="AF63" s="10" t="s">
        <v>14876</v>
      </c>
      <c r="AG63" s="10" t="s">
        <v>14877</v>
      </c>
      <c r="AH63" s="10" t="s">
        <v>14878</v>
      </c>
      <c r="AI63" s="10" t="s">
        <v>14879</v>
      </c>
      <c r="AJ63" s="10" t="s">
        <v>3668</v>
      </c>
      <c r="AK63" s="10" t="s">
        <v>3668</v>
      </c>
      <c r="AL63" s="10" t="s">
        <v>3668</v>
      </c>
      <c r="AM63" s="13" t="s">
        <v>14534</v>
      </c>
      <c r="AN63" s="10"/>
      <c r="AO63" s="10" t="s">
        <v>13897</v>
      </c>
      <c r="AP63" s="52" t="s">
        <v>14880</v>
      </c>
      <c r="AQ63" s="10" t="s">
        <v>13923</v>
      </c>
      <c r="AR63" s="55">
        <v>36892.0</v>
      </c>
      <c r="AS63" s="10" t="s">
        <v>3668</v>
      </c>
      <c r="AT63" s="10" t="s">
        <v>99</v>
      </c>
      <c r="AU63" s="10"/>
    </row>
    <row r="64">
      <c r="A64" s="51">
        <v>0.0</v>
      </c>
      <c r="B64" s="10"/>
      <c r="C64" s="10"/>
      <c r="D64" s="9">
        <v>43303.68872493056</v>
      </c>
      <c r="E64" s="10" t="s">
        <v>2207</v>
      </c>
      <c r="F64" s="10" t="s">
        <v>14881</v>
      </c>
      <c r="G64" s="52" t="s">
        <v>14882</v>
      </c>
      <c r="H64" s="10" t="s">
        <v>14883</v>
      </c>
      <c r="I64" s="10" t="s">
        <v>14884</v>
      </c>
      <c r="J64" s="10" t="s">
        <v>620</v>
      </c>
      <c r="K64" s="10" t="s">
        <v>14885</v>
      </c>
      <c r="L64" s="10" t="s">
        <v>152</v>
      </c>
      <c r="M64" s="10" t="s">
        <v>14883</v>
      </c>
      <c r="N64" s="10" t="s">
        <v>620</v>
      </c>
      <c r="O64" s="10" t="s">
        <v>620</v>
      </c>
      <c r="P64" s="10" t="s">
        <v>620</v>
      </c>
      <c r="Q64" s="10" t="s">
        <v>14886</v>
      </c>
      <c r="R64" s="10" t="s">
        <v>14334</v>
      </c>
      <c r="S64" s="61" t="s">
        <v>1388</v>
      </c>
      <c r="T64" s="12">
        <v>11.0</v>
      </c>
      <c r="U64" s="52" t="s">
        <v>14887</v>
      </c>
      <c r="V64" s="12">
        <v>3.0</v>
      </c>
      <c r="W64" s="10" t="s">
        <v>9806</v>
      </c>
      <c r="Y64" s="10" t="s">
        <v>14888</v>
      </c>
      <c r="Z64" s="65" t="s">
        <v>300</v>
      </c>
      <c r="AA64" s="10" t="s">
        <v>14889</v>
      </c>
      <c r="AB64" s="54" t="s">
        <v>13912</v>
      </c>
      <c r="AC64" s="66" t="s">
        <v>126</v>
      </c>
      <c r="AD64" s="10" t="s">
        <v>2004</v>
      </c>
      <c r="AE64" s="10" t="s">
        <v>14890</v>
      </c>
      <c r="AF64" s="10" t="s">
        <v>14891</v>
      </c>
      <c r="AG64" s="10" t="s">
        <v>14892</v>
      </c>
      <c r="AH64" s="10" t="s">
        <v>14893</v>
      </c>
      <c r="AI64" s="10" t="s">
        <v>14894</v>
      </c>
      <c r="AJ64" s="10" t="s">
        <v>179</v>
      </c>
      <c r="AK64" s="10" t="s">
        <v>179</v>
      </c>
      <c r="AL64" s="10" t="s">
        <v>179</v>
      </c>
      <c r="AM64" s="13" t="s">
        <v>14359</v>
      </c>
      <c r="AN64" s="10"/>
      <c r="AO64" s="10" t="s">
        <v>13897</v>
      </c>
      <c r="AP64" s="52" t="s">
        <v>14895</v>
      </c>
      <c r="AQ64" s="10" t="s">
        <v>13923</v>
      </c>
      <c r="AR64" s="55">
        <v>36892.0</v>
      </c>
      <c r="AS64" s="10" t="s">
        <v>3668</v>
      </c>
      <c r="AT64" s="10" t="s">
        <v>99</v>
      </c>
      <c r="AU64" s="10"/>
    </row>
    <row r="65">
      <c r="A65" s="51">
        <v>0.0</v>
      </c>
      <c r="B65" s="10"/>
      <c r="C65" s="10"/>
      <c r="D65" s="9">
        <v>43303.69430732639</v>
      </c>
      <c r="E65" s="10" t="s">
        <v>2207</v>
      </c>
      <c r="F65" s="10" t="s">
        <v>14896</v>
      </c>
      <c r="G65" s="52" t="s">
        <v>14897</v>
      </c>
      <c r="H65" s="10" t="s">
        <v>14898</v>
      </c>
      <c r="I65" s="10" t="s">
        <v>14899</v>
      </c>
      <c r="J65" s="10" t="s">
        <v>620</v>
      </c>
      <c r="K65" s="10" t="s">
        <v>14900</v>
      </c>
      <c r="L65" s="10" t="s">
        <v>189</v>
      </c>
      <c r="M65" s="10" t="s">
        <v>14898</v>
      </c>
      <c r="N65" s="10" t="s">
        <v>14901</v>
      </c>
      <c r="O65" s="10" t="s">
        <v>14901</v>
      </c>
      <c r="P65" s="10" t="s">
        <v>14902</v>
      </c>
      <c r="Q65" s="10" t="s">
        <v>14076</v>
      </c>
      <c r="R65" s="10" t="s">
        <v>14334</v>
      </c>
      <c r="S65" s="61" t="s">
        <v>1388</v>
      </c>
      <c r="T65" s="12">
        <v>11.0</v>
      </c>
      <c r="U65" s="52" t="s">
        <v>14903</v>
      </c>
      <c r="V65" s="12">
        <v>3.0</v>
      </c>
      <c r="W65" s="10" t="s">
        <v>9806</v>
      </c>
      <c r="Y65" s="10" t="s">
        <v>14336</v>
      </c>
      <c r="Z65" s="62" t="s">
        <v>541</v>
      </c>
      <c r="AA65" s="10" t="s">
        <v>621</v>
      </c>
      <c r="AB65" s="54" t="s">
        <v>13912</v>
      </c>
      <c r="AC65" s="11" t="s">
        <v>415</v>
      </c>
      <c r="AD65" s="10" t="s">
        <v>14904</v>
      </c>
      <c r="AE65" s="10" t="s">
        <v>14905</v>
      </c>
      <c r="AF65" s="10" t="s">
        <v>14906</v>
      </c>
      <c r="AG65" s="10" t="s">
        <v>14907</v>
      </c>
      <c r="AH65" s="10" t="s">
        <v>14908</v>
      </c>
      <c r="AI65" s="10" t="s">
        <v>14909</v>
      </c>
      <c r="AJ65" s="10" t="s">
        <v>179</v>
      </c>
      <c r="AK65" s="10" t="s">
        <v>179</v>
      </c>
      <c r="AL65" s="10" t="s">
        <v>179</v>
      </c>
      <c r="AM65" s="10" t="s">
        <v>628</v>
      </c>
      <c r="AN65" s="10"/>
      <c r="AO65" s="10" t="s">
        <v>13897</v>
      </c>
      <c r="AP65" s="52" t="s">
        <v>14910</v>
      </c>
      <c r="AQ65" s="10" t="s">
        <v>13923</v>
      </c>
      <c r="AR65" s="55">
        <v>36892.0</v>
      </c>
      <c r="AS65" s="10" t="s">
        <v>3668</v>
      </c>
      <c r="AT65" s="10" t="s">
        <v>99</v>
      </c>
      <c r="AU65" s="10"/>
    </row>
    <row r="66">
      <c r="A66" s="51">
        <v>1.0</v>
      </c>
      <c r="B66" s="10"/>
      <c r="C66" s="10"/>
      <c r="D66" s="9">
        <v>43303.69977607639</v>
      </c>
      <c r="E66" s="10" t="s">
        <v>2207</v>
      </c>
      <c r="F66" s="10" t="s">
        <v>14911</v>
      </c>
      <c r="G66" s="52" t="s">
        <v>14912</v>
      </c>
      <c r="H66" s="10" t="s">
        <v>14913</v>
      </c>
      <c r="I66" s="10" t="s">
        <v>14914</v>
      </c>
      <c r="J66" s="10" t="s">
        <v>14915</v>
      </c>
      <c r="K66" s="10" t="s">
        <v>14916</v>
      </c>
      <c r="L66" s="10" t="s">
        <v>152</v>
      </c>
      <c r="M66" s="10" t="s">
        <v>14917</v>
      </c>
      <c r="N66" s="10" t="s">
        <v>14918</v>
      </c>
      <c r="O66" s="10" t="s">
        <v>14918</v>
      </c>
      <c r="P66" s="10" t="s">
        <v>14919</v>
      </c>
      <c r="Q66" s="10" t="s">
        <v>7339</v>
      </c>
      <c r="R66" s="10" t="s">
        <v>727</v>
      </c>
      <c r="S66" s="11" t="s">
        <v>194</v>
      </c>
      <c r="T66" s="12">
        <v>11.0</v>
      </c>
      <c r="U66" s="52" t="s">
        <v>14920</v>
      </c>
      <c r="V66" s="12">
        <v>3.8</v>
      </c>
      <c r="W66" s="10" t="s">
        <v>9806</v>
      </c>
      <c r="Y66" s="10" t="s">
        <v>13052</v>
      </c>
      <c r="Z66" s="11" t="s">
        <v>636</v>
      </c>
      <c r="AA66" s="10" t="s">
        <v>14781</v>
      </c>
      <c r="AB66" s="54" t="s">
        <v>13912</v>
      </c>
      <c r="AC66" s="11" t="s">
        <v>415</v>
      </c>
      <c r="AD66" s="10" t="s">
        <v>14921</v>
      </c>
      <c r="AE66" s="10" t="s">
        <v>14922</v>
      </c>
      <c r="AF66" s="10" t="s">
        <v>14923</v>
      </c>
      <c r="AG66" s="10" t="s">
        <v>544</v>
      </c>
      <c r="AH66" s="10" t="s">
        <v>14924</v>
      </c>
      <c r="AI66" s="10" t="s">
        <v>14925</v>
      </c>
      <c r="AJ66" s="10" t="s">
        <v>3668</v>
      </c>
      <c r="AK66" s="10" t="s">
        <v>179</v>
      </c>
      <c r="AL66" s="10" t="s">
        <v>179</v>
      </c>
      <c r="AM66" s="13" t="s">
        <v>14359</v>
      </c>
      <c r="AN66" s="10"/>
      <c r="AO66" s="10" t="s">
        <v>13897</v>
      </c>
      <c r="AP66" s="52" t="s">
        <v>14926</v>
      </c>
      <c r="AQ66" s="10" t="s">
        <v>13923</v>
      </c>
      <c r="AR66" s="55">
        <v>36892.0</v>
      </c>
      <c r="AS66" s="10" t="s">
        <v>3668</v>
      </c>
      <c r="AT66" s="10" t="s">
        <v>99</v>
      </c>
      <c r="AU66" s="10"/>
    </row>
    <row r="67">
      <c r="A67" s="51">
        <v>0.0</v>
      </c>
      <c r="B67" s="10"/>
      <c r="C67" s="10"/>
      <c r="D67" s="9">
        <v>43303.7121240625</v>
      </c>
      <c r="E67" s="10" t="s">
        <v>2207</v>
      </c>
      <c r="F67" s="10" t="s">
        <v>14927</v>
      </c>
      <c r="G67" s="52" t="s">
        <v>14928</v>
      </c>
      <c r="H67" s="10" t="s">
        <v>14929</v>
      </c>
      <c r="I67" s="10" t="s">
        <v>14930</v>
      </c>
      <c r="J67" s="10" t="s">
        <v>620</v>
      </c>
      <c r="K67" s="10" t="s">
        <v>14931</v>
      </c>
      <c r="L67" s="10" t="s">
        <v>189</v>
      </c>
      <c r="M67" s="10" t="s">
        <v>14932</v>
      </c>
      <c r="N67" s="10" t="s">
        <v>14933</v>
      </c>
      <c r="O67" s="10" t="s">
        <v>14933</v>
      </c>
      <c r="P67" s="10" t="s">
        <v>14934</v>
      </c>
      <c r="Q67" s="10" t="s">
        <v>14076</v>
      </c>
      <c r="R67" s="10" t="s">
        <v>14334</v>
      </c>
      <c r="S67" s="61" t="s">
        <v>1388</v>
      </c>
      <c r="T67" s="12">
        <v>10.0</v>
      </c>
      <c r="U67" s="52" t="s">
        <v>14935</v>
      </c>
      <c r="V67" s="12">
        <v>3.0</v>
      </c>
      <c r="W67" s="10" t="s">
        <v>9806</v>
      </c>
      <c r="Y67" s="10" t="s">
        <v>13968</v>
      </c>
      <c r="Z67" s="53" t="s">
        <v>387</v>
      </c>
      <c r="AA67" s="10" t="s">
        <v>199</v>
      </c>
      <c r="AB67" s="54" t="s">
        <v>13912</v>
      </c>
      <c r="AC67" s="59" t="s">
        <v>201</v>
      </c>
      <c r="AD67" s="10" t="s">
        <v>14936</v>
      </c>
      <c r="AE67" s="10" t="s">
        <v>14937</v>
      </c>
      <c r="AF67" s="10" t="s">
        <v>14938</v>
      </c>
      <c r="AG67" s="10" t="s">
        <v>14939</v>
      </c>
      <c r="AH67" s="10" t="s">
        <v>14940</v>
      </c>
      <c r="AI67" s="10" t="s">
        <v>14941</v>
      </c>
      <c r="AJ67" s="10" t="s">
        <v>139</v>
      </c>
      <c r="AK67" s="10" t="s">
        <v>3668</v>
      </c>
      <c r="AL67" s="10" t="s">
        <v>179</v>
      </c>
      <c r="AM67" s="10" t="s">
        <v>628</v>
      </c>
      <c r="AN67" s="10"/>
      <c r="AO67" s="10" t="s">
        <v>13897</v>
      </c>
      <c r="AP67" s="52" t="s">
        <v>14942</v>
      </c>
      <c r="AQ67" s="10" t="s">
        <v>13923</v>
      </c>
      <c r="AR67" s="55">
        <v>37257.0</v>
      </c>
      <c r="AS67" s="10" t="s">
        <v>3668</v>
      </c>
      <c r="AT67" s="10" t="s">
        <v>99</v>
      </c>
      <c r="AU67" s="10"/>
    </row>
    <row r="68">
      <c r="A68" s="51">
        <v>0.0</v>
      </c>
      <c r="B68" s="10"/>
      <c r="C68" s="10"/>
      <c r="D68" s="9">
        <v>43303.71582810185</v>
      </c>
      <c r="E68" s="10" t="s">
        <v>2207</v>
      </c>
      <c r="F68" s="10" t="s">
        <v>14943</v>
      </c>
      <c r="G68" s="52" t="s">
        <v>14944</v>
      </c>
      <c r="H68" s="10" t="s">
        <v>14945</v>
      </c>
      <c r="I68" s="10" t="s">
        <v>14946</v>
      </c>
      <c r="J68" s="10" t="s">
        <v>14947</v>
      </c>
      <c r="K68" s="10" t="s">
        <v>14948</v>
      </c>
      <c r="L68" s="10" t="s">
        <v>152</v>
      </c>
      <c r="M68" s="10" t="s">
        <v>14945</v>
      </c>
      <c r="N68" s="10" t="s">
        <v>14949</v>
      </c>
      <c r="O68" s="10" t="s">
        <v>14949</v>
      </c>
      <c r="P68" s="10" t="s">
        <v>14946</v>
      </c>
      <c r="Q68" s="10" t="s">
        <v>13931</v>
      </c>
      <c r="R68" s="10" t="s">
        <v>14950</v>
      </c>
      <c r="S68" s="62" t="s">
        <v>1412</v>
      </c>
      <c r="T68" s="12">
        <v>10.0</v>
      </c>
      <c r="U68" s="52" t="s">
        <v>14951</v>
      </c>
      <c r="V68" s="12">
        <v>3.0</v>
      </c>
      <c r="W68" s="10" t="s">
        <v>9806</v>
      </c>
      <c r="Y68" s="10" t="s">
        <v>2983</v>
      </c>
      <c r="Z68" s="53" t="s">
        <v>387</v>
      </c>
      <c r="AA68" s="10" t="s">
        <v>14952</v>
      </c>
      <c r="AB68" s="40" t="s">
        <v>162</v>
      </c>
      <c r="AC68" s="11" t="s">
        <v>415</v>
      </c>
      <c r="AD68" s="10" t="s">
        <v>14953</v>
      </c>
      <c r="AE68" s="10" t="s">
        <v>14954</v>
      </c>
      <c r="AF68" s="10" t="s">
        <v>14955</v>
      </c>
      <c r="AG68" s="10" t="s">
        <v>14956</v>
      </c>
      <c r="AH68" s="10" t="s">
        <v>14957</v>
      </c>
      <c r="AI68" s="10" t="s">
        <v>14958</v>
      </c>
      <c r="AJ68" s="10" t="s">
        <v>179</v>
      </c>
      <c r="AK68" s="10" t="s">
        <v>179</v>
      </c>
      <c r="AL68" s="10" t="s">
        <v>179</v>
      </c>
      <c r="AM68" s="10" t="s">
        <v>628</v>
      </c>
      <c r="AN68" s="10"/>
      <c r="AO68" s="10" t="s">
        <v>13897</v>
      </c>
      <c r="AP68" s="52" t="s">
        <v>14959</v>
      </c>
      <c r="AQ68" s="10" t="s">
        <v>13923</v>
      </c>
      <c r="AR68" s="55">
        <v>37257.0</v>
      </c>
      <c r="AS68" s="10" t="s">
        <v>3668</v>
      </c>
      <c r="AT68" s="10" t="s">
        <v>99</v>
      </c>
      <c r="AU68" s="10"/>
    </row>
    <row r="69">
      <c r="A69" s="69">
        <v>2.0</v>
      </c>
      <c r="B69" s="10"/>
      <c r="C69" s="10"/>
      <c r="D69" s="9">
        <v>43303.72307721065</v>
      </c>
      <c r="E69" s="10" t="s">
        <v>2207</v>
      </c>
      <c r="F69" s="10" t="s">
        <v>14960</v>
      </c>
      <c r="G69" s="52" t="s">
        <v>14961</v>
      </c>
      <c r="H69" s="10" t="s">
        <v>14962</v>
      </c>
      <c r="I69" s="10" t="s">
        <v>14963</v>
      </c>
      <c r="J69" s="10" t="s">
        <v>14964</v>
      </c>
      <c r="K69" s="10" t="s">
        <v>14965</v>
      </c>
      <c r="L69" s="10" t="s">
        <v>152</v>
      </c>
      <c r="M69" s="10" t="s">
        <v>14966</v>
      </c>
      <c r="N69" s="10" t="s">
        <v>14967</v>
      </c>
      <c r="O69" s="10" t="s">
        <v>14967</v>
      </c>
      <c r="P69" s="10" t="s">
        <v>14968</v>
      </c>
      <c r="Q69" s="10" t="s">
        <v>13931</v>
      </c>
      <c r="R69" s="10" t="s">
        <v>13932</v>
      </c>
      <c r="S69" s="62" t="s">
        <v>1412</v>
      </c>
      <c r="T69" s="12">
        <v>9.0</v>
      </c>
      <c r="U69" s="52" t="s">
        <v>14969</v>
      </c>
      <c r="V69" s="12">
        <v>3.0</v>
      </c>
      <c r="W69" s="10" t="s">
        <v>9806</v>
      </c>
      <c r="Y69" s="10" t="s">
        <v>2541</v>
      </c>
      <c r="Z69" s="11" t="s">
        <v>636</v>
      </c>
      <c r="AA69" s="10" t="s">
        <v>14970</v>
      </c>
      <c r="AB69" s="40" t="s">
        <v>162</v>
      </c>
      <c r="AC69" s="11" t="s">
        <v>166</v>
      </c>
      <c r="AD69" s="10" t="s">
        <v>638</v>
      </c>
      <c r="AE69" s="10" t="s">
        <v>14971</v>
      </c>
      <c r="AF69" s="10" t="s">
        <v>14972</v>
      </c>
      <c r="AG69" s="10" t="s">
        <v>14973</v>
      </c>
      <c r="AH69" s="10" t="s">
        <v>14974</v>
      </c>
      <c r="AI69" s="10" t="s">
        <v>14975</v>
      </c>
      <c r="AJ69" s="10" t="s">
        <v>139</v>
      </c>
      <c r="AK69" s="10" t="s">
        <v>179</v>
      </c>
      <c r="AL69" s="10" t="s">
        <v>179</v>
      </c>
      <c r="AM69" s="10" t="s">
        <v>14534</v>
      </c>
      <c r="AN69" s="10" t="s">
        <v>14976</v>
      </c>
      <c r="AO69" s="10" t="s">
        <v>13897</v>
      </c>
      <c r="AP69" s="52" t="s">
        <v>14977</v>
      </c>
      <c r="AQ69" s="10" t="s">
        <v>13923</v>
      </c>
      <c r="AR69" s="55">
        <v>37622.0</v>
      </c>
      <c r="AS69" s="10" t="s">
        <v>3668</v>
      </c>
      <c r="AT69" s="10" t="s">
        <v>99</v>
      </c>
      <c r="AU69" s="10"/>
    </row>
    <row r="70">
      <c r="A70" s="51">
        <v>0.0</v>
      </c>
      <c r="B70" s="10"/>
      <c r="C70" s="10"/>
      <c r="D70" s="9">
        <v>43303.821821516205</v>
      </c>
      <c r="E70" s="10" t="s">
        <v>2207</v>
      </c>
      <c r="F70" s="10" t="s">
        <v>14978</v>
      </c>
      <c r="G70" s="52" t="s">
        <v>14979</v>
      </c>
      <c r="H70" s="10" t="s">
        <v>14980</v>
      </c>
      <c r="I70" s="12">
        <v>9.732733504E9</v>
      </c>
      <c r="J70" s="10" t="s">
        <v>620</v>
      </c>
      <c r="K70" s="10" t="s">
        <v>14981</v>
      </c>
      <c r="L70" s="10" t="s">
        <v>189</v>
      </c>
      <c r="M70" s="10" t="s">
        <v>14980</v>
      </c>
      <c r="N70" s="10" t="s">
        <v>14982</v>
      </c>
      <c r="O70" s="10" t="s">
        <v>14982</v>
      </c>
      <c r="P70" s="10" t="s">
        <v>14983</v>
      </c>
      <c r="Q70" s="10" t="s">
        <v>14076</v>
      </c>
      <c r="R70" s="10" t="s">
        <v>14334</v>
      </c>
      <c r="S70" s="61" t="s">
        <v>1388</v>
      </c>
      <c r="T70" s="12">
        <v>11.0</v>
      </c>
      <c r="U70" s="52" t="s">
        <v>14984</v>
      </c>
      <c r="V70" s="12">
        <v>3.96</v>
      </c>
      <c r="W70" s="10" t="s">
        <v>9806</v>
      </c>
      <c r="Y70" s="10" t="s">
        <v>1093</v>
      </c>
      <c r="Z70" s="53" t="s">
        <v>387</v>
      </c>
      <c r="AA70" s="10" t="s">
        <v>199</v>
      </c>
      <c r="AB70" s="54" t="s">
        <v>13912</v>
      </c>
      <c r="AC70" s="66" t="s">
        <v>126</v>
      </c>
      <c r="AD70" s="10" t="s">
        <v>14079</v>
      </c>
      <c r="AE70" s="10" t="s">
        <v>14985</v>
      </c>
      <c r="AF70" s="10" t="s">
        <v>14986</v>
      </c>
      <c r="AG70" s="10" t="s">
        <v>14987</v>
      </c>
      <c r="AH70" s="10" t="s">
        <v>14988</v>
      </c>
      <c r="AI70" s="10" t="s">
        <v>14989</v>
      </c>
      <c r="AJ70" s="10" t="s">
        <v>139</v>
      </c>
      <c r="AK70" s="10" t="s">
        <v>179</v>
      </c>
      <c r="AL70" s="10" t="s">
        <v>179</v>
      </c>
      <c r="AM70" s="13" t="s">
        <v>14534</v>
      </c>
      <c r="AN70" s="10"/>
      <c r="AO70" s="10" t="s">
        <v>13897</v>
      </c>
      <c r="AP70" s="52" t="s">
        <v>14990</v>
      </c>
      <c r="AQ70" s="10" t="s">
        <v>13923</v>
      </c>
      <c r="AR70" s="55">
        <v>37257.0</v>
      </c>
      <c r="AS70" s="10" t="s">
        <v>3668</v>
      </c>
      <c r="AT70" s="10" t="s">
        <v>99</v>
      </c>
      <c r="AU70" s="10"/>
    </row>
    <row r="71">
      <c r="A71" s="69">
        <v>2.0</v>
      </c>
      <c r="B71" s="10"/>
      <c r="C71" s="10"/>
      <c r="D71" s="9">
        <v>43303.827304907405</v>
      </c>
      <c r="E71" s="10" t="s">
        <v>2207</v>
      </c>
      <c r="F71" s="10" t="s">
        <v>14991</v>
      </c>
      <c r="G71" s="52" t="s">
        <v>14992</v>
      </c>
      <c r="H71" s="10" t="s">
        <v>13764</v>
      </c>
      <c r="I71" s="10" t="s">
        <v>14993</v>
      </c>
      <c r="J71" s="10" t="s">
        <v>620</v>
      </c>
      <c r="K71" s="10" t="s">
        <v>14994</v>
      </c>
      <c r="L71" s="10" t="s">
        <v>189</v>
      </c>
      <c r="M71" s="10" t="s">
        <v>13764</v>
      </c>
      <c r="N71" s="10" t="s">
        <v>14995</v>
      </c>
      <c r="O71" s="10" t="s">
        <v>14995</v>
      </c>
      <c r="P71" s="10" t="s">
        <v>14996</v>
      </c>
      <c r="Q71" s="10" t="s">
        <v>13931</v>
      </c>
      <c r="R71" s="10" t="s">
        <v>13932</v>
      </c>
      <c r="S71" s="62" t="s">
        <v>1412</v>
      </c>
      <c r="T71" s="12">
        <v>9.0</v>
      </c>
      <c r="U71" s="52" t="s">
        <v>14997</v>
      </c>
      <c r="V71" s="12">
        <v>3.0</v>
      </c>
      <c r="W71" s="10" t="s">
        <v>9806</v>
      </c>
      <c r="Y71" s="10" t="s">
        <v>4374</v>
      </c>
      <c r="Z71" s="62" t="s">
        <v>541</v>
      </c>
      <c r="AA71" s="10" t="s">
        <v>14064</v>
      </c>
      <c r="AB71" s="54" t="s">
        <v>13912</v>
      </c>
      <c r="AC71" s="66" t="s">
        <v>126</v>
      </c>
      <c r="AD71" s="10" t="s">
        <v>12963</v>
      </c>
      <c r="AE71" s="10" t="s">
        <v>14998</v>
      </c>
      <c r="AF71" s="10" t="s">
        <v>14999</v>
      </c>
      <c r="AG71" s="10" t="s">
        <v>15000</v>
      </c>
      <c r="AH71" s="10" t="s">
        <v>15001</v>
      </c>
      <c r="AI71" s="10" t="s">
        <v>15002</v>
      </c>
      <c r="AJ71" s="10" t="s">
        <v>139</v>
      </c>
      <c r="AK71" s="10" t="s">
        <v>179</v>
      </c>
      <c r="AL71" s="10" t="s">
        <v>179</v>
      </c>
      <c r="AM71" s="10" t="s">
        <v>14534</v>
      </c>
      <c r="AN71" s="10" t="s">
        <v>15003</v>
      </c>
      <c r="AO71" s="10" t="s">
        <v>13897</v>
      </c>
      <c r="AP71" s="52" t="s">
        <v>15004</v>
      </c>
      <c r="AQ71" s="10" t="s">
        <v>13923</v>
      </c>
      <c r="AR71" s="55">
        <v>37622.0</v>
      </c>
      <c r="AS71" s="10" t="s">
        <v>3668</v>
      </c>
      <c r="AT71" s="10" t="s">
        <v>99</v>
      </c>
      <c r="AU71" s="10"/>
    </row>
  </sheetData>
  <hyperlinks>
    <hyperlink r:id="rId1" ref="G3"/>
    <hyperlink r:id="rId2" ref="U3"/>
    <hyperlink r:id="rId3" ref="G4"/>
    <hyperlink r:id="rId4" ref="U4"/>
    <hyperlink r:id="rId5" ref="AP4"/>
    <hyperlink r:id="rId6" ref="G5"/>
    <hyperlink r:id="rId7" ref="U5"/>
    <hyperlink r:id="rId8" ref="AP5"/>
    <hyperlink r:id="rId9" ref="G6"/>
    <hyperlink r:id="rId10" ref="U6"/>
    <hyperlink r:id="rId11" ref="AP6"/>
    <hyperlink r:id="rId12" ref="G7"/>
    <hyperlink r:id="rId13" ref="U7"/>
    <hyperlink r:id="rId14" ref="AP7"/>
    <hyperlink r:id="rId15" ref="G8"/>
    <hyperlink r:id="rId16" ref="U8"/>
    <hyperlink r:id="rId17" ref="AP8"/>
    <hyperlink r:id="rId18" ref="G9"/>
    <hyperlink r:id="rId19" ref="U9"/>
    <hyperlink r:id="rId20" ref="AP9"/>
    <hyperlink r:id="rId21" ref="G10"/>
    <hyperlink r:id="rId22" ref="U10"/>
    <hyperlink r:id="rId23" ref="AP10"/>
    <hyperlink r:id="rId24" ref="G11"/>
    <hyperlink r:id="rId25" ref="U11"/>
    <hyperlink r:id="rId26" ref="AP11"/>
    <hyperlink r:id="rId27" ref="G12"/>
    <hyperlink r:id="rId28" ref="U12"/>
    <hyperlink r:id="rId29" ref="AP12"/>
    <hyperlink r:id="rId30" ref="G13"/>
    <hyperlink r:id="rId31" ref="U13"/>
    <hyperlink r:id="rId32" ref="AP13"/>
    <hyperlink r:id="rId33" ref="G14"/>
    <hyperlink r:id="rId34" ref="U14"/>
    <hyperlink r:id="rId35" ref="AP14"/>
    <hyperlink r:id="rId36" ref="G15"/>
    <hyperlink r:id="rId37" ref="U15"/>
    <hyperlink r:id="rId38" ref="AP15"/>
    <hyperlink r:id="rId39" ref="G16"/>
    <hyperlink r:id="rId40" ref="U16"/>
    <hyperlink r:id="rId41" ref="AP16"/>
    <hyperlink r:id="rId42" ref="G17"/>
    <hyperlink r:id="rId43" ref="U17"/>
    <hyperlink r:id="rId44" ref="AP17"/>
    <hyperlink r:id="rId45" ref="G18"/>
    <hyperlink r:id="rId46" ref="U18"/>
    <hyperlink r:id="rId47" ref="AP18"/>
    <hyperlink r:id="rId48" ref="G19"/>
    <hyperlink r:id="rId49" ref="U19"/>
    <hyperlink r:id="rId50" ref="AP19"/>
    <hyperlink r:id="rId51" ref="G20"/>
    <hyperlink r:id="rId52" ref="U20"/>
    <hyperlink r:id="rId53" ref="AP20"/>
    <hyperlink r:id="rId54" ref="G21"/>
    <hyperlink r:id="rId55" ref="U21"/>
    <hyperlink r:id="rId56" ref="AP21"/>
    <hyperlink r:id="rId57" ref="G22"/>
    <hyperlink r:id="rId58" ref="U22"/>
    <hyperlink r:id="rId59" ref="AP22"/>
    <hyperlink r:id="rId60" ref="G23"/>
    <hyperlink r:id="rId61" ref="U23"/>
    <hyperlink r:id="rId62" ref="AP23"/>
    <hyperlink r:id="rId63" ref="G24"/>
    <hyperlink r:id="rId64" ref="U24"/>
    <hyperlink r:id="rId65" ref="AP24"/>
    <hyperlink r:id="rId66" ref="G25"/>
    <hyperlink r:id="rId67" ref="U25"/>
    <hyperlink r:id="rId68" ref="AP25"/>
    <hyperlink r:id="rId69" ref="G26"/>
    <hyperlink r:id="rId70" ref="U26"/>
    <hyperlink r:id="rId71" ref="AP26"/>
    <hyperlink r:id="rId72" ref="G27"/>
    <hyperlink r:id="rId73" ref="U27"/>
    <hyperlink r:id="rId74" ref="AP27"/>
    <hyperlink r:id="rId75" ref="G28"/>
    <hyperlink r:id="rId76" ref="U28"/>
    <hyperlink r:id="rId77" ref="AP28"/>
    <hyperlink r:id="rId78" ref="G29"/>
    <hyperlink r:id="rId79" ref="U29"/>
    <hyperlink r:id="rId80" ref="AP29"/>
    <hyperlink r:id="rId81" ref="G30"/>
    <hyperlink r:id="rId82" ref="U30"/>
    <hyperlink r:id="rId83" ref="AP30"/>
    <hyperlink r:id="rId84" ref="G31"/>
    <hyperlink r:id="rId85" ref="U31"/>
    <hyperlink r:id="rId86" ref="AP31"/>
    <hyperlink r:id="rId87" ref="G32"/>
    <hyperlink r:id="rId88" ref="U32"/>
    <hyperlink r:id="rId89" ref="AP32"/>
    <hyperlink r:id="rId90" ref="G33"/>
    <hyperlink r:id="rId91" ref="U33"/>
    <hyperlink r:id="rId92" ref="AP33"/>
    <hyperlink r:id="rId93" ref="G34"/>
    <hyperlink r:id="rId94" ref="U34"/>
    <hyperlink r:id="rId95" ref="AP34"/>
    <hyperlink r:id="rId96" ref="G35"/>
    <hyperlink r:id="rId97" ref="U35"/>
    <hyperlink r:id="rId98" ref="AP35"/>
    <hyperlink r:id="rId99" ref="G36"/>
    <hyperlink r:id="rId100" ref="U36"/>
    <hyperlink r:id="rId101" ref="AP36"/>
    <hyperlink r:id="rId102" ref="G37"/>
    <hyperlink r:id="rId103" ref="U37"/>
    <hyperlink r:id="rId104" ref="AP37"/>
    <hyperlink r:id="rId105" ref="G38"/>
    <hyperlink r:id="rId106" ref="U38"/>
    <hyperlink r:id="rId107" ref="AP38"/>
    <hyperlink r:id="rId108" ref="G39"/>
    <hyperlink r:id="rId109" ref="U39"/>
    <hyperlink r:id="rId110" ref="AP39"/>
    <hyperlink r:id="rId111" ref="G40"/>
    <hyperlink r:id="rId112" ref="U40"/>
    <hyperlink r:id="rId113" ref="AP40"/>
    <hyperlink r:id="rId114" ref="G41"/>
    <hyperlink r:id="rId115" ref="U41"/>
    <hyperlink r:id="rId116" ref="AP41"/>
    <hyperlink r:id="rId117" ref="G42"/>
    <hyperlink r:id="rId118" ref="U42"/>
    <hyperlink r:id="rId119" ref="AP42"/>
    <hyperlink r:id="rId120" ref="G43"/>
    <hyperlink r:id="rId121" ref="U43"/>
    <hyperlink r:id="rId122" ref="AP43"/>
    <hyperlink r:id="rId123" ref="G44"/>
    <hyperlink r:id="rId124" ref="U44"/>
    <hyperlink r:id="rId125" ref="AP44"/>
    <hyperlink r:id="rId126" ref="G45"/>
    <hyperlink r:id="rId127" ref="U45"/>
    <hyperlink r:id="rId128" ref="AP45"/>
    <hyperlink r:id="rId129" ref="G46"/>
    <hyperlink r:id="rId130" ref="U46"/>
    <hyperlink r:id="rId131" ref="AP46"/>
    <hyperlink r:id="rId132" ref="G47"/>
    <hyperlink r:id="rId133" ref="U47"/>
    <hyperlink r:id="rId134" ref="AP47"/>
    <hyperlink r:id="rId135" ref="G48"/>
    <hyperlink r:id="rId136" ref="U48"/>
    <hyperlink r:id="rId137" ref="AP48"/>
    <hyperlink r:id="rId138" ref="G49"/>
    <hyperlink r:id="rId139" ref="U49"/>
    <hyperlink r:id="rId140" ref="AP49"/>
    <hyperlink r:id="rId141" ref="G50"/>
    <hyperlink r:id="rId142" ref="U50"/>
    <hyperlink r:id="rId143" ref="AP50"/>
    <hyperlink r:id="rId144" ref="G51"/>
    <hyperlink r:id="rId145" ref="U51"/>
    <hyperlink r:id="rId146" ref="AP51"/>
    <hyperlink r:id="rId147" ref="G52"/>
    <hyperlink r:id="rId148" ref="U52"/>
    <hyperlink r:id="rId149" ref="AP52"/>
    <hyperlink r:id="rId150" ref="G53"/>
    <hyperlink r:id="rId151" ref="U53"/>
    <hyperlink r:id="rId152" ref="AP53"/>
    <hyperlink r:id="rId153" ref="G54"/>
    <hyperlink r:id="rId154" ref="U54"/>
    <hyperlink r:id="rId155" ref="AP54"/>
    <hyperlink r:id="rId156" ref="G55"/>
    <hyperlink r:id="rId157" ref="U55"/>
    <hyperlink r:id="rId158" ref="AP55"/>
    <hyperlink r:id="rId159" ref="G56"/>
    <hyperlink r:id="rId160" ref="U56"/>
    <hyperlink r:id="rId161" ref="AP56"/>
    <hyperlink r:id="rId162" ref="G57"/>
    <hyperlink r:id="rId163" ref="U57"/>
    <hyperlink r:id="rId164" ref="AP57"/>
    <hyperlink r:id="rId165" ref="G58"/>
    <hyperlink r:id="rId166" ref="U58"/>
    <hyperlink r:id="rId167" ref="AP58"/>
    <hyperlink r:id="rId168" ref="G59"/>
    <hyperlink r:id="rId169" ref="U59"/>
    <hyperlink r:id="rId170" ref="AP59"/>
    <hyperlink r:id="rId171" ref="G60"/>
    <hyperlink r:id="rId172" ref="J60"/>
    <hyperlink r:id="rId173" ref="U60"/>
    <hyperlink r:id="rId174" ref="AP60"/>
    <hyperlink r:id="rId175" ref="G61"/>
    <hyperlink r:id="rId176" ref="U61"/>
    <hyperlink r:id="rId177" ref="AP61"/>
    <hyperlink r:id="rId178" ref="G62"/>
    <hyperlink r:id="rId179" ref="U62"/>
    <hyperlink r:id="rId180" ref="AP62"/>
    <hyperlink r:id="rId181" ref="G63"/>
    <hyperlink r:id="rId182" ref="U63"/>
    <hyperlink r:id="rId183" ref="AP63"/>
    <hyperlink r:id="rId184" ref="G64"/>
    <hyperlink r:id="rId185" ref="U64"/>
    <hyperlink r:id="rId186" ref="AP64"/>
    <hyperlink r:id="rId187" ref="G65"/>
    <hyperlink r:id="rId188" ref="U65"/>
    <hyperlink r:id="rId189" ref="AP65"/>
    <hyperlink r:id="rId190" ref="G66"/>
    <hyperlink r:id="rId191" ref="U66"/>
    <hyperlink r:id="rId192" ref="AP66"/>
    <hyperlink r:id="rId193" ref="G67"/>
    <hyperlink r:id="rId194" ref="U67"/>
    <hyperlink r:id="rId195" ref="AP67"/>
    <hyperlink r:id="rId196" ref="G68"/>
    <hyperlink r:id="rId197" ref="U68"/>
    <hyperlink r:id="rId198" ref="AP68"/>
    <hyperlink r:id="rId199" ref="G69"/>
    <hyperlink r:id="rId200" ref="U69"/>
    <hyperlink r:id="rId201" ref="AP69"/>
    <hyperlink r:id="rId202" ref="G70"/>
    <hyperlink r:id="rId203" ref="U70"/>
    <hyperlink r:id="rId204" ref="AP70"/>
    <hyperlink r:id="rId205" ref="G71"/>
    <hyperlink r:id="rId206" ref="U71"/>
    <hyperlink r:id="rId207" ref="AP71"/>
  </hyperlinks>
  <drawing r:id="rId2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c r="B1" s="74" t="s">
        <v>13087</v>
      </c>
      <c r="C1" s="74" t="s">
        <v>13088</v>
      </c>
      <c r="D1" s="74" t="s">
        <v>15005</v>
      </c>
      <c r="E1" s="74" t="s">
        <v>15006</v>
      </c>
      <c r="F1" s="74" t="s">
        <v>15007</v>
      </c>
      <c r="G1" s="74" t="s">
        <v>15008</v>
      </c>
      <c r="H1" s="74" t="s">
        <v>15009</v>
      </c>
      <c r="I1" s="74" t="s">
        <v>15010</v>
      </c>
      <c r="J1" s="74" t="s">
        <v>15011</v>
      </c>
      <c r="K1" s="74" t="s">
        <v>15012</v>
      </c>
      <c r="L1" s="74" t="s">
        <v>15013</v>
      </c>
      <c r="M1" s="74" t="s">
        <v>15014</v>
      </c>
      <c r="N1" s="74" t="s">
        <v>15015</v>
      </c>
      <c r="O1" s="74" t="s">
        <v>15016</v>
      </c>
      <c r="P1" s="74" t="s">
        <v>15017</v>
      </c>
      <c r="Q1" s="17" t="s">
        <v>15018</v>
      </c>
      <c r="R1" s="74" t="s">
        <v>15019</v>
      </c>
      <c r="S1" s="74" t="s">
        <v>15020</v>
      </c>
      <c r="T1" s="74" t="s">
        <v>15021</v>
      </c>
      <c r="U1" s="74" t="s">
        <v>15022</v>
      </c>
      <c r="V1" s="74" t="s">
        <v>15023</v>
      </c>
      <c r="W1" s="74" t="s">
        <v>15024</v>
      </c>
      <c r="X1" s="74" t="s">
        <v>15025</v>
      </c>
      <c r="Y1" s="74" t="s">
        <v>15026</v>
      </c>
      <c r="Z1" s="74" t="s">
        <v>15027</v>
      </c>
      <c r="AA1" s="74" t="s">
        <v>15028</v>
      </c>
      <c r="AB1" s="74" t="s">
        <v>15029</v>
      </c>
      <c r="AC1" s="74" t="s">
        <v>15030</v>
      </c>
      <c r="AD1" s="74" t="s">
        <v>15031</v>
      </c>
      <c r="AE1" s="74" t="s">
        <v>15032</v>
      </c>
      <c r="AF1" s="74" t="s">
        <v>15033</v>
      </c>
      <c r="AG1" s="74" t="s">
        <v>15034</v>
      </c>
      <c r="AH1" s="74" t="s">
        <v>15035</v>
      </c>
      <c r="AI1" s="74" t="s">
        <v>15036</v>
      </c>
      <c r="AJ1" s="74" t="s">
        <v>15037</v>
      </c>
      <c r="AK1" s="74" t="s">
        <v>15038</v>
      </c>
      <c r="AL1" s="17" t="s">
        <v>15039</v>
      </c>
      <c r="AM1" s="74" t="s">
        <v>15040</v>
      </c>
      <c r="AN1" s="74" t="s">
        <v>15041</v>
      </c>
      <c r="AO1" s="74" t="s">
        <v>15042</v>
      </c>
      <c r="AP1" s="17" t="s">
        <v>15043</v>
      </c>
      <c r="AQ1" s="74" t="s">
        <v>15044</v>
      </c>
      <c r="AR1" s="17" t="s">
        <v>15045</v>
      </c>
      <c r="AS1" s="74" t="s">
        <v>15046</v>
      </c>
      <c r="AT1" s="74" t="s">
        <v>15047</v>
      </c>
      <c r="AU1" s="74" t="s">
        <v>15048</v>
      </c>
      <c r="AV1" s="74" t="s">
        <v>15049</v>
      </c>
      <c r="AW1" s="74" t="s">
        <v>15050</v>
      </c>
      <c r="AX1" s="74" t="s">
        <v>15051</v>
      </c>
      <c r="AY1" s="74" t="s">
        <v>15052</v>
      </c>
      <c r="AZ1" s="17" t="s">
        <v>15053</v>
      </c>
      <c r="BA1" s="74" t="s">
        <v>15054</v>
      </c>
      <c r="BB1" s="74" t="s">
        <v>15055</v>
      </c>
      <c r="BC1" s="74" t="s">
        <v>15056</v>
      </c>
      <c r="BD1" s="74" t="s">
        <v>15057</v>
      </c>
      <c r="BE1" s="74" t="s">
        <v>15058</v>
      </c>
      <c r="BF1" s="74" t="s">
        <v>15059</v>
      </c>
      <c r="BG1" s="74" t="s">
        <v>15060</v>
      </c>
      <c r="BH1" s="74" t="s">
        <v>15061</v>
      </c>
      <c r="BI1" s="74" t="s">
        <v>15062</v>
      </c>
      <c r="BJ1" s="17" t="s">
        <v>15063</v>
      </c>
      <c r="BK1" s="74" t="s">
        <v>15064</v>
      </c>
      <c r="BL1" s="74" t="s">
        <v>15065</v>
      </c>
      <c r="BM1" s="74" t="s">
        <v>15066</v>
      </c>
      <c r="BN1" s="74" t="s">
        <v>15067</v>
      </c>
      <c r="BO1" s="74" t="s">
        <v>15068</v>
      </c>
      <c r="BP1" s="17" t="s">
        <v>15069</v>
      </c>
      <c r="BQ1" s="17" t="s">
        <v>15070</v>
      </c>
      <c r="BR1" s="17" t="s">
        <v>15071</v>
      </c>
      <c r="BS1" s="75" t="s">
        <v>15072</v>
      </c>
      <c r="BT1" s="74"/>
      <c r="BU1" s="74"/>
      <c r="BV1" s="74"/>
      <c r="BW1" s="74"/>
      <c r="BX1" s="74"/>
      <c r="BY1" s="74"/>
    </row>
    <row r="2">
      <c r="A2" s="10" t="s">
        <v>15073</v>
      </c>
      <c r="B2" s="9">
        <v>43304.71360546297</v>
      </c>
      <c r="C2" s="10" t="s">
        <v>13330</v>
      </c>
      <c r="D2" s="31" t="b">
        <v>1</v>
      </c>
      <c r="E2" s="12">
        <v>9.0</v>
      </c>
      <c r="F2" s="10" t="s">
        <v>3668</v>
      </c>
      <c r="G2" s="10" t="s">
        <v>3668</v>
      </c>
      <c r="H2" s="10" t="s">
        <v>3668</v>
      </c>
      <c r="I2" s="31" t="b">
        <v>1</v>
      </c>
      <c r="J2" s="10" t="s">
        <v>15074</v>
      </c>
      <c r="K2" s="10" t="s">
        <v>15074</v>
      </c>
      <c r="L2" s="10" t="s">
        <v>15075</v>
      </c>
      <c r="M2" s="10" t="s">
        <v>15076</v>
      </c>
      <c r="N2" s="31" t="b">
        <v>1</v>
      </c>
      <c r="O2" s="10" t="s">
        <v>15074</v>
      </c>
      <c r="P2" s="31" t="b">
        <v>1</v>
      </c>
      <c r="Q2" s="31" t="b">
        <v>0</v>
      </c>
      <c r="R2" s="10" t="s">
        <v>15075</v>
      </c>
      <c r="S2" s="10" t="s">
        <v>15075</v>
      </c>
      <c r="T2" s="10" t="s">
        <v>15075</v>
      </c>
      <c r="U2" s="10" t="s">
        <v>3668</v>
      </c>
      <c r="V2" s="10" t="s">
        <v>15075</v>
      </c>
      <c r="W2" s="10" t="s">
        <v>15077</v>
      </c>
      <c r="X2" s="10" t="s">
        <v>15075</v>
      </c>
      <c r="Y2" s="10" t="s">
        <v>3668</v>
      </c>
      <c r="Z2" s="31" t="b">
        <v>0</v>
      </c>
      <c r="AA2" s="31" t="b">
        <v>0</v>
      </c>
      <c r="AB2" s="31" t="b">
        <v>1</v>
      </c>
      <c r="AC2" s="10" t="s">
        <v>15076</v>
      </c>
      <c r="AD2" s="10" t="s">
        <v>3668</v>
      </c>
      <c r="AE2" s="10" t="s">
        <v>3668</v>
      </c>
      <c r="AF2" s="10" t="s">
        <v>15074</v>
      </c>
      <c r="AG2" s="10" t="s">
        <v>15075</v>
      </c>
      <c r="AH2" s="10" t="s">
        <v>3668</v>
      </c>
      <c r="AI2" s="10" t="s">
        <v>3668</v>
      </c>
      <c r="AJ2" s="10" t="s">
        <v>3668</v>
      </c>
      <c r="AK2" s="10" t="s">
        <v>13161</v>
      </c>
      <c r="AL2" s="10" t="s">
        <v>3668</v>
      </c>
      <c r="AM2" s="10" t="s">
        <v>3668</v>
      </c>
      <c r="AN2" s="10" t="s">
        <v>3668</v>
      </c>
      <c r="AO2" s="10" t="s">
        <v>3668</v>
      </c>
      <c r="AP2" s="10" t="s">
        <v>3668</v>
      </c>
      <c r="AQ2" s="10" t="s">
        <v>3668</v>
      </c>
      <c r="AR2" s="10" t="s">
        <v>3668</v>
      </c>
      <c r="AS2" s="10" t="s">
        <v>3668</v>
      </c>
      <c r="AT2" s="10" t="s">
        <v>15077</v>
      </c>
      <c r="AU2" s="10" t="s">
        <v>3668</v>
      </c>
      <c r="AV2" s="10" t="s">
        <v>3668</v>
      </c>
      <c r="AW2" s="10" t="s">
        <v>179</v>
      </c>
      <c r="AX2" s="10" t="s">
        <v>15075</v>
      </c>
      <c r="AY2" s="10" t="s">
        <v>15077</v>
      </c>
      <c r="AZ2" s="10" t="s">
        <v>15078</v>
      </c>
      <c r="BA2" s="10" t="s">
        <v>15075</v>
      </c>
      <c r="BB2" s="10" t="s">
        <v>15077</v>
      </c>
      <c r="BC2" s="10" t="s">
        <v>15075</v>
      </c>
      <c r="BD2" s="10" t="s">
        <v>15075</v>
      </c>
      <c r="BE2" s="10" t="s">
        <v>15078</v>
      </c>
      <c r="BF2" s="10" t="s">
        <v>15075</v>
      </c>
      <c r="BG2" s="10" t="s">
        <v>3668</v>
      </c>
      <c r="BH2" s="10" t="s">
        <v>3668</v>
      </c>
      <c r="BI2" s="10" t="s">
        <v>3668</v>
      </c>
      <c r="BJ2" s="10" t="s">
        <v>620</v>
      </c>
      <c r="BK2" s="10" t="s">
        <v>3668</v>
      </c>
      <c r="BL2" s="10" t="s">
        <v>3668</v>
      </c>
      <c r="BM2" s="31" t="b">
        <v>1</v>
      </c>
      <c r="BN2" s="31" t="b">
        <v>1</v>
      </c>
      <c r="BO2" s="10" t="s">
        <v>3668</v>
      </c>
      <c r="BP2" s="10"/>
      <c r="BQ2" s="10"/>
      <c r="BR2" s="10"/>
      <c r="BS2" s="10"/>
      <c r="BT2" s="10"/>
      <c r="BU2" s="10"/>
      <c r="BV2" s="10"/>
      <c r="BW2" s="10"/>
      <c r="BX2" s="10"/>
      <c r="BY2" s="10"/>
    </row>
    <row r="3">
      <c r="A3" s="10" t="s">
        <v>15073</v>
      </c>
      <c r="B3" s="9">
        <v>43304.72601440972</v>
      </c>
      <c r="C3" s="10" t="s">
        <v>13404</v>
      </c>
      <c r="D3" s="31" t="b">
        <v>1</v>
      </c>
      <c r="E3" s="12">
        <v>9.0</v>
      </c>
      <c r="F3" s="10" t="s">
        <v>3668</v>
      </c>
      <c r="G3" s="10" t="s">
        <v>3668</v>
      </c>
      <c r="H3" s="10" t="s">
        <v>3668</v>
      </c>
      <c r="I3" s="31" t="b">
        <v>1</v>
      </c>
      <c r="J3" s="10" t="s">
        <v>15076</v>
      </c>
      <c r="K3" s="10" t="s">
        <v>15076</v>
      </c>
      <c r="L3" s="10" t="s">
        <v>15076</v>
      </c>
      <c r="M3" s="10" t="s">
        <v>15076</v>
      </c>
      <c r="N3" s="31" t="b">
        <v>1</v>
      </c>
      <c r="O3" s="10" t="s">
        <v>15076</v>
      </c>
      <c r="P3" s="31" t="b">
        <v>1</v>
      </c>
      <c r="Q3" s="31" t="b">
        <v>1</v>
      </c>
      <c r="R3" s="10" t="s">
        <v>15077</v>
      </c>
      <c r="S3" s="10" t="s">
        <v>15077</v>
      </c>
      <c r="T3" s="10" t="s">
        <v>15077</v>
      </c>
      <c r="U3" s="10" t="s">
        <v>3668</v>
      </c>
      <c r="V3" s="10" t="s">
        <v>15077</v>
      </c>
      <c r="W3" s="10" t="s">
        <v>15077</v>
      </c>
      <c r="X3" s="10" t="s">
        <v>15077</v>
      </c>
      <c r="Y3" s="10" t="s">
        <v>3668</v>
      </c>
      <c r="Z3" s="31" t="b">
        <v>1</v>
      </c>
      <c r="AA3" s="31" t="b">
        <v>0</v>
      </c>
      <c r="AB3" s="31" t="b">
        <v>0</v>
      </c>
      <c r="AC3" s="10" t="s">
        <v>15076</v>
      </c>
      <c r="AD3" s="10" t="s">
        <v>3668</v>
      </c>
      <c r="AE3" s="10" t="s">
        <v>3668</v>
      </c>
      <c r="AF3" s="10" t="s">
        <v>15076</v>
      </c>
      <c r="AG3" s="10" t="s">
        <v>15076</v>
      </c>
      <c r="AH3" s="10" t="s">
        <v>3668</v>
      </c>
      <c r="AI3" s="10" t="s">
        <v>3668</v>
      </c>
      <c r="AJ3" s="10" t="s">
        <v>3668</v>
      </c>
      <c r="AK3" s="10" t="s">
        <v>3668</v>
      </c>
      <c r="AL3" s="10" t="s">
        <v>3668</v>
      </c>
      <c r="AM3" s="10" t="s">
        <v>3668</v>
      </c>
      <c r="AN3" s="10" t="s">
        <v>3668</v>
      </c>
      <c r="AO3" s="10" t="s">
        <v>3668</v>
      </c>
      <c r="AP3" s="10" t="s">
        <v>3668</v>
      </c>
      <c r="AQ3" s="10" t="s">
        <v>3668</v>
      </c>
      <c r="AR3" s="10" t="s">
        <v>3668</v>
      </c>
      <c r="AS3" s="10" t="s">
        <v>3668</v>
      </c>
      <c r="AT3" s="10" t="s">
        <v>15077</v>
      </c>
      <c r="AU3" s="10" t="s">
        <v>3668</v>
      </c>
      <c r="AV3" s="10" t="s">
        <v>3668</v>
      </c>
      <c r="AW3" s="10" t="s">
        <v>3668</v>
      </c>
      <c r="AX3" s="10" t="s">
        <v>15077</v>
      </c>
      <c r="AY3" s="10" t="s">
        <v>15077</v>
      </c>
      <c r="AZ3" s="10" t="s">
        <v>15077</v>
      </c>
      <c r="BA3" s="10" t="s">
        <v>15077</v>
      </c>
      <c r="BB3" s="10" t="s">
        <v>15077</v>
      </c>
      <c r="BC3" s="10" t="s">
        <v>15077</v>
      </c>
      <c r="BD3" s="10" t="s">
        <v>15077</v>
      </c>
      <c r="BE3" s="10" t="s">
        <v>15077</v>
      </c>
      <c r="BF3" s="10" t="s">
        <v>15077</v>
      </c>
      <c r="BG3" s="10" t="s">
        <v>3668</v>
      </c>
      <c r="BH3" s="10" t="s">
        <v>3668</v>
      </c>
      <c r="BI3" s="10" t="s">
        <v>3668</v>
      </c>
      <c r="BJ3" s="10" t="s">
        <v>3668</v>
      </c>
      <c r="BK3" s="10" t="s">
        <v>3668</v>
      </c>
      <c r="BL3" s="10" t="s">
        <v>3668</v>
      </c>
      <c r="BM3" s="31" t="b">
        <v>1</v>
      </c>
      <c r="BN3" s="31" t="b">
        <v>1</v>
      </c>
      <c r="BO3" s="10" t="s">
        <v>179</v>
      </c>
      <c r="BP3" s="10"/>
      <c r="BQ3" s="10"/>
      <c r="BR3" s="10"/>
      <c r="BS3" s="10"/>
      <c r="BT3" s="10"/>
      <c r="BU3" s="10"/>
      <c r="BV3" s="10"/>
      <c r="BW3" s="10"/>
      <c r="BX3" s="10"/>
      <c r="BY3" s="10"/>
    </row>
    <row r="4">
      <c r="A4" s="10" t="s">
        <v>15073</v>
      </c>
      <c r="B4" s="9">
        <v>43304.747520046294</v>
      </c>
      <c r="C4" s="10" t="s">
        <v>13463</v>
      </c>
      <c r="D4" s="31" t="b">
        <v>1</v>
      </c>
      <c r="E4" s="12">
        <v>9.0</v>
      </c>
      <c r="F4" s="10" t="s">
        <v>3668</v>
      </c>
      <c r="G4" s="10" t="s">
        <v>3668</v>
      </c>
      <c r="H4" s="10" t="s">
        <v>3668</v>
      </c>
      <c r="I4" s="31" t="b">
        <v>1</v>
      </c>
      <c r="J4" s="10" t="s">
        <v>15075</v>
      </c>
      <c r="K4" s="10" t="s">
        <v>15075</v>
      </c>
      <c r="L4" s="10" t="s">
        <v>15075</v>
      </c>
      <c r="M4" s="10" t="s">
        <v>15076</v>
      </c>
      <c r="N4" s="31" t="b">
        <v>1</v>
      </c>
      <c r="O4" s="10" t="s">
        <v>15074</v>
      </c>
      <c r="P4" s="31" t="b">
        <v>1</v>
      </c>
      <c r="Q4" s="31" t="b">
        <v>1</v>
      </c>
      <c r="R4" s="10" t="s">
        <v>15077</v>
      </c>
      <c r="S4" s="10" t="s">
        <v>15075</v>
      </c>
      <c r="T4" s="10" t="s">
        <v>15077</v>
      </c>
      <c r="U4" s="10" t="s">
        <v>3668</v>
      </c>
      <c r="V4" s="10" t="s">
        <v>15077</v>
      </c>
      <c r="W4" s="10" t="s">
        <v>15077</v>
      </c>
      <c r="X4" s="10" t="s">
        <v>15077</v>
      </c>
      <c r="Y4" s="10" t="s">
        <v>3668</v>
      </c>
      <c r="Z4" s="31" t="b">
        <v>0</v>
      </c>
      <c r="AA4" s="31" t="b">
        <v>1</v>
      </c>
      <c r="AB4" s="31" t="b">
        <v>0</v>
      </c>
      <c r="AC4" s="10" t="s">
        <v>15076</v>
      </c>
      <c r="AD4" s="10" t="s">
        <v>3668</v>
      </c>
      <c r="AE4" s="10" t="s">
        <v>3668</v>
      </c>
      <c r="AF4" s="10" t="s">
        <v>15074</v>
      </c>
      <c r="AG4" s="10" t="s">
        <v>15074</v>
      </c>
      <c r="AH4" s="10" t="s">
        <v>3668</v>
      </c>
      <c r="AI4" s="10" t="s">
        <v>3668</v>
      </c>
      <c r="AJ4" s="10" t="s">
        <v>13161</v>
      </c>
      <c r="AK4" s="10" t="s">
        <v>13161</v>
      </c>
      <c r="AL4" s="10" t="s">
        <v>13161</v>
      </c>
      <c r="AM4" s="10" t="s">
        <v>3668</v>
      </c>
      <c r="AN4" s="10" t="s">
        <v>179</v>
      </c>
      <c r="AO4" s="10" t="s">
        <v>3668</v>
      </c>
      <c r="AP4" s="10" t="s">
        <v>3668</v>
      </c>
      <c r="AQ4" s="10" t="s">
        <v>3668</v>
      </c>
      <c r="AR4" s="10" t="s">
        <v>179</v>
      </c>
      <c r="AS4" s="10" t="s">
        <v>3668</v>
      </c>
      <c r="AT4" s="10" t="s">
        <v>15075</v>
      </c>
      <c r="AU4" s="10" t="s">
        <v>3668</v>
      </c>
      <c r="AV4" s="10" t="s">
        <v>3668</v>
      </c>
      <c r="AW4" s="10" t="s">
        <v>3668</v>
      </c>
      <c r="AX4" s="10" t="s">
        <v>15077</v>
      </c>
      <c r="AY4" s="10" t="s">
        <v>15077</v>
      </c>
      <c r="AZ4" s="10" t="s">
        <v>15077</v>
      </c>
      <c r="BA4" s="10" t="s">
        <v>15077</v>
      </c>
      <c r="BB4" s="10" t="s">
        <v>15077</v>
      </c>
      <c r="BC4" s="10" t="s">
        <v>15075</v>
      </c>
      <c r="BD4" s="10" t="s">
        <v>15078</v>
      </c>
      <c r="BE4" s="10" t="s">
        <v>15078</v>
      </c>
      <c r="BF4" s="10" t="s">
        <v>15078</v>
      </c>
      <c r="BG4" s="10" t="s">
        <v>3668</v>
      </c>
      <c r="BH4" s="10" t="s">
        <v>3668</v>
      </c>
      <c r="BI4" s="10" t="s">
        <v>179</v>
      </c>
      <c r="BJ4" s="10" t="s">
        <v>179</v>
      </c>
      <c r="BK4" s="10" t="s">
        <v>3668</v>
      </c>
      <c r="BL4" s="10" t="s">
        <v>3668</v>
      </c>
      <c r="BM4" s="31" t="b">
        <v>1</v>
      </c>
      <c r="BN4" s="31" t="b">
        <v>1</v>
      </c>
      <c r="BO4" s="10" t="s">
        <v>179</v>
      </c>
      <c r="BP4" s="10"/>
      <c r="BQ4" s="10"/>
      <c r="BR4" s="10"/>
      <c r="BS4" s="10"/>
      <c r="BT4" s="10"/>
      <c r="BU4" s="10"/>
      <c r="BV4" s="10"/>
      <c r="BW4" s="10"/>
      <c r="BX4" s="10"/>
      <c r="BY4" s="10"/>
    </row>
    <row r="5">
      <c r="A5" s="10" t="s">
        <v>15073</v>
      </c>
      <c r="B5" s="9">
        <v>43305.68346111111</v>
      </c>
      <c r="C5" s="10" t="s">
        <v>13471</v>
      </c>
      <c r="D5" s="31" t="b">
        <v>1</v>
      </c>
      <c r="E5" s="12">
        <v>9.0</v>
      </c>
      <c r="F5" s="10" t="s">
        <v>3668</v>
      </c>
      <c r="G5" s="10" t="s">
        <v>3668</v>
      </c>
      <c r="H5" s="10" t="s">
        <v>3668</v>
      </c>
      <c r="I5" s="31" t="b">
        <v>1</v>
      </c>
      <c r="J5" s="10" t="s">
        <v>15075</v>
      </c>
      <c r="K5" s="10" t="s">
        <v>15075</v>
      </c>
      <c r="L5" s="10" t="s">
        <v>15075</v>
      </c>
      <c r="M5" s="10" t="s">
        <v>15075</v>
      </c>
      <c r="N5" s="31" t="b">
        <v>1</v>
      </c>
      <c r="O5" s="10" t="s">
        <v>15075</v>
      </c>
      <c r="P5" s="31" t="b">
        <v>1</v>
      </c>
      <c r="Q5" s="31" t="b">
        <v>1</v>
      </c>
      <c r="R5" s="10" t="s">
        <v>15075</v>
      </c>
      <c r="S5" s="10" t="s">
        <v>15075</v>
      </c>
      <c r="T5" s="10" t="s">
        <v>15075</v>
      </c>
      <c r="U5" s="10" t="s">
        <v>3668</v>
      </c>
      <c r="V5" s="10" t="s">
        <v>15075</v>
      </c>
      <c r="W5" s="10" t="s">
        <v>15075</v>
      </c>
      <c r="X5" s="10" t="s">
        <v>15075</v>
      </c>
      <c r="Y5" s="10" t="s">
        <v>3668</v>
      </c>
      <c r="Z5" s="31" t="b">
        <v>1</v>
      </c>
      <c r="AA5" s="31" t="b">
        <v>1</v>
      </c>
      <c r="AB5" s="31" t="b">
        <v>1</v>
      </c>
      <c r="AC5" s="10" t="s">
        <v>15075</v>
      </c>
      <c r="AD5" s="10" t="s">
        <v>3668</v>
      </c>
      <c r="AE5" s="10" t="s">
        <v>3668</v>
      </c>
      <c r="AF5" s="10" t="s">
        <v>15075</v>
      </c>
      <c r="AG5" s="10" t="s">
        <v>15075</v>
      </c>
      <c r="AH5" s="10" t="s">
        <v>3668</v>
      </c>
      <c r="AI5" s="10" t="s">
        <v>3668</v>
      </c>
      <c r="AJ5" s="10" t="s">
        <v>3668</v>
      </c>
      <c r="AK5" s="10" t="s">
        <v>13161</v>
      </c>
      <c r="AL5" s="10" t="s">
        <v>13161</v>
      </c>
      <c r="AM5" s="10" t="s">
        <v>3668</v>
      </c>
      <c r="AN5" s="10" t="s">
        <v>3668</v>
      </c>
      <c r="AO5" s="10" t="s">
        <v>3668</v>
      </c>
      <c r="AP5" s="10" t="s">
        <v>3668</v>
      </c>
      <c r="AQ5" s="10" t="s">
        <v>3668</v>
      </c>
      <c r="AR5" s="10" t="s">
        <v>3668</v>
      </c>
      <c r="AS5" s="10" t="s">
        <v>3668</v>
      </c>
      <c r="AT5" s="10" t="s">
        <v>15075</v>
      </c>
      <c r="AU5" s="10" t="s">
        <v>3668</v>
      </c>
      <c r="AV5" s="10" t="s">
        <v>3668</v>
      </c>
      <c r="AW5" s="10" t="s">
        <v>3668</v>
      </c>
      <c r="AX5" s="10" t="s">
        <v>15075</v>
      </c>
      <c r="AY5" s="10" t="s">
        <v>15075</v>
      </c>
      <c r="AZ5" s="10" t="s">
        <v>15075</v>
      </c>
      <c r="BA5" s="10" t="s">
        <v>15077</v>
      </c>
      <c r="BB5" s="10" t="s">
        <v>15075</v>
      </c>
      <c r="BC5" s="10" t="s">
        <v>15075</v>
      </c>
      <c r="BD5" s="10" t="s">
        <v>15075</v>
      </c>
      <c r="BE5" s="10" t="s">
        <v>15077</v>
      </c>
      <c r="BF5" s="10" t="s">
        <v>15075</v>
      </c>
      <c r="BG5" s="10" t="s">
        <v>3668</v>
      </c>
      <c r="BH5" s="10" t="s">
        <v>3668</v>
      </c>
      <c r="BI5" s="10" t="s">
        <v>3668</v>
      </c>
      <c r="BJ5" s="10" t="s">
        <v>3668</v>
      </c>
      <c r="BK5" s="10" t="s">
        <v>3668</v>
      </c>
      <c r="BL5" s="10" t="s">
        <v>3668</v>
      </c>
      <c r="BM5" s="31" t="b">
        <v>1</v>
      </c>
      <c r="BN5" s="31" t="b">
        <v>1</v>
      </c>
      <c r="BO5" s="10" t="s">
        <v>179</v>
      </c>
      <c r="BP5" s="13" t="s">
        <v>15079</v>
      </c>
      <c r="BQ5" s="14"/>
      <c r="BR5" s="14"/>
      <c r="BS5" s="14"/>
      <c r="BT5" s="14"/>
      <c r="BU5" s="14"/>
      <c r="BV5" s="14"/>
      <c r="BW5" s="10"/>
      <c r="BX5" s="10"/>
      <c r="BY5" s="10"/>
    </row>
    <row r="6">
      <c r="A6" s="10" t="s">
        <v>15073</v>
      </c>
      <c r="B6" s="9">
        <v>43306.199577314816</v>
      </c>
      <c r="C6" s="10" t="s">
        <v>13513</v>
      </c>
      <c r="D6" s="31" t="b">
        <v>1</v>
      </c>
      <c r="E6" s="12">
        <v>9.0</v>
      </c>
      <c r="F6" s="10" t="s">
        <v>3668</v>
      </c>
      <c r="G6" s="10" t="s">
        <v>3668</v>
      </c>
      <c r="H6" s="10" t="s">
        <v>179</v>
      </c>
      <c r="I6" s="31" t="b">
        <v>0</v>
      </c>
      <c r="J6" s="10" t="s">
        <v>15074</v>
      </c>
      <c r="K6" s="10" t="s">
        <v>15074</v>
      </c>
      <c r="L6" s="10" t="s">
        <v>15075</v>
      </c>
      <c r="M6" s="10" t="s">
        <v>15075</v>
      </c>
      <c r="N6" s="31" t="b">
        <v>0</v>
      </c>
      <c r="O6" s="10" t="s">
        <v>15074</v>
      </c>
      <c r="P6" s="31" t="b">
        <v>1</v>
      </c>
      <c r="Q6" s="31" t="b">
        <v>0</v>
      </c>
      <c r="R6" s="10" t="s">
        <v>15075</v>
      </c>
      <c r="S6" s="10" t="s">
        <v>15075</v>
      </c>
      <c r="T6" s="10" t="s">
        <v>15075</v>
      </c>
      <c r="U6" s="10" t="s">
        <v>3668</v>
      </c>
      <c r="V6" s="10" t="s">
        <v>15075</v>
      </c>
      <c r="W6" s="10" t="s">
        <v>15075</v>
      </c>
      <c r="X6" s="10" t="s">
        <v>15075</v>
      </c>
      <c r="Y6" s="10" t="s">
        <v>3668</v>
      </c>
      <c r="Z6" s="31" t="b">
        <v>0</v>
      </c>
      <c r="AA6" s="31" t="b">
        <v>1</v>
      </c>
      <c r="AB6" s="31" t="b">
        <v>1</v>
      </c>
      <c r="AC6" s="10" t="s">
        <v>15075</v>
      </c>
      <c r="AD6" s="10" t="s">
        <v>3668</v>
      </c>
      <c r="AE6" s="10" t="s">
        <v>3668</v>
      </c>
      <c r="AF6" s="10" t="s">
        <v>15074</v>
      </c>
      <c r="AG6" s="10" t="s">
        <v>15074</v>
      </c>
      <c r="AH6" s="10" t="s">
        <v>3668</v>
      </c>
      <c r="AI6" s="10" t="s">
        <v>3668</v>
      </c>
      <c r="AJ6" s="10" t="s">
        <v>3668</v>
      </c>
      <c r="AK6" s="10" t="s">
        <v>13161</v>
      </c>
      <c r="AL6" s="10" t="s">
        <v>13161</v>
      </c>
      <c r="AM6" s="10" t="s">
        <v>3668</v>
      </c>
      <c r="AN6" s="10" t="s">
        <v>3668</v>
      </c>
      <c r="AO6" s="10" t="s">
        <v>3668</v>
      </c>
      <c r="AP6" s="10" t="s">
        <v>3668</v>
      </c>
      <c r="AQ6" s="10" t="s">
        <v>179</v>
      </c>
      <c r="AR6" s="10" t="s">
        <v>3668</v>
      </c>
      <c r="AS6" s="10" t="s">
        <v>3668</v>
      </c>
      <c r="AT6" s="10" t="s">
        <v>15075</v>
      </c>
      <c r="AU6" s="10" t="s">
        <v>179</v>
      </c>
      <c r="AV6" s="10" t="s">
        <v>3668</v>
      </c>
      <c r="AW6" s="10" t="s">
        <v>3668</v>
      </c>
      <c r="AX6" s="10" t="s">
        <v>15075</v>
      </c>
      <c r="AY6" s="10" t="s">
        <v>15078</v>
      </c>
      <c r="AZ6" s="10" t="s">
        <v>15078</v>
      </c>
      <c r="BA6" s="10" t="s">
        <v>15075</v>
      </c>
      <c r="BB6" s="10" t="s">
        <v>15075</v>
      </c>
      <c r="BC6" s="10" t="s">
        <v>15075</v>
      </c>
      <c r="BD6" s="10" t="s">
        <v>15075</v>
      </c>
      <c r="BE6" s="10" t="s">
        <v>15075</v>
      </c>
      <c r="BF6" s="10" t="s">
        <v>15075</v>
      </c>
      <c r="BG6" s="10" t="s">
        <v>3668</v>
      </c>
      <c r="BH6" s="10" t="s">
        <v>3668</v>
      </c>
      <c r="BI6" s="10" t="s">
        <v>3668</v>
      </c>
      <c r="BJ6" s="10" t="s">
        <v>620</v>
      </c>
      <c r="BK6" s="10" t="s">
        <v>620</v>
      </c>
      <c r="BL6" s="10" t="s">
        <v>620</v>
      </c>
      <c r="BM6" s="31" t="b">
        <v>1</v>
      </c>
      <c r="BN6" s="31" t="b">
        <v>1</v>
      </c>
      <c r="BO6" s="10" t="s">
        <v>3668</v>
      </c>
      <c r="BP6" s="13" t="s">
        <v>15080</v>
      </c>
      <c r="BQ6" s="14"/>
      <c r="BR6" s="14"/>
      <c r="BS6" s="14"/>
      <c r="BT6" s="10"/>
      <c r="BU6" s="10"/>
      <c r="BV6" s="10"/>
      <c r="BW6" s="10"/>
      <c r="BX6" s="10"/>
      <c r="BY6" s="10"/>
    </row>
    <row r="7">
      <c r="A7" s="10" t="s">
        <v>15073</v>
      </c>
      <c r="B7" s="9">
        <v>43306.762446608795</v>
      </c>
      <c r="C7" s="10" t="s">
        <v>13649</v>
      </c>
      <c r="D7" s="31" t="b">
        <v>1</v>
      </c>
      <c r="E7" s="12">
        <v>9.0</v>
      </c>
      <c r="F7" s="10" t="s">
        <v>3668</v>
      </c>
      <c r="G7" s="10" t="s">
        <v>3668</v>
      </c>
      <c r="H7" s="10" t="s">
        <v>3668</v>
      </c>
      <c r="I7" s="31" t="b">
        <v>1</v>
      </c>
      <c r="J7" s="10" t="s">
        <v>15075</v>
      </c>
      <c r="K7" s="10" t="s">
        <v>15074</v>
      </c>
      <c r="L7" s="10" t="s">
        <v>15075</v>
      </c>
      <c r="M7" s="10" t="s">
        <v>15075</v>
      </c>
      <c r="N7" s="31" t="b">
        <v>1</v>
      </c>
      <c r="O7" s="10" t="s">
        <v>15075</v>
      </c>
      <c r="P7" s="31" t="b">
        <v>1</v>
      </c>
      <c r="Q7" s="31" t="b">
        <v>1</v>
      </c>
      <c r="R7" s="10" t="s">
        <v>15075</v>
      </c>
      <c r="S7" s="10" t="s">
        <v>15077</v>
      </c>
      <c r="T7" s="10" t="s">
        <v>15077</v>
      </c>
      <c r="U7" s="10" t="s">
        <v>3668</v>
      </c>
      <c r="V7" s="10" t="s">
        <v>15077</v>
      </c>
      <c r="W7" s="10" t="s">
        <v>15077</v>
      </c>
      <c r="X7" s="10" t="s">
        <v>15077</v>
      </c>
      <c r="Y7" s="10" t="s">
        <v>3668</v>
      </c>
      <c r="Z7" s="31" t="b">
        <v>1</v>
      </c>
      <c r="AA7" s="31" t="b">
        <v>1</v>
      </c>
      <c r="AB7" s="31" t="b">
        <v>0</v>
      </c>
      <c r="AC7" s="10" t="s">
        <v>15076</v>
      </c>
      <c r="AD7" s="10" t="s">
        <v>179</v>
      </c>
      <c r="AE7" s="10" t="s">
        <v>3668</v>
      </c>
      <c r="AF7" s="10" t="s">
        <v>15075</v>
      </c>
      <c r="AG7" s="10" t="s">
        <v>15075</v>
      </c>
      <c r="AH7" s="10" t="s">
        <v>179</v>
      </c>
      <c r="AI7" s="10" t="s">
        <v>179</v>
      </c>
      <c r="AJ7" s="10" t="s">
        <v>3668</v>
      </c>
      <c r="AK7" s="10" t="s">
        <v>13161</v>
      </c>
      <c r="AL7" s="10" t="s">
        <v>3668</v>
      </c>
      <c r="AM7" s="10" t="s">
        <v>3668</v>
      </c>
      <c r="AN7" s="10" t="s">
        <v>3668</v>
      </c>
      <c r="AO7" s="10" t="s">
        <v>179</v>
      </c>
      <c r="AP7" s="10" t="s">
        <v>3668</v>
      </c>
      <c r="AQ7" s="10" t="s">
        <v>179</v>
      </c>
      <c r="AR7" s="10" t="s">
        <v>3668</v>
      </c>
      <c r="AS7" s="10" t="s">
        <v>3668</v>
      </c>
      <c r="AT7" s="10" t="s">
        <v>15075</v>
      </c>
      <c r="AU7" s="10" t="s">
        <v>179</v>
      </c>
      <c r="AV7" s="10" t="s">
        <v>3668</v>
      </c>
      <c r="AW7" s="10" t="s">
        <v>3668</v>
      </c>
      <c r="AX7" s="10" t="s">
        <v>15077</v>
      </c>
      <c r="AY7" s="10" t="s">
        <v>15077</v>
      </c>
      <c r="AZ7" s="10" t="s">
        <v>15075</v>
      </c>
      <c r="BA7" s="10" t="s">
        <v>15077</v>
      </c>
      <c r="BB7" s="10" t="s">
        <v>15075</v>
      </c>
      <c r="BC7" s="10" t="s">
        <v>15078</v>
      </c>
      <c r="BD7" s="10" t="s">
        <v>15075</v>
      </c>
      <c r="BE7" s="10" t="s">
        <v>15075</v>
      </c>
      <c r="BF7" s="10" t="s">
        <v>15075</v>
      </c>
      <c r="BG7" s="10" t="s">
        <v>3668</v>
      </c>
      <c r="BH7" s="10" t="s">
        <v>3668</v>
      </c>
      <c r="BI7" s="10" t="s">
        <v>3668</v>
      </c>
      <c r="BJ7" s="10" t="s">
        <v>620</v>
      </c>
      <c r="BK7" s="10" t="s">
        <v>3668</v>
      </c>
      <c r="BL7" s="10" t="s">
        <v>3668</v>
      </c>
      <c r="BM7" s="31" t="b">
        <v>1</v>
      </c>
      <c r="BN7" s="31" t="b">
        <v>1</v>
      </c>
      <c r="BO7" s="10" t="s">
        <v>3668</v>
      </c>
      <c r="BP7" s="10" t="s">
        <v>15081</v>
      </c>
      <c r="BQ7" s="10" t="s">
        <v>15075</v>
      </c>
      <c r="BR7" s="10"/>
      <c r="BS7" s="10"/>
      <c r="BT7" s="10"/>
      <c r="BU7" s="10"/>
      <c r="BV7" s="10"/>
      <c r="BW7" s="10"/>
      <c r="BX7" s="10"/>
      <c r="BY7" s="10"/>
    </row>
    <row r="8">
      <c r="A8" s="10" t="s">
        <v>15073</v>
      </c>
      <c r="B8" s="9">
        <v>43306.79992474537</v>
      </c>
      <c r="C8" s="10" t="s">
        <v>13294</v>
      </c>
      <c r="D8" s="31" t="b">
        <v>1</v>
      </c>
      <c r="E8" s="12">
        <v>12.0</v>
      </c>
      <c r="F8" s="10" t="s">
        <v>3668</v>
      </c>
      <c r="G8" s="10" t="s">
        <v>3668</v>
      </c>
      <c r="H8" s="10" t="s">
        <v>179</v>
      </c>
      <c r="I8" s="31" t="b">
        <v>1</v>
      </c>
      <c r="J8" s="10" t="s">
        <v>15074</v>
      </c>
      <c r="K8" s="10" t="s">
        <v>15074</v>
      </c>
      <c r="L8" s="10" t="s">
        <v>15076</v>
      </c>
      <c r="M8" s="10" t="s">
        <v>15076</v>
      </c>
      <c r="N8" s="31" t="b">
        <v>1</v>
      </c>
      <c r="O8" s="10" t="s">
        <v>15075</v>
      </c>
      <c r="P8" s="31" t="b">
        <v>1</v>
      </c>
      <c r="Q8" s="31" t="b">
        <v>1</v>
      </c>
      <c r="R8" s="10" t="s">
        <v>15075</v>
      </c>
      <c r="S8" s="10" t="s">
        <v>15075</v>
      </c>
      <c r="T8" s="10" t="s">
        <v>15075</v>
      </c>
      <c r="U8" s="10" t="s">
        <v>3668</v>
      </c>
      <c r="V8" s="10" t="s">
        <v>15077</v>
      </c>
      <c r="W8" s="10" t="s">
        <v>15077</v>
      </c>
      <c r="X8" s="10" t="s">
        <v>15077</v>
      </c>
      <c r="Y8" s="10" t="s">
        <v>3668</v>
      </c>
      <c r="Z8" s="31" t="b">
        <v>0</v>
      </c>
      <c r="AA8" s="31" t="b">
        <v>0</v>
      </c>
      <c r="AB8" s="31" t="b">
        <v>0</v>
      </c>
      <c r="AC8" s="10" t="s">
        <v>15076</v>
      </c>
      <c r="AD8" s="10" t="s">
        <v>3668</v>
      </c>
      <c r="AE8" s="10" t="s">
        <v>3668</v>
      </c>
      <c r="AF8" s="10" t="s">
        <v>15075</v>
      </c>
      <c r="AG8" s="10" t="s">
        <v>15076</v>
      </c>
      <c r="AH8" s="10" t="s">
        <v>3668</v>
      </c>
      <c r="AI8" s="10" t="s">
        <v>3668</v>
      </c>
      <c r="AJ8" s="10" t="s">
        <v>3668</v>
      </c>
      <c r="AK8" s="10" t="s">
        <v>13161</v>
      </c>
      <c r="AL8" s="10" t="s">
        <v>3668</v>
      </c>
      <c r="AM8" s="10" t="s">
        <v>3668</v>
      </c>
      <c r="AN8" s="10" t="s">
        <v>3668</v>
      </c>
      <c r="AO8" s="10" t="s">
        <v>3668</v>
      </c>
      <c r="AP8" s="10" t="s">
        <v>3668</v>
      </c>
      <c r="AQ8" s="10" t="s">
        <v>3668</v>
      </c>
      <c r="AR8" s="10" t="s">
        <v>3668</v>
      </c>
      <c r="AS8" s="10" t="s">
        <v>3668</v>
      </c>
      <c r="AT8" s="10" t="s">
        <v>15077</v>
      </c>
      <c r="AU8" s="10" t="s">
        <v>3668</v>
      </c>
      <c r="AV8" s="10" t="s">
        <v>3668</v>
      </c>
      <c r="AW8" s="10" t="s">
        <v>3668</v>
      </c>
      <c r="AX8" s="10" t="s">
        <v>15075</v>
      </c>
      <c r="AY8" s="10" t="s">
        <v>15075</v>
      </c>
      <c r="AZ8" s="10" t="s">
        <v>15075</v>
      </c>
      <c r="BA8" s="10" t="s">
        <v>15077</v>
      </c>
      <c r="BB8" s="10" t="s">
        <v>15077</v>
      </c>
      <c r="BC8" s="10" t="s">
        <v>15075</v>
      </c>
      <c r="BD8" s="10" t="s">
        <v>15075</v>
      </c>
      <c r="BE8" s="10" t="s">
        <v>15078</v>
      </c>
      <c r="BF8" s="10" t="s">
        <v>15077</v>
      </c>
      <c r="BG8" s="10" t="s">
        <v>3668</v>
      </c>
      <c r="BH8" s="10" t="s">
        <v>3668</v>
      </c>
      <c r="BI8" s="10" t="s">
        <v>3668</v>
      </c>
      <c r="BJ8" s="10" t="s">
        <v>3668</v>
      </c>
      <c r="BK8" s="10" t="s">
        <v>3668</v>
      </c>
      <c r="BL8" s="10" t="s">
        <v>13161</v>
      </c>
      <c r="BM8" s="31" t="b">
        <v>1</v>
      </c>
      <c r="BN8" s="31" t="b">
        <v>1</v>
      </c>
      <c r="BO8" s="10" t="s">
        <v>3668</v>
      </c>
      <c r="BP8" s="10" t="s">
        <v>15082</v>
      </c>
      <c r="BQ8" s="10" t="s">
        <v>15076</v>
      </c>
      <c r="BR8" s="10"/>
      <c r="BS8" s="10"/>
      <c r="BT8" s="10"/>
      <c r="BU8" s="10"/>
      <c r="BV8" s="10"/>
      <c r="BW8" s="10"/>
      <c r="BX8" s="10"/>
      <c r="BY8" s="10"/>
    </row>
    <row r="9">
      <c r="A9" s="10" t="s">
        <v>15073</v>
      </c>
      <c r="B9" s="9">
        <v>43306.84394104166</v>
      </c>
      <c r="C9" s="10" t="s">
        <v>13672</v>
      </c>
      <c r="D9" s="31" t="b">
        <v>0</v>
      </c>
      <c r="E9" s="12">
        <v>9.0</v>
      </c>
      <c r="F9" s="10" t="s">
        <v>3668</v>
      </c>
      <c r="G9" s="10" t="s">
        <v>3668</v>
      </c>
      <c r="H9" s="10" t="s">
        <v>179</v>
      </c>
      <c r="I9" s="31" t="b">
        <v>0</v>
      </c>
      <c r="J9" s="10" t="s">
        <v>15074</v>
      </c>
      <c r="K9" s="10" t="s">
        <v>15074</v>
      </c>
      <c r="L9" s="10" t="s">
        <v>15075</v>
      </c>
      <c r="M9" s="10" t="s">
        <v>15076</v>
      </c>
      <c r="N9" s="31" t="b">
        <v>1</v>
      </c>
      <c r="O9" s="10" t="s">
        <v>15074</v>
      </c>
      <c r="P9" s="31" t="b">
        <v>1</v>
      </c>
      <c r="Q9" s="31" t="b">
        <v>1</v>
      </c>
      <c r="R9" s="10" t="s">
        <v>15074</v>
      </c>
      <c r="S9" s="10" t="s">
        <v>15078</v>
      </c>
      <c r="T9" s="10" t="s">
        <v>15078</v>
      </c>
      <c r="U9" s="10" t="s">
        <v>3668</v>
      </c>
      <c r="V9" s="10" t="s">
        <v>15078</v>
      </c>
      <c r="W9" s="10" t="s">
        <v>15077</v>
      </c>
      <c r="X9" s="10" t="s">
        <v>15077</v>
      </c>
      <c r="Y9" s="10" t="s">
        <v>179</v>
      </c>
      <c r="Z9" s="31" t="b">
        <v>0</v>
      </c>
      <c r="AA9" s="31" t="b">
        <v>0</v>
      </c>
      <c r="AB9" s="31" t="b">
        <v>0</v>
      </c>
      <c r="AC9" s="10" t="s">
        <v>15075</v>
      </c>
      <c r="AD9" s="10" t="s">
        <v>3668</v>
      </c>
      <c r="AE9" s="10" t="s">
        <v>179</v>
      </c>
      <c r="AF9" s="10" t="s">
        <v>15076</v>
      </c>
      <c r="AG9" s="10" t="s">
        <v>15076</v>
      </c>
      <c r="AH9" s="10" t="s">
        <v>3668</v>
      </c>
      <c r="AI9" s="10" t="s">
        <v>3668</v>
      </c>
      <c r="AJ9" s="10" t="s">
        <v>3668</v>
      </c>
      <c r="AK9" s="10" t="s">
        <v>3668</v>
      </c>
      <c r="AL9" s="10" t="s">
        <v>3668</v>
      </c>
      <c r="AM9" s="10" t="s">
        <v>3668</v>
      </c>
      <c r="AN9" s="10" t="s">
        <v>3668</v>
      </c>
      <c r="AO9" s="10" t="s">
        <v>3668</v>
      </c>
      <c r="AP9" s="10" t="s">
        <v>3668</v>
      </c>
      <c r="AQ9" s="10" t="s">
        <v>3668</v>
      </c>
      <c r="AR9" s="10" t="s">
        <v>3668</v>
      </c>
      <c r="AS9" s="10" t="s">
        <v>3668</v>
      </c>
      <c r="AT9" s="10" t="s">
        <v>15075</v>
      </c>
      <c r="AU9" s="10" t="s">
        <v>179</v>
      </c>
      <c r="AV9" s="10" t="s">
        <v>179</v>
      </c>
      <c r="AW9" s="10" t="s">
        <v>3668</v>
      </c>
      <c r="AX9" s="10" t="s">
        <v>15077</v>
      </c>
      <c r="AY9" s="10" t="s">
        <v>15077</v>
      </c>
      <c r="AZ9" s="10" t="s">
        <v>15078</v>
      </c>
      <c r="BA9" s="10" t="s">
        <v>15077</v>
      </c>
      <c r="BB9" s="10" t="s">
        <v>15075</v>
      </c>
      <c r="BC9" s="10" t="s">
        <v>15077</v>
      </c>
      <c r="BD9" s="10" t="s">
        <v>15078</v>
      </c>
      <c r="BE9" s="10" t="s">
        <v>15078</v>
      </c>
      <c r="BF9" s="10" t="s">
        <v>15075</v>
      </c>
      <c r="BG9" s="10" t="s">
        <v>3668</v>
      </c>
      <c r="BH9" s="10" t="s">
        <v>3668</v>
      </c>
      <c r="BI9" s="10" t="s">
        <v>3668</v>
      </c>
      <c r="BJ9" s="10" t="s">
        <v>620</v>
      </c>
      <c r="BK9" s="10" t="s">
        <v>3668</v>
      </c>
      <c r="BL9" s="10" t="s">
        <v>3668</v>
      </c>
      <c r="BM9" s="31" t="b">
        <v>1</v>
      </c>
      <c r="BN9" s="31" t="b">
        <v>1</v>
      </c>
      <c r="BO9" s="10" t="s">
        <v>179</v>
      </c>
      <c r="BP9" s="10" t="s">
        <v>15083</v>
      </c>
      <c r="BQ9" s="10" t="s">
        <v>15075</v>
      </c>
      <c r="BR9" s="10"/>
      <c r="BS9" s="10"/>
      <c r="BT9" s="10"/>
      <c r="BU9" s="10"/>
      <c r="BV9" s="10"/>
      <c r="BW9" s="10"/>
      <c r="BX9" s="10"/>
      <c r="BY9" s="10"/>
    </row>
    <row r="10">
      <c r="A10" s="10" t="s">
        <v>15073</v>
      </c>
      <c r="B10" s="9">
        <v>43307.059939328705</v>
      </c>
      <c r="C10" s="10" t="s">
        <v>15084</v>
      </c>
      <c r="D10" s="31" t="b">
        <v>1</v>
      </c>
      <c r="E10" s="12">
        <v>9.0</v>
      </c>
      <c r="F10" s="10" t="s">
        <v>3668</v>
      </c>
      <c r="G10" s="10" t="s">
        <v>3668</v>
      </c>
      <c r="H10" s="10" t="s">
        <v>179</v>
      </c>
      <c r="I10" s="31" t="b">
        <v>1</v>
      </c>
      <c r="J10" s="10" t="s">
        <v>15076</v>
      </c>
      <c r="K10" s="10" t="s">
        <v>15076</v>
      </c>
      <c r="L10" s="10" t="s">
        <v>15075</v>
      </c>
      <c r="M10" s="10" t="s">
        <v>15074</v>
      </c>
      <c r="N10" s="31" t="b">
        <v>1</v>
      </c>
      <c r="O10" s="10" t="s">
        <v>15075</v>
      </c>
      <c r="P10" s="31" t="b">
        <v>1</v>
      </c>
      <c r="Q10" s="31" t="b">
        <v>1</v>
      </c>
      <c r="R10" s="10" t="s">
        <v>15077</v>
      </c>
      <c r="S10" s="10" t="s">
        <v>15075</v>
      </c>
      <c r="T10" s="10" t="s">
        <v>15075</v>
      </c>
      <c r="U10" s="10" t="s">
        <v>3668</v>
      </c>
      <c r="V10" s="10" t="s">
        <v>15075</v>
      </c>
      <c r="W10" s="10" t="s">
        <v>15075</v>
      </c>
      <c r="X10" s="10" t="s">
        <v>15075</v>
      </c>
      <c r="Y10" s="10" t="s">
        <v>3668</v>
      </c>
      <c r="Z10" s="31" t="b">
        <v>1</v>
      </c>
      <c r="AA10" s="31" t="b">
        <v>1</v>
      </c>
      <c r="AB10" s="31" t="b">
        <v>1</v>
      </c>
      <c r="AC10" s="10" t="s">
        <v>15076</v>
      </c>
      <c r="AD10" s="10" t="s">
        <v>3668</v>
      </c>
      <c r="AE10" s="10" t="s">
        <v>3668</v>
      </c>
      <c r="AF10" s="10" t="s">
        <v>15078</v>
      </c>
      <c r="AG10" s="10" t="s">
        <v>15078</v>
      </c>
      <c r="AH10" s="10" t="s">
        <v>179</v>
      </c>
      <c r="AI10" s="10" t="s">
        <v>3668</v>
      </c>
      <c r="AJ10" s="10" t="s">
        <v>13161</v>
      </c>
      <c r="AK10" s="10" t="s">
        <v>13161</v>
      </c>
      <c r="AL10" s="10" t="s">
        <v>13161</v>
      </c>
      <c r="AM10" s="10" t="s">
        <v>3668</v>
      </c>
      <c r="AN10" s="10" t="s">
        <v>3668</v>
      </c>
      <c r="AO10" s="10" t="s">
        <v>3668</v>
      </c>
      <c r="AP10" s="10" t="s">
        <v>3668</v>
      </c>
      <c r="AQ10" s="10" t="s">
        <v>3668</v>
      </c>
      <c r="AR10" s="10" t="s">
        <v>3668</v>
      </c>
      <c r="AS10" s="10" t="s">
        <v>3668</v>
      </c>
      <c r="AT10" s="10" t="s">
        <v>15078</v>
      </c>
      <c r="AU10" s="10" t="s">
        <v>3668</v>
      </c>
      <c r="AV10" s="10" t="s">
        <v>3668</v>
      </c>
      <c r="AW10" s="10" t="s">
        <v>3668</v>
      </c>
      <c r="AX10" s="10" t="s">
        <v>15078</v>
      </c>
      <c r="AY10" s="10" t="s">
        <v>15078</v>
      </c>
      <c r="AZ10" s="10" t="s">
        <v>15078</v>
      </c>
      <c r="BA10" s="10" t="s">
        <v>15075</v>
      </c>
      <c r="BB10" s="10" t="s">
        <v>15075</v>
      </c>
      <c r="BC10" s="10" t="s">
        <v>15075</v>
      </c>
      <c r="BD10" s="10" t="s">
        <v>15078</v>
      </c>
      <c r="BE10" s="10" t="s">
        <v>15078</v>
      </c>
      <c r="BF10" s="10" t="s">
        <v>15075</v>
      </c>
      <c r="BG10" s="10" t="s">
        <v>3668</v>
      </c>
      <c r="BH10" s="10" t="s">
        <v>3668</v>
      </c>
      <c r="BI10" s="10" t="s">
        <v>3668</v>
      </c>
      <c r="BJ10" s="10" t="s">
        <v>3668</v>
      </c>
      <c r="BK10" s="10" t="s">
        <v>3668</v>
      </c>
      <c r="BL10" s="10" t="s">
        <v>3668</v>
      </c>
      <c r="BM10" s="31" t="b">
        <v>1</v>
      </c>
      <c r="BN10" s="31" t="b">
        <v>1</v>
      </c>
      <c r="BO10" s="10" t="s">
        <v>3668</v>
      </c>
      <c r="BP10" s="10" t="s">
        <v>15085</v>
      </c>
      <c r="BQ10" s="10" t="s">
        <v>15074</v>
      </c>
      <c r="BR10" s="10"/>
      <c r="BS10" s="10"/>
      <c r="BT10" s="10"/>
      <c r="BU10" s="10"/>
      <c r="BV10" s="10"/>
      <c r="BW10" s="10"/>
      <c r="BX10" s="10"/>
      <c r="BY10" s="10"/>
    </row>
    <row r="11">
      <c r="A11" s="10" t="s">
        <v>15073</v>
      </c>
      <c r="B11" s="9">
        <v>43309.40138701389</v>
      </c>
      <c r="C11" s="10" t="s">
        <v>13685</v>
      </c>
      <c r="D11" s="31" t="b">
        <v>1</v>
      </c>
      <c r="E11" s="12">
        <v>9.0</v>
      </c>
      <c r="F11" s="10" t="s">
        <v>3668</v>
      </c>
      <c r="G11" s="10" t="s">
        <v>3668</v>
      </c>
      <c r="H11" s="10" t="s">
        <v>3668</v>
      </c>
      <c r="I11" s="31" t="b">
        <v>1</v>
      </c>
      <c r="J11" s="10" t="s">
        <v>15076</v>
      </c>
      <c r="K11" s="10" t="s">
        <v>15076</v>
      </c>
      <c r="L11" s="10" t="s">
        <v>15076</v>
      </c>
      <c r="M11" s="10" t="s">
        <v>15076</v>
      </c>
      <c r="N11" s="31" t="b">
        <v>1</v>
      </c>
      <c r="O11" s="10" t="s">
        <v>15076</v>
      </c>
      <c r="P11" s="31" t="b">
        <v>1</v>
      </c>
      <c r="Q11" s="31" t="b">
        <v>1</v>
      </c>
      <c r="R11" s="10" t="s">
        <v>15077</v>
      </c>
      <c r="S11" s="10" t="s">
        <v>15077</v>
      </c>
      <c r="T11" s="10" t="s">
        <v>15077</v>
      </c>
      <c r="U11" s="10" t="s">
        <v>3668</v>
      </c>
      <c r="V11" s="10" t="s">
        <v>15077</v>
      </c>
      <c r="W11" s="10" t="s">
        <v>15077</v>
      </c>
      <c r="X11" s="10" t="s">
        <v>15077</v>
      </c>
      <c r="Y11" s="10" t="s">
        <v>3668</v>
      </c>
      <c r="Z11" s="31" t="b">
        <v>1</v>
      </c>
      <c r="AA11" s="31" t="b">
        <v>1</v>
      </c>
      <c r="AB11" s="31" t="b">
        <v>1</v>
      </c>
      <c r="AC11" s="10" t="s">
        <v>15076</v>
      </c>
      <c r="AD11" s="10" t="s">
        <v>3668</v>
      </c>
      <c r="AE11" s="10" t="s">
        <v>3668</v>
      </c>
      <c r="AF11" s="10" t="s">
        <v>15076</v>
      </c>
      <c r="AG11" s="10" t="s">
        <v>15076</v>
      </c>
      <c r="AH11" s="10" t="s">
        <v>3668</v>
      </c>
      <c r="AI11" s="10" t="s">
        <v>3668</v>
      </c>
      <c r="AJ11" s="10" t="s">
        <v>3668</v>
      </c>
      <c r="AK11" s="10" t="s">
        <v>3668</v>
      </c>
      <c r="AL11" s="10" t="s">
        <v>3668</v>
      </c>
      <c r="AM11" s="10" t="s">
        <v>3668</v>
      </c>
      <c r="AN11" s="10" t="s">
        <v>3668</v>
      </c>
      <c r="AO11" s="10" t="s">
        <v>3668</v>
      </c>
      <c r="AP11" s="10" t="s">
        <v>3668</v>
      </c>
      <c r="AQ11" s="10" t="s">
        <v>3668</v>
      </c>
      <c r="AR11" s="10" t="s">
        <v>3668</v>
      </c>
      <c r="AS11" s="10" t="s">
        <v>3668</v>
      </c>
      <c r="AT11" s="10" t="s">
        <v>15077</v>
      </c>
      <c r="AU11" s="10" t="s">
        <v>3668</v>
      </c>
      <c r="AV11" s="10" t="s">
        <v>3668</v>
      </c>
      <c r="AW11" s="10" t="s">
        <v>3668</v>
      </c>
      <c r="AX11" s="10" t="s">
        <v>15077</v>
      </c>
      <c r="AY11" s="10" t="s">
        <v>15077</v>
      </c>
      <c r="AZ11" s="10" t="s">
        <v>15075</v>
      </c>
      <c r="BA11" s="10" t="s">
        <v>15077</v>
      </c>
      <c r="BB11" s="10" t="s">
        <v>15077</v>
      </c>
      <c r="BC11" s="10" t="s">
        <v>15077</v>
      </c>
      <c r="BD11" s="10" t="s">
        <v>15077</v>
      </c>
      <c r="BE11" s="10" t="s">
        <v>15077</v>
      </c>
      <c r="BF11" s="10" t="s">
        <v>15075</v>
      </c>
      <c r="BG11" s="10" t="s">
        <v>3668</v>
      </c>
      <c r="BH11" s="10" t="s">
        <v>3668</v>
      </c>
      <c r="BI11" s="10" t="s">
        <v>3668</v>
      </c>
      <c r="BJ11" s="10" t="s">
        <v>3668</v>
      </c>
      <c r="BK11" s="10" t="s">
        <v>3668</v>
      </c>
      <c r="BL11" s="10" t="s">
        <v>3668</v>
      </c>
      <c r="BM11" s="31" t="b">
        <v>1</v>
      </c>
      <c r="BN11" s="31" t="b">
        <v>1</v>
      </c>
      <c r="BO11" s="10" t="s">
        <v>3668</v>
      </c>
      <c r="BP11" s="10" t="s">
        <v>15086</v>
      </c>
      <c r="BQ11" s="10" t="s">
        <v>15076</v>
      </c>
      <c r="BR11" s="10"/>
      <c r="BS11" s="10"/>
      <c r="BT11" s="10"/>
      <c r="BU11" s="10"/>
      <c r="BV11" s="10"/>
      <c r="BW11" s="10"/>
      <c r="BX11" s="10"/>
      <c r="BY11" s="10"/>
    </row>
    <row r="12">
      <c r="A12" s="10" t="s">
        <v>15073</v>
      </c>
      <c r="B12" s="9">
        <v>43309.66754173611</v>
      </c>
      <c r="C12" s="10" t="s">
        <v>13451</v>
      </c>
      <c r="D12" s="31" t="b">
        <v>1</v>
      </c>
      <c r="E12" s="12">
        <v>9.0</v>
      </c>
      <c r="F12" s="10" t="s">
        <v>3668</v>
      </c>
      <c r="G12" s="10" t="s">
        <v>3668</v>
      </c>
      <c r="H12" s="10" t="s">
        <v>3668</v>
      </c>
      <c r="I12" s="31" t="b">
        <v>1</v>
      </c>
      <c r="J12" s="10" t="s">
        <v>15074</v>
      </c>
      <c r="K12" s="10" t="s">
        <v>15074</v>
      </c>
      <c r="L12" s="10" t="s">
        <v>15074</v>
      </c>
      <c r="M12" s="10" t="s">
        <v>15075</v>
      </c>
      <c r="N12" s="31" t="b">
        <v>1</v>
      </c>
      <c r="O12" s="10" t="s">
        <v>15074</v>
      </c>
      <c r="P12" s="31" t="b">
        <v>1</v>
      </c>
      <c r="Q12" s="31" t="b">
        <v>1</v>
      </c>
      <c r="R12" s="10" t="s">
        <v>15075</v>
      </c>
      <c r="S12" s="10" t="s">
        <v>15075</v>
      </c>
      <c r="T12" s="10" t="s">
        <v>15075</v>
      </c>
      <c r="U12" s="10" t="s">
        <v>3668</v>
      </c>
      <c r="V12" s="10" t="s">
        <v>15075</v>
      </c>
      <c r="W12" s="10" t="s">
        <v>15075</v>
      </c>
      <c r="X12" s="10" t="s">
        <v>15075</v>
      </c>
      <c r="Y12" s="10" t="s">
        <v>3668</v>
      </c>
      <c r="Z12" s="31" t="b">
        <v>1</v>
      </c>
      <c r="AA12" s="31" t="b">
        <v>1</v>
      </c>
      <c r="AB12" s="31" t="b">
        <v>0</v>
      </c>
      <c r="AC12" s="10" t="s">
        <v>15075</v>
      </c>
      <c r="AD12" s="10" t="s">
        <v>3668</v>
      </c>
      <c r="AE12" s="10" t="s">
        <v>3668</v>
      </c>
      <c r="AF12" s="10" t="s">
        <v>15075</v>
      </c>
      <c r="AG12" s="10" t="s">
        <v>15075</v>
      </c>
      <c r="AH12" s="10" t="s">
        <v>3668</v>
      </c>
      <c r="AI12" s="10" t="s">
        <v>3668</v>
      </c>
      <c r="AJ12" s="10" t="s">
        <v>3668</v>
      </c>
      <c r="AK12" s="10" t="s">
        <v>3668</v>
      </c>
      <c r="AL12" s="10" t="s">
        <v>3668</v>
      </c>
      <c r="AM12" s="10" t="s">
        <v>3668</v>
      </c>
      <c r="AN12" s="10" t="s">
        <v>3668</v>
      </c>
      <c r="AO12" s="10" t="s">
        <v>3668</v>
      </c>
      <c r="AP12" s="10" t="s">
        <v>3668</v>
      </c>
      <c r="AQ12" s="10" t="s">
        <v>3668</v>
      </c>
      <c r="AR12" s="10" t="s">
        <v>3668</v>
      </c>
      <c r="AS12" s="10" t="s">
        <v>3668</v>
      </c>
      <c r="AT12" s="10" t="s">
        <v>15075</v>
      </c>
      <c r="AU12" s="10" t="s">
        <v>3668</v>
      </c>
      <c r="AV12" s="10" t="s">
        <v>3668</v>
      </c>
      <c r="AW12" s="10" t="s">
        <v>3668</v>
      </c>
      <c r="AX12" s="10" t="s">
        <v>15075</v>
      </c>
      <c r="AY12" s="10" t="s">
        <v>15075</v>
      </c>
      <c r="AZ12" s="10" t="s">
        <v>15075</v>
      </c>
      <c r="BA12" s="10" t="s">
        <v>15075</v>
      </c>
      <c r="BB12" s="10" t="s">
        <v>15075</v>
      </c>
      <c r="BC12" s="10" t="s">
        <v>15075</v>
      </c>
      <c r="BD12" s="10" t="s">
        <v>15078</v>
      </c>
      <c r="BE12" s="10" t="s">
        <v>15078</v>
      </c>
      <c r="BF12" s="10" t="s">
        <v>15075</v>
      </c>
      <c r="BG12" s="10" t="s">
        <v>3668</v>
      </c>
      <c r="BH12" s="10" t="s">
        <v>3668</v>
      </c>
      <c r="BI12" s="10" t="s">
        <v>3668</v>
      </c>
      <c r="BJ12" s="10" t="s">
        <v>3668</v>
      </c>
      <c r="BK12" s="10" t="s">
        <v>3668</v>
      </c>
      <c r="BL12" s="10" t="s">
        <v>3668</v>
      </c>
      <c r="BM12" s="31" t="b">
        <v>1</v>
      </c>
      <c r="BN12" s="31" t="b">
        <v>1</v>
      </c>
      <c r="BO12" s="10" t="s">
        <v>179</v>
      </c>
      <c r="BP12" s="10" t="s">
        <v>15087</v>
      </c>
      <c r="BQ12" s="10" t="s">
        <v>15075</v>
      </c>
      <c r="BR12" s="10"/>
      <c r="BS12" s="10"/>
      <c r="BT12" s="10"/>
      <c r="BU12" s="10"/>
      <c r="BV12" s="10"/>
      <c r="BW12" s="10"/>
      <c r="BX12" s="10"/>
      <c r="BY12" s="10"/>
    </row>
    <row r="13">
      <c r="A13" s="10" t="s">
        <v>15073</v>
      </c>
      <c r="B13" s="9">
        <v>43315.656465775464</v>
      </c>
      <c r="C13" s="10" t="s">
        <v>13752</v>
      </c>
      <c r="D13" s="31" t="b">
        <v>1</v>
      </c>
      <c r="E13" s="12">
        <v>9.0</v>
      </c>
      <c r="F13" s="10" t="s">
        <v>3668</v>
      </c>
      <c r="G13" s="10" t="s">
        <v>3668</v>
      </c>
      <c r="H13" s="10" t="s">
        <v>3668</v>
      </c>
      <c r="I13" s="31" t="b">
        <v>1</v>
      </c>
      <c r="J13" s="10" t="s">
        <v>15076</v>
      </c>
      <c r="K13" s="10" t="s">
        <v>15076</v>
      </c>
      <c r="L13" s="10" t="s">
        <v>15076</v>
      </c>
      <c r="M13" s="10" t="s">
        <v>15076</v>
      </c>
      <c r="N13" s="31" t="b">
        <v>1</v>
      </c>
      <c r="O13" s="10" t="s">
        <v>15076</v>
      </c>
      <c r="P13" s="31" t="b">
        <v>1</v>
      </c>
      <c r="Q13" s="31" t="b">
        <v>1</v>
      </c>
      <c r="R13" s="10" t="s">
        <v>15077</v>
      </c>
      <c r="S13" s="10" t="s">
        <v>15077</v>
      </c>
      <c r="T13" s="10" t="s">
        <v>15077</v>
      </c>
      <c r="U13" s="10" t="s">
        <v>3668</v>
      </c>
      <c r="V13" s="10" t="s">
        <v>15077</v>
      </c>
      <c r="W13" s="10" t="s">
        <v>15077</v>
      </c>
      <c r="X13" s="10" t="s">
        <v>15077</v>
      </c>
      <c r="Y13" s="10" t="s">
        <v>3668</v>
      </c>
      <c r="Z13" s="31" t="b">
        <v>1</v>
      </c>
      <c r="AA13" s="31" t="b">
        <v>1</v>
      </c>
      <c r="AB13" s="31" t="b">
        <v>0</v>
      </c>
      <c r="AC13" s="10" t="s">
        <v>15076</v>
      </c>
      <c r="AD13" s="10" t="s">
        <v>3668</v>
      </c>
      <c r="AE13" s="10" t="s">
        <v>3668</v>
      </c>
      <c r="AF13" s="10" t="s">
        <v>15076</v>
      </c>
      <c r="AG13" s="10" t="s">
        <v>15076</v>
      </c>
      <c r="AH13" s="10" t="s">
        <v>3668</v>
      </c>
      <c r="AI13" s="10" t="s">
        <v>3668</v>
      </c>
      <c r="AJ13" s="10" t="s">
        <v>3668</v>
      </c>
      <c r="AK13" s="10" t="s">
        <v>3668</v>
      </c>
      <c r="AL13" s="10" t="s">
        <v>3668</v>
      </c>
      <c r="AM13" s="10" t="s">
        <v>3668</v>
      </c>
      <c r="AN13" s="10" t="s">
        <v>3668</v>
      </c>
      <c r="AO13" s="10" t="s">
        <v>3668</v>
      </c>
      <c r="AP13" s="10" t="s">
        <v>3668</v>
      </c>
      <c r="AQ13" s="10" t="s">
        <v>3668</v>
      </c>
      <c r="AR13" s="10" t="s">
        <v>3668</v>
      </c>
      <c r="AS13" s="10" t="s">
        <v>3668</v>
      </c>
      <c r="AT13" s="10" t="s">
        <v>15077</v>
      </c>
      <c r="AU13" s="10" t="s">
        <v>3668</v>
      </c>
      <c r="AV13" s="10" t="s">
        <v>3668</v>
      </c>
      <c r="AW13" s="10" t="s">
        <v>3668</v>
      </c>
      <c r="AX13" s="10" t="s">
        <v>15075</v>
      </c>
      <c r="AY13" s="10" t="s">
        <v>15075</v>
      </c>
      <c r="AZ13" s="10" t="s">
        <v>15075</v>
      </c>
      <c r="BA13" s="10" t="s">
        <v>15075</v>
      </c>
      <c r="BB13" s="10" t="s">
        <v>15075</v>
      </c>
      <c r="BC13" s="10" t="s">
        <v>15075</v>
      </c>
      <c r="BD13" s="10" t="s">
        <v>15075</v>
      </c>
      <c r="BE13" s="10" t="s">
        <v>15075</v>
      </c>
      <c r="BF13" s="10" t="s">
        <v>15075</v>
      </c>
      <c r="BG13" s="10" t="s">
        <v>3668</v>
      </c>
      <c r="BH13" s="10" t="s">
        <v>3668</v>
      </c>
      <c r="BI13" s="10" t="s">
        <v>3668</v>
      </c>
      <c r="BJ13" s="10" t="s">
        <v>3668</v>
      </c>
      <c r="BK13" s="10" t="s">
        <v>3668</v>
      </c>
      <c r="BL13" s="10" t="s">
        <v>3668</v>
      </c>
      <c r="BM13" s="31" t="b">
        <v>1</v>
      </c>
      <c r="BN13" s="31" t="b">
        <v>1</v>
      </c>
      <c r="BO13" s="10" t="s">
        <v>179</v>
      </c>
      <c r="BP13" s="10" t="s">
        <v>15088</v>
      </c>
      <c r="BQ13" s="10" t="s">
        <v>15076</v>
      </c>
      <c r="BR13" s="10" t="s">
        <v>15077</v>
      </c>
      <c r="BS13" s="10" t="s">
        <v>13756</v>
      </c>
      <c r="BT13" s="10"/>
      <c r="BU13" s="10"/>
      <c r="BV13" s="10"/>
      <c r="BW13" s="10"/>
      <c r="BX13" s="10"/>
      <c r="BY13" s="10"/>
    </row>
    <row r="14">
      <c r="A14" s="10" t="s">
        <v>15073</v>
      </c>
      <c r="B14" s="9">
        <v>43315.784580775464</v>
      </c>
      <c r="C14" s="10" t="s">
        <v>13743</v>
      </c>
      <c r="D14" s="31" t="b">
        <v>1</v>
      </c>
      <c r="E14" s="12">
        <v>9.0</v>
      </c>
      <c r="F14" s="10" t="s">
        <v>3668</v>
      </c>
      <c r="G14" s="10" t="s">
        <v>3668</v>
      </c>
      <c r="H14" s="10" t="s">
        <v>3668</v>
      </c>
      <c r="I14" s="31" t="b">
        <v>1</v>
      </c>
      <c r="J14" s="10" t="s">
        <v>15089</v>
      </c>
      <c r="K14" s="10" t="s">
        <v>15076</v>
      </c>
      <c r="L14" s="10" t="s">
        <v>15076</v>
      </c>
      <c r="M14" s="10" t="s">
        <v>15076</v>
      </c>
      <c r="N14" s="31" t="b">
        <v>1</v>
      </c>
      <c r="O14" s="10" t="s">
        <v>15075</v>
      </c>
      <c r="P14" s="31" t="b">
        <v>1</v>
      </c>
      <c r="Q14" s="31" t="b">
        <v>1</v>
      </c>
      <c r="R14" s="10" t="s">
        <v>15077</v>
      </c>
      <c r="S14" s="10" t="s">
        <v>15077</v>
      </c>
      <c r="T14" s="10" t="s">
        <v>15077</v>
      </c>
      <c r="U14" s="10" t="s">
        <v>3668</v>
      </c>
      <c r="V14" s="10" t="s">
        <v>15077</v>
      </c>
      <c r="W14" s="10" t="s">
        <v>15077</v>
      </c>
      <c r="X14" s="10" t="s">
        <v>15077</v>
      </c>
      <c r="Y14" s="10" t="s">
        <v>3668</v>
      </c>
      <c r="Z14" s="31" t="b">
        <v>1</v>
      </c>
      <c r="AA14" s="31" t="b">
        <v>0</v>
      </c>
      <c r="AB14" s="31" t="b">
        <v>1</v>
      </c>
      <c r="AC14" s="10" t="s">
        <v>15076</v>
      </c>
      <c r="AD14" s="10" t="s">
        <v>3668</v>
      </c>
      <c r="AE14" s="10" t="s">
        <v>3668</v>
      </c>
      <c r="AF14" s="10" t="s">
        <v>15076</v>
      </c>
      <c r="AG14" s="10" t="s">
        <v>15075</v>
      </c>
      <c r="AH14" s="10" t="s">
        <v>3668</v>
      </c>
      <c r="AI14" s="10" t="s">
        <v>3668</v>
      </c>
      <c r="AJ14" s="10" t="s">
        <v>3668</v>
      </c>
      <c r="AK14" s="10" t="s">
        <v>3668</v>
      </c>
      <c r="AL14" s="10" t="s">
        <v>3668</v>
      </c>
      <c r="AM14" s="10" t="s">
        <v>3668</v>
      </c>
      <c r="AN14" s="10" t="s">
        <v>3668</v>
      </c>
      <c r="AO14" s="10" t="s">
        <v>3668</v>
      </c>
      <c r="AP14" s="10" t="s">
        <v>3668</v>
      </c>
      <c r="AQ14" s="10" t="s">
        <v>3668</v>
      </c>
      <c r="AR14" s="10" t="s">
        <v>3668</v>
      </c>
      <c r="AS14" s="10" t="s">
        <v>3668</v>
      </c>
      <c r="AT14" s="10" t="s">
        <v>15075</v>
      </c>
      <c r="AU14" s="10" t="s">
        <v>3668</v>
      </c>
      <c r="AV14" s="10" t="s">
        <v>3668</v>
      </c>
      <c r="AW14" s="10" t="s">
        <v>3668</v>
      </c>
      <c r="AX14" s="10" t="s">
        <v>15075</v>
      </c>
      <c r="AY14" s="10" t="s">
        <v>15075</v>
      </c>
      <c r="AZ14" s="10" t="s">
        <v>15077</v>
      </c>
      <c r="BA14" s="10" t="s">
        <v>15075</v>
      </c>
      <c r="BB14" s="10" t="s">
        <v>15075</v>
      </c>
      <c r="BC14" s="10" t="s">
        <v>15075</v>
      </c>
      <c r="BD14" s="10" t="s">
        <v>15075</v>
      </c>
      <c r="BE14" s="10" t="s">
        <v>15075</v>
      </c>
      <c r="BF14" s="10" t="s">
        <v>15075</v>
      </c>
      <c r="BG14" s="10" t="s">
        <v>3668</v>
      </c>
      <c r="BH14" s="10" t="s">
        <v>3668</v>
      </c>
      <c r="BI14" s="10" t="s">
        <v>3668</v>
      </c>
      <c r="BJ14" s="10" t="s">
        <v>3668</v>
      </c>
      <c r="BK14" s="10" t="s">
        <v>3668</v>
      </c>
      <c r="BL14" s="10" t="s">
        <v>3668</v>
      </c>
      <c r="BM14" s="31" t="b">
        <v>1</v>
      </c>
      <c r="BN14" s="31" t="b">
        <v>1</v>
      </c>
      <c r="BO14" s="10" t="s">
        <v>179</v>
      </c>
      <c r="BP14" s="10" t="s">
        <v>15090</v>
      </c>
      <c r="BQ14" s="10" t="s">
        <v>15076</v>
      </c>
      <c r="BR14" s="10" t="s">
        <v>15075</v>
      </c>
      <c r="BS14" s="10" t="s">
        <v>15091</v>
      </c>
      <c r="BT14" s="10"/>
      <c r="BU14" s="10"/>
      <c r="BV14" s="10"/>
      <c r="BW14" s="10"/>
      <c r="BX14" s="10"/>
      <c r="BY14" s="10"/>
    </row>
    <row r="15">
      <c r="A15" s="10" t="s">
        <v>15073</v>
      </c>
      <c r="B15" s="9">
        <v>43315.95452005787</v>
      </c>
      <c r="C15" s="10" t="s">
        <v>13976</v>
      </c>
      <c r="D15" s="31" t="b">
        <v>1</v>
      </c>
      <c r="E15" s="12">
        <v>9.0</v>
      </c>
      <c r="F15" s="10" t="s">
        <v>3668</v>
      </c>
      <c r="G15" s="10" t="s">
        <v>3668</v>
      </c>
      <c r="H15" s="10" t="s">
        <v>3668</v>
      </c>
      <c r="I15" s="31" t="b">
        <v>1</v>
      </c>
      <c r="J15" s="10" t="s">
        <v>15076</v>
      </c>
      <c r="K15" s="10" t="s">
        <v>15076</v>
      </c>
      <c r="L15" s="10" t="s">
        <v>15076</v>
      </c>
      <c r="M15" s="10" t="s">
        <v>15076</v>
      </c>
      <c r="N15" s="31" t="b">
        <v>1</v>
      </c>
      <c r="O15" s="10" t="s">
        <v>15076</v>
      </c>
      <c r="P15" s="31" t="b">
        <v>1</v>
      </c>
      <c r="Q15" s="31" t="b">
        <v>1</v>
      </c>
      <c r="R15" s="10" t="s">
        <v>15077</v>
      </c>
      <c r="S15" s="10" t="s">
        <v>15075</v>
      </c>
      <c r="T15" s="10" t="s">
        <v>15075</v>
      </c>
      <c r="U15" s="10" t="s">
        <v>3668</v>
      </c>
      <c r="V15" s="10" t="s">
        <v>15075</v>
      </c>
      <c r="W15" s="10" t="s">
        <v>15075</v>
      </c>
      <c r="X15" s="10" t="s">
        <v>15075</v>
      </c>
      <c r="Y15" s="10" t="s">
        <v>3668</v>
      </c>
      <c r="Z15" s="31" t="b">
        <v>1</v>
      </c>
      <c r="AA15" s="31" t="b">
        <v>1</v>
      </c>
      <c r="AB15" s="31" t="b">
        <v>0</v>
      </c>
      <c r="AC15" s="10" t="s">
        <v>15075</v>
      </c>
      <c r="AD15" s="10" t="s">
        <v>3668</v>
      </c>
      <c r="AE15" s="10" t="s">
        <v>3668</v>
      </c>
      <c r="AF15" s="10" t="s">
        <v>15075</v>
      </c>
      <c r="AG15" s="10" t="s">
        <v>15075</v>
      </c>
      <c r="AH15" s="10" t="s">
        <v>3668</v>
      </c>
      <c r="AI15" s="10" t="s">
        <v>3668</v>
      </c>
      <c r="AJ15" s="10" t="s">
        <v>3668</v>
      </c>
      <c r="AK15" s="10" t="s">
        <v>13161</v>
      </c>
      <c r="AL15" s="10" t="s">
        <v>13161</v>
      </c>
      <c r="AM15" s="10" t="s">
        <v>3668</v>
      </c>
      <c r="AN15" s="10" t="s">
        <v>3668</v>
      </c>
      <c r="AO15" s="10" t="s">
        <v>3668</v>
      </c>
      <c r="AP15" s="10" t="s">
        <v>3668</v>
      </c>
      <c r="AQ15" s="10" t="s">
        <v>3668</v>
      </c>
      <c r="AR15" s="10" t="s">
        <v>3668</v>
      </c>
      <c r="AS15" s="10" t="s">
        <v>3668</v>
      </c>
      <c r="AT15" s="10" t="s">
        <v>15075</v>
      </c>
      <c r="AU15" s="10" t="s">
        <v>3668</v>
      </c>
      <c r="AV15" s="10" t="s">
        <v>3668</v>
      </c>
      <c r="AW15" s="10" t="s">
        <v>3668</v>
      </c>
      <c r="AX15" s="10" t="s">
        <v>15075</v>
      </c>
      <c r="AY15" s="10" t="s">
        <v>15075</v>
      </c>
      <c r="AZ15" s="10" t="s">
        <v>15075</v>
      </c>
      <c r="BA15" s="10" t="s">
        <v>15075</v>
      </c>
      <c r="BB15" s="10" t="s">
        <v>15075</v>
      </c>
      <c r="BC15" s="10" t="s">
        <v>15075</v>
      </c>
      <c r="BD15" s="10" t="s">
        <v>15075</v>
      </c>
      <c r="BE15" s="10" t="s">
        <v>15075</v>
      </c>
      <c r="BF15" s="10" t="s">
        <v>15075</v>
      </c>
      <c r="BG15" s="10" t="s">
        <v>3668</v>
      </c>
      <c r="BH15" s="10" t="s">
        <v>3668</v>
      </c>
      <c r="BI15" s="10" t="s">
        <v>3668</v>
      </c>
      <c r="BJ15" s="10" t="s">
        <v>3668</v>
      </c>
      <c r="BK15" s="10" t="s">
        <v>3668</v>
      </c>
      <c r="BL15" s="10" t="s">
        <v>3668</v>
      </c>
      <c r="BM15" s="31" t="b">
        <v>1</v>
      </c>
      <c r="BN15" s="31" t="b">
        <v>1</v>
      </c>
      <c r="BO15" s="10" t="s">
        <v>3668</v>
      </c>
      <c r="BP15" s="10" t="s">
        <v>15092</v>
      </c>
      <c r="BQ15" s="10" t="s">
        <v>15076</v>
      </c>
      <c r="BR15" s="10" t="s">
        <v>15077</v>
      </c>
      <c r="BS15" s="13" t="s">
        <v>15093</v>
      </c>
      <c r="BT15" s="14"/>
      <c r="BU15" s="14"/>
      <c r="BV15" s="14"/>
      <c r="BW15" s="14"/>
      <c r="BX15" s="14"/>
      <c r="BY15" s="10"/>
    </row>
    <row r="16">
      <c r="A16" s="10" t="s">
        <v>15073</v>
      </c>
      <c r="B16" s="9">
        <v>43320.55353063658</v>
      </c>
      <c r="C16" s="10" t="s">
        <v>14577</v>
      </c>
      <c r="D16" s="31" t="b">
        <v>0</v>
      </c>
      <c r="E16" s="12">
        <v>12.0</v>
      </c>
      <c r="F16" s="10" t="s">
        <v>3668</v>
      </c>
      <c r="G16" s="10" t="s">
        <v>3668</v>
      </c>
      <c r="H16" s="10" t="s">
        <v>3668</v>
      </c>
      <c r="I16" s="31" t="b">
        <v>1</v>
      </c>
      <c r="J16" s="10" t="s">
        <v>15075</v>
      </c>
      <c r="K16" s="10" t="s">
        <v>15075</v>
      </c>
      <c r="L16" s="10" t="s">
        <v>15076</v>
      </c>
      <c r="M16" s="10" t="s">
        <v>15076</v>
      </c>
      <c r="N16" s="31" t="b">
        <v>1</v>
      </c>
      <c r="O16" s="10" t="s">
        <v>15075</v>
      </c>
      <c r="P16" s="31" t="b">
        <v>1</v>
      </c>
      <c r="Q16" s="31" t="b">
        <v>1</v>
      </c>
      <c r="R16" s="10" t="s">
        <v>15077</v>
      </c>
      <c r="S16" s="10" t="s">
        <v>15077</v>
      </c>
      <c r="T16" s="10" t="s">
        <v>15077</v>
      </c>
      <c r="U16" s="10" t="s">
        <v>3668</v>
      </c>
      <c r="V16" s="10" t="s">
        <v>15077</v>
      </c>
      <c r="W16" s="10" t="s">
        <v>15077</v>
      </c>
      <c r="X16" s="10" t="s">
        <v>15077</v>
      </c>
      <c r="Y16" s="10" t="s">
        <v>3668</v>
      </c>
      <c r="Z16" s="31" t="b">
        <v>1</v>
      </c>
      <c r="AA16" s="31" t="b">
        <v>1</v>
      </c>
      <c r="AB16" s="31" t="b">
        <v>0</v>
      </c>
      <c r="AC16" s="10" t="s">
        <v>15075</v>
      </c>
      <c r="AD16" s="10" t="s">
        <v>3668</v>
      </c>
      <c r="AE16" s="10" t="s">
        <v>3668</v>
      </c>
      <c r="AF16" s="10" t="s">
        <v>15074</v>
      </c>
      <c r="AG16" s="10" t="s">
        <v>15075</v>
      </c>
      <c r="AH16" s="10" t="s">
        <v>3668</v>
      </c>
      <c r="AI16" s="10" t="s">
        <v>3668</v>
      </c>
      <c r="AJ16" s="10" t="s">
        <v>3668</v>
      </c>
      <c r="AK16" s="10" t="s">
        <v>3668</v>
      </c>
      <c r="AL16" s="10" t="s">
        <v>3668</v>
      </c>
      <c r="AM16" s="10" t="s">
        <v>3668</v>
      </c>
      <c r="AN16" s="10" t="s">
        <v>3668</v>
      </c>
      <c r="AO16" s="10" t="s">
        <v>3668</v>
      </c>
      <c r="AP16" s="10" t="s">
        <v>3668</v>
      </c>
      <c r="AQ16" s="10" t="s">
        <v>3668</v>
      </c>
      <c r="AR16" s="10" t="s">
        <v>3668</v>
      </c>
      <c r="AS16" s="10" t="s">
        <v>3668</v>
      </c>
      <c r="AT16" s="10" t="s">
        <v>15075</v>
      </c>
      <c r="AU16" s="10" t="s">
        <v>3668</v>
      </c>
      <c r="AV16" s="10" t="s">
        <v>3668</v>
      </c>
      <c r="AW16" s="10" t="s">
        <v>3668</v>
      </c>
      <c r="AX16" s="10" t="s">
        <v>15075</v>
      </c>
      <c r="AY16" s="10" t="s">
        <v>15075</v>
      </c>
      <c r="AZ16" s="10" t="s">
        <v>15075</v>
      </c>
      <c r="BA16" s="10" t="s">
        <v>15075</v>
      </c>
      <c r="BB16" s="10" t="s">
        <v>15075</v>
      </c>
      <c r="BC16" s="10" t="s">
        <v>15075</v>
      </c>
      <c r="BD16" s="10" t="s">
        <v>15078</v>
      </c>
      <c r="BE16" s="10" t="s">
        <v>15075</v>
      </c>
      <c r="BF16" s="10" t="s">
        <v>15075</v>
      </c>
      <c r="BG16" s="10" t="s">
        <v>3668</v>
      </c>
      <c r="BH16" s="10" t="s">
        <v>3668</v>
      </c>
      <c r="BI16" s="10" t="s">
        <v>3668</v>
      </c>
      <c r="BJ16" s="10" t="s">
        <v>3668</v>
      </c>
      <c r="BK16" s="10" t="s">
        <v>3668</v>
      </c>
      <c r="BL16" s="10" t="s">
        <v>3668</v>
      </c>
      <c r="BM16" s="31" t="b">
        <v>1</v>
      </c>
      <c r="BN16" s="31" t="b">
        <v>1</v>
      </c>
      <c r="BO16" s="10" t="s">
        <v>179</v>
      </c>
      <c r="BP16" s="10" t="s">
        <v>15094</v>
      </c>
      <c r="BQ16" s="10" t="s">
        <v>15076</v>
      </c>
      <c r="BR16" s="10" t="s">
        <v>15075</v>
      </c>
      <c r="BS16" s="10" t="s">
        <v>15095</v>
      </c>
      <c r="BT16" s="10"/>
      <c r="BU16" s="10"/>
      <c r="BV16" s="10"/>
      <c r="BW16" s="10"/>
      <c r="BX16" s="10"/>
      <c r="BY16" s="10"/>
    </row>
    <row r="17">
      <c r="A17" s="10" t="s">
        <v>15073</v>
      </c>
      <c r="B17" s="9">
        <v>43324.861277407406</v>
      </c>
      <c r="C17" s="10" t="s">
        <v>13258</v>
      </c>
      <c r="D17" s="31" t="b">
        <v>1</v>
      </c>
      <c r="E17" s="12">
        <v>9.0</v>
      </c>
      <c r="F17" s="10" t="s">
        <v>3668</v>
      </c>
      <c r="G17" s="10" t="s">
        <v>3668</v>
      </c>
      <c r="H17" s="10" t="s">
        <v>179</v>
      </c>
      <c r="I17" s="31" t="b">
        <v>1</v>
      </c>
      <c r="J17" s="10" t="s">
        <v>15075</v>
      </c>
      <c r="K17" s="10" t="s">
        <v>15076</v>
      </c>
      <c r="L17" s="10" t="s">
        <v>15076</v>
      </c>
      <c r="M17" s="10" t="s">
        <v>15075</v>
      </c>
      <c r="N17" s="31" t="b">
        <v>1</v>
      </c>
      <c r="O17" s="10" t="s">
        <v>15076</v>
      </c>
      <c r="P17" s="31" t="b">
        <v>1</v>
      </c>
      <c r="Q17" s="31" t="b">
        <v>1</v>
      </c>
      <c r="R17" s="10" t="s">
        <v>15077</v>
      </c>
      <c r="S17" s="10" t="s">
        <v>15075</v>
      </c>
      <c r="T17" s="10" t="s">
        <v>15077</v>
      </c>
      <c r="U17" s="10" t="s">
        <v>3668</v>
      </c>
      <c r="V17" s="10" t="s">
        <v>15077</v>
      </c>
      <c r="W17" s="10" t="s">
        <v>15077</v>
      </c>
      <c r="X17" s="10" t="s">
        <v>15075</v>
      </c>
      <c r="Y17" s="10" t="s">
        <v>3668</v>
      </c>
      <c r="Z17" s="31" t="b">
        <v>1</v>
      </c>
      <c r="AA17" s="31" t="b">
        <v>1</v>
      </c>
      <c r="AB17" s="31" t="b">
        <v>1</v>
      </c>
      <c r="AC17" s="10" t="s">
        <v>15075</v>
      </c>
      <c r="AD17" s="10" t="s">
        <v>3668</v>
      </c>
      <c r="AE17" s="10" t="s">
        <v>3668</v>
      </c>
      <c r="AF17" s="10" t="s">
        <v>15076</v>
      </c>
      <c r="AG17" s="10" t="s">
        <v>15076</v>
      </c>
      <c r="AH17" s="10" t="s">
        <v>3668</v>
      </c>
      <c r="AI17" s="10" t="s">
        <v>3668</v>
      </c>
      <c r="AJ17" s="10" t="s">
        <v>3668</v>
      </c>
      <c r="AK17" s="10" t="s">
        <v>3668</v>
      </c>
      <c r="AL17" s="10" t="s">
        <v>3668</v>
      </c>
      <c r="AM17" s="10" t="s">
        <v>3668</v>
      </c>
      <c r="AN17" s="10" t="s">
        <v>3668</v>
      </c>
      <c r="AO17" s="10" t="s">
        <v>3668</v>
      </c>
      <c r="AP17" s="10" t="s">
        <v>3668</v>
      </c>
      <c r="AQ17" s="10" t="s">
        <v>3668</v>
      </c>
      <c r="AR17" s="10" t="s">
        <v>3668</v>
      </c>
      <c r="AS17" s="10" t="s">
        <v>3668</v>
      </c>
      <c r="AT17" s="10" t="s">
        <v>15077</v>
      </c>
      <c r="AU17" s="10" t="s">
        <v>3668</v>
      </c>
      <c r="AV17" s="10" t="s">
        <v>3668</v>
      </c>
      <c r="AW17" s="10" t="s">
        <v>3668</v>
      </c>
      <c r="AX17" s="10" t="s">
        <v>15077</v>
      </c>
      <c r="AY17" s="10" t="s">
        <v>15077</v>
      </c>
      <c r="AZ17" s="10" t="s">
        <v>15077</v>
      </c>
      <c r="BA17" s="10" t="s">
        <v>15075</v>
      </c>
      <c r="BB17" s="10" t="s">
        <v>15077</v>
      </c>
      <c r="BC17" s="10" t="s">
        <v>15077</v>
      </c>
      <c r="BD17" s="10" t="s">
        <v>15075</v>
      </c>
      <c r="BE17" s="10" t="s">
        <v>15075</v>
      </c>
      <c r="BF17" s="10" t="s">
        <v>15078</v>
      </c>
      <c r="BG17" s="10" t="s">
        <v>620</v>
      </c>
      <c r="BH17" s="10" t="s">
        <v>3668</v>
      </c>
      <c r="BI17" s="10" t="s">
        <v>3668</v>
      </c>
      <c r="BJ17" s="10" t="s">
        <v>3668</v>
      </c>
      <c r="BK17" s="10" t="s">
        <v>3668</v>
      </c>
      <c r="BL17" s="10" t="s">
        <v>3668</v>
      </c>
      <c r="BM17" s="31" t="b">
        <v>1</v>
      </c>
      <c r="BN17" s="31" t="b">
        <v>1</v>
      </c>
      <c r="BO17" s="10" t="s">
        <v>3668</v>
      </c>
      <c r="BP17" s="10" t="s">
        <v>15096</v>
      </c>
      <c r="BQ17" s="10" t="s">
        <v>15075</v>
      </c>
      <c r="BR17" s="10" t="s">
        <v>15075</v>
      </c>
      <c r="BS17" s="13" t="s">
        <v>15097</v>
      </c>
      <c r="BT17" s="14"/>
      <c r="BU17" s="14"/>
      <c r="BV17" s="10"/>
      <c r="BW17" s="10"/>
      <c r="BX17" s="10"/>
      <c r="BY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f>14/16</f>
        <v>0.875</v>
      </c>
      <c r="AI18" s="76">
        <f>15/16</f>
        <v>0.9375</v>
      </c>
      <c r="AJ18" s="10"/>
      <c r="AK18" s="10"/>
      <c r="AL18" s="10"/>
      <c r="AM18" s="10"/>
      <c r="AN18" s="10"/>
      <c r="AO18" s="10"/>
      <c r="AP18" s="10"/>
      <c r="AQ18" s="10">
        <f>14/16</f>
        <v>0.875</v>
      </c>
      <c r="AR18">
        <f>15/16</f>
        <v>0.9375</v>
      </c>
      <c r="AS18" s="76">
        <f>16/16</f>
        <v>1</v>
      </c>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row>
    <row r="19">
      <c r="A19" s="10"/>
      <c r="B19" s="10"/>
      <c r="C19" s="10"/>
      <c r="D19" s="10"/>
      <c r="E19" s="10"/>
      <c r="F19" s="10"/>
      <c r="G19" s="10"/>
      <c r="H19" s="10"/>
      <c r="I19" s="10"/>
      <c r="J19" s="10"/>
      <c r="K19" s="10"/>
      <c r="L19" s="10"/>
      <c r="M19" s="10"/>
      <c r="N19" s="10"/>
      <c r="O19" s="10"/>
      <c r="P19" s="10"/>
      <c r="Q19" s="10"/>
      <c r="R19" s="10"/>
      <c r="S19" s="10">
        <f>15/16</f>
        <v>0.9375</v>
      </c>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row>
    <row r="49">
      <c r="A49" s="10"/>
      <c r="B49" s="10"/>
      <c r="C49" s="10"/>
      <c r="D49" s="10"/>
      <c r="E49" s="10"/>
      <c r="F49" s="10"/>
      <c r="G49" s="10"/>
      <c r="H49" s="31" t="str">
        <f>Countifs(F2:F21;="Yes")</f>
        <v>#ERROR!</v>
      </c>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0.75"/>
    <col customWidth="1" min="3" max="3" width="16.88"/>
    <col customWidth="1" min="4" max="4" width="18.5"/>
  </cols>
  <sheetData>
    <row r="1">
      <c r="A1" s="77" t="s">
        <v>15098</v>
      </c>
      <c r="B1" s="78" t="s">
        <v>15099</v>
      </c>
      <c r="C1" s="78" t="s">
        <v>15100</v>
      </c>
      <c r="D1" s="78" t="s">
        <v>15101</v>
      </c>
      <c r="E1" s="78" t="s">
        <v>15102</v>
      </c>
      <c r="F1" s="79"/>
      <c r="G1" s="79"/>
      <c r="H1" s="79"/>
      <c r="I1" s="79"/>
      <c r="J1" s="79"/>
      <c r="K1" s="79"/>
      <c r="L1" s="79"/>
      <c r="M1" s="79"/>
      <c r="N1" s="79"/>
      <c r="O1" s="79"/>
      <c r="P1" s="79"/>
      <c r="Q1" s="79"/>
      <c r="R1" s="79"/>
      <c r="S1" s="79"/>
      <c r="T1" s="79"/>
      <c r="U1" s="79"/>
      <c r="V1" s="79"/>
      <c r="W1" s="79"/>
      <c r="X1" s="79"/>
      <c r="Y1" s="79"/>
      <c r="Z1" s="79"/>
    </row>
    <row r="2">
      <c r="A2" s="78" t="s">
        <v>15103</v>
      </c>
      <c r="B2" s="78" t="s">
        <v>15103</v>
      </c>
      <c r="C2" s="79"/>
      <c r="D2" s="79"/>
      <c r="E2" s="79"/>
      <c r="F2" s="79"/>
      <c r="G2" s="79"/>
      <c r="H2" s="79"/>
      <c r="I2" s="79"/>
      <c r="J2" s="79"/>
      <c r="K2" s="79"/>
      <c r="L2" s="79"/>
      <c r="M2" s="79"/>
      <c r="N2" s="79"/>
      <c r="O2" s="79"/>
      <c r="P2" s="79"/>
      <c r="Q2" s="79"/>
      <c r="R2" s="79"/>
      <c r="S2" s="79"/>
      <c r="T2" s="79"/>
      <c r="U2" s="79"/>
      <c r="V2" s="79"/>
      <c r="W2" s="79"/>
      <c r="X2" s="79"/>
      <c r="Y2" s="79"/>
      <c r="Z2" s="79"/>
    </row>
    <row r="3">
      <c r="A3" s="78" t="s">
        <v>15104</v>
      </c>
      <c r="B3" s="78" t="s">
        <v>15104</v>
      </c>
      <c r="C3" s="79"/>
      <c r="D3" s="79"/>
      <c r="E3" s="79"/>
      <c r="F3" s="79"/>
      <c r="G3" s="79"/>
      <c r="H3" s="79"/>
      <c r="I3" s="79"/>
      <c r="J3" s="79"/>
      <c r="K3" s="79"/>
      <c r="L3" s="79"/>
      <c r="M3" s="79"/>
      <c r="N3" s="79"/>
      <c r="O3" s="79"/>
      <c r="P3" s="79"/>
      <c r="Q3" s="79"/>
      <c r="R3" s="79"/>
      <c r="S3" s="79"/>
      <c r="T3" s="79"/>
      <c r="U3" s="79"/>
      <c r="V3" s="79"/>
      <c r="W3" s="79"/>
      <c r="X3" s="79"/>
      <c r="Y3" s="79"/>
      <c r="Z3" s="79"/>
    </row>
    <row r="4">
      <c r="A4" s="78" t="s">
        <v>15105</v>
      </c>
      <c r="B4" s="78" t="s">
        <v>15105</v>
      </c>
      <c r="C4" s="79"/>
      <c r="D4" s="79"/>
      <c r="E4" s="79"/>
      <c r="F4" s="79"/>
      <c r="G4" s="79"/>
      <c r="H4" s="79"/>
      <c r="I4" s="79"/>
      <c r="J4" s="79"/>
      <c r="K4" s="79"/>
      <c r="L4" s="79"/>
      <c r="M4" s="79"/>
      <c r="N4" s="79"/>
      <c r="O4" s="79"/>
      <c r="P4" s="79"/>
      <c r="Q4" s="79"/>
      <c r="R4" s="79"/>
      <c r="S4" s="79"/>
      <c r="T4" s="79"/>
      <c r="U4" s="79"/>
      <c r="V4" s="79"/>
      <c r="W4" s="79"/>
      <c r="X4" s="79"/>
      <c r="Y4" s="79"/>
      <c r="Z4" s="79"/>
    </row>
    <row r="5">
      <c r="A5" s="78" t="s">
        <v>15106</v>
      </c>
      <c r="B5" s="78" t="s">
        <v>15106</v>
      </c>
      <c r="C5" s="79"/>
      <c r="D5" s="79"/>
      <c r="E5" s="79"/>
      <c r="F5" s="79"/>
      <c r="G5" s="79"/>
      <c r="H5" s="79"/>
      <c r="I5" s="79"/>
      <c r="J5" s="79"/>
      <c r="K5" s="79"/>
      <c r="L5" s="79"/>
      <c r="M5" s="79"/>
      <c r="N5" s="79"/>
      <c r="O5" s="79"/>
      <c r="P5" s="79"/>
      <c r="Q5" s="79"/>
      <c r="R5" s="79"/>
      <c r="S5" s="79"/>
      <c r="T5" s="79"/>
      <c r="U5" s="79"/>
      <c r="V5" s="79"/>
      <c r="W5" s="79"/>
      <c r="X5" s="79"/>
      <c r="Y5" s="79"/>
      <c r="Z5" s="79"/>
    </row>
    <row r="6">
      <c r="A6" s="79"/>
      <c r="B6" s="79"/>
      <c r="C6" s="79"/>
      <c r="D6" s="79"/>
      <c r="E6" s="79"/>
      <c r="F6" s="79"/>
      <c r="G6" s="79"/>
      <c r="H6" s="79"/>
      <c r="I6" s="79"/>
      <c r="J6" s="79"/>
      <c r="K6" s="79"/>
      <c r="L6" s="79"/>
      <c r="M6" s="79"/>
      <c r="N6" s="79"/>
      <c r="O6" s="79"/>
      <c r="P6" s="79"/>
      <c r="Q6" s="79"/>
      <c r="R6" s="79"/>
      <c r="S6" s="79"/>
      <c r="T6" s="79"/>
      <c r="U6" s="79"/>
      <c r="V6" s="79"/>
      <c r="W6" s="79"/>
      <c r="X6" s="79"/>
      <c r="Y6" s="79"/>
      <c r="Z6" s="79"/>
    </row>
    <row r="7">
      <c r="A7" s="79"/>
      <c r="B7" s="79"/>
      <c r="C7" s="79"/>
      <c r="D7" s="79"/>
      <c r="E7" s="79"/>
      <c r="F7" s="79"/>
      <c r="G7" s="79"/>
      <c r="H7" s="79"/>
      <c r="I7" s="79"/>
      <c r="J7" s="79"/>
      <c r="K7" s="79"/>
      <c r="L7" s="79"/>
      <c r="M7" s="79"/>
      <c r="N7" s="79"/>
      <c r="O7" s="79"/>
      <c r="P7" s="79"/>
      <c r="Q7" s="79"/>
      <c r="R7" s="79"/>
      <c r="S7" s="79"/>
      <c r="T7" s="79"/>
      <c r="U7" s="79"/>
      <c r="V7" s="79"/>
      <c r="W7" s="79"/>
      <c r="X7" s="79"/>
      <c r="Y7" s="79"/>
      <c r="Z7" s="79"/>
    </row>
    <row r="8">
      <c r="A8" s="79"/>
      <c r="B8" s="79"/>
      <c r="C8" s="79"/>
      <c r="D8" s="79"/>
      <c r="E8" s="79"/>
      <c r="F8" s="79"/>
      <c r="G8" s="79"/>
      <c r="H8" s="79"/>
      <c r="I8" s="79"/>
      <c r="J8" s="79"/>
      <c r="K8" s="79"/>
      <c r="L8" s="79"/>
      <c r="M8" s="79"/>
      <c r="N8" s="79"/>
      <c r="O8" s="79"/>
      <c r="P8" s="79"/>
      <c r="Q8" s="79"/>
      <c r="R8" s="79"/>
      <c r="S8" s="79"/>
      <c r="T8" s="79"/>
      <c r="U8" s="79"/>
      <c r="V8" s="79"/>
      <c r="W8" s="79"/>
      <c r="X8" s="79"/>
      <c r="Y8" s="79"/>
      <c r="Z8" s="79"/>
    </row>
    <row r="9">
      <c r="A9" s="79"/>
      <c r="B9" s="79"/>
      <c r="C9" s="79"/>
      <c r="D9" s="79"/>
      <c r="E9" s="79"/>
      <c r="F9" s="79"/>
      <c r="G9" s="79"/>
      <c r="H9" s="79"/>
      <c r="I9" s="79"/>
      <c r="J9" s="79"/>
      <c r="K9" s="79"/>
      <c r="L9" s="79"/>
      <c r="M9" s="79"/>
      <c r="N9" s="79"/>
      <c r="O9" s="79"/>
      <c r="P9" s="79"/>
      <c r="Q9" s="79"/>
      <c r="R9" s="79"/>
      <c r="S9" s="79"/>
      <c r="T9" s="79"/>
      <c r="U9" s="79"/>
      <c r="V9" s="79"/>
      <c r="W9" s="79"/>
      <c r="X9" s="79"/>
      <c r="Y9" s="79"/>
      <c r="Z9" s="79"/>
    </row>
    <row r="10">
      <c r="A10" s="79"/>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hyperlinks>
    <hyperlink display="Mentee Development " location="'Mentee Development'!A1" ref="A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1.13"/>
    <col customWidth="1" min="3" max="3" width="20.0"/>
    <col customWidth="1" min="4" max="4" width="26.0"/>
    <col customWidth="1" min="6" max="6" width="24.38"/>
    <col customWidth="1" min="7" max="7" width="14.88"/>
    <col customWidth="1" min="9" max="9" width="17.5"/>
    <col customWidth="1" min="11" max="11" width="17.25"/>
    <col customWidth="1" min="12" max="12" width="17.75"/>
    <col customWidth="1" min="13" max="13" width="19.13"/>
    <col customWidth="1" min="14" max="14" width="49.25"/>
    <col customWidth="1" min="15" max="15" width="33.38"/>
  </cols>
  <sheetData>
    <row r="1">
      <c r="A1" s="80" t="s">
        <v>15107</v>
      </c>
      <c r="B1" s="81"/>
      <c r="C1" s="81"/>
      <c r="D1" s="81"/>
      <c r="E1" s="81"/>
      <c r="F1" s="82"/>
      <c r="G1" s="83" t="s">
        <v>15108</v>
      </c>
      <c r="H1" s="81"/>
      <c r="I1" s="81"/>
      <c r="J1" s="81"/>
      <c r="K1" s="84"/>
      <c r="L1" s="83" t="s">
        <v>15109</v>
      </c>
      <c r="M1" s="81"/>
      <c r="N1" s="81"/>
      <c r="O1" s="82"/>
    </row>
    <row r="2">
      <c r="A2" s="85" t="s">
        <v>15110</v>
      </c>
      <c r="B2" s="86"/>
      <c r="C2" s="87" t="s">
        <v>15111</v>
      </c>
      <c r="D2" s="88"/>
      <c r="E2" s="87" t="s">
        <v>15112</v>
      </c>
      <c r="F2" s="88"/>
      <c r="G2" s="89" t="s">
        <v>15113</v>
      </c>
      <c r="H2" s="87" t="s">
        <v>15114</v>
      </c>
      <c r="I2" s="90"/>
      <c r="J2" s="90"/>
      <c r="K2" s="88"/>
      <c r="L2" s="89" t="s">
        <v>15115</v>
      </c>
      <c r="M2" s="89" t="s">
        <v>15116</v>
      </c>
      <c r="N2" s="89" t="s">
        <v>15117</v>
      </c>
      <c r="O2" s="91" t="s">
        <v>15118</v>
      </c>
    </row>
    <row r="3">
      <c r="A3" s="92" t="s">
        <v>15119</v>
      </c>
      <c r="B3" s="93" t="s">
        <v>15120</v>
      </c>
      <c r="C3" s="94" t="s">
        <v>15121</v>
      </c>
      <c r="D3" s="94" t="s">
        <v>15122</v>
      </c>
      <c r="E3" s="95" t="s">
        <v>15123</v>
      </c>
      <c r="F3" s="95" t="s">
        <v>15124</v>
      </c>
      <c r="G3" s="96"/>
      <c r="H3" s="94" t="s">
        <v>15125</v>
      </c>
      <c r="I3" s="94" t="s">
        <v>15126</v>
      </c>
      <c r="J3" s="94" t="s">
        <v>15127</v>
      </c>
      <c r="K3" s="94" t="s">
        <v>15128</v>
      </c>
      <c r="L3" s="96" t="s">
        <v>15129</v>
      </c>
      <c r="M3" s="96" t="s">
        <v>15130</v>
      </c>
      <c r="N3" s="96" t="s">
        <v>15131</v>
      </c>
      <c r="O3" s="97" t="s">
        <v>15132</v>
      </c>
    </row>
    <row r="4">
      <c r="A4" s="98" t="s">
        <v>15133</v>
      </c>
      <c r="B4" s="99" t="s">
        <v>15134</v>
      </c>
      <c r="C4" s="99" t="s">
        <v>15135</v>
      </c>
      <c r="D4" s="99" t="s">
        <v>15136</v>
      </c>
      <c r="E4" s="99" t="s">
        <v>15137</v>
      </c>
      <c r="F4" s="99" t="s">
        <v>15138</v>
      </c>
      <c r="G4" s="99" t="s">
        <v>15139</v>
      </c>
      <c r="H4" s="99" t="s">
        <v>15140</v>
      </c>
      <c r="I4" s="99" t="s">
        <v>15141</v>
      </c>
      <c r="J4" s="99" t="s">
        <v>15142</v>
      </c>
      <c r="K4" s="99" t="s">
        <v>15143</v>
      </c>
      <c r="L4" s="99" t="s">
        <v>15129</v>
      </c>
      <c r="M4" s="99" t="s">
        <v>15130</v>
      </c>
      <c r="N4" s="99" t="s">
        <v>15131</v>
      </c>
      <c r="O4" s="100" t="s">
        <v>15132</v>
      </c>
    </row>
  </sheetData>
  <mergeCells count="7">
    <mergeCell ref="A1:F1"/>
    <mergeCell ref="G1:K1"/>
    <mergeCell ref="L1:O1"/>
    <mergeCell ref="A2:B2"/>
    <mergeCell ref="C2:D2"/>
    <mergeCell ref="E2:F2"/>
    <mergeCell ref="H2:K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3" width="34.0"/>
    <col customWidth="1" min="4" max="4" width="36.25"/>
    <col customWidth="1" min="5" max="7" width="34.0"/>
    <col customWidth="1" min="8" max="8" width="36.25"/>
    <col customWidth="1" min="9" max="9" width="44.5"/>
    <col customWidth="1" min="10" max="10" width="34.0"/>
    <col customWidth="1" min="11" max="11" width="35.0"/>
    <col customWidth="1" min="12" max="13" width="34.0"/>
  </cols>
  <sheetData>
    <row r="1">
      <c r="A1" s="101" t="s">
        <v>15144</v>
      </c>
      <c r="B1" s="102" t="s">
        <v>15056</v>
      </c>
      <c r="C1" s="103" t="s">
        <v>15054</v>
      </c>
      <c r="D1" s="103" t="s">
        <v>15017</v>
      </c>
      <c r="E1" s="103" t="s">
        <v>15041</v>
      </c>
      <c r="F1" s="103" t="s">
        <v>15038</v>
      </c>
      <c r="G1" s="103" t="s">
        <v>15050</v>
      </c>
      <c r="H1" s="104" t="s">
        <v>15018</v>
      </c>
      <c r="I1" s="105" t="s">
        <v>15014</v>
      </c>
      <c r="J1" s="105" t="s">
        <v>15028</v>
      </c>
      <c r="K1" s="106" t="s">
        <v>15058</v>
      </c>
      <c r="L1" s="105" t="s">
        <v>15057</v>
      </c>
      <c r="M1" s="107" t="s">
        <v>13131</v>
      </c>
      <c r="N1" s="108"/>
      <c r="O1" s="108"/>
      <c r="P1" s="108"/>
      <c r="Q1" s="108"/>
      <c r="R1" s="108"/>
      <c r="S1" s="108"/>
      <c r="T1" s="108"/>
      <c r="U1" s="108"/>
      <c r="V1" s="108"/>
      <c r="W1" s="108"/>
      <c r="X1" s="108"/>
      <c r="Y1" s="108"/>
      <c r="Z1" s="108"/>
      <c r="AA1" s="108"/>
    </row>
    <row r="2">
      <c r="A2" s="31" t="s">
        <v>179</v>
      </c>
      <c r="B2" s="10" t="s">
        <v>15075</v>
      </c>
      <c r="C2" s="10" t="s">
        <v>15075</v>
      </c>
      <c r="D2" s="31" t="b">
        <v>1</v>
      </c>
      <c r="E2" s="10" t="s">
        <v>3668</v>
      </c>
      <c r="F2" s="10" t="s">
        <v>13161</v>
      </c>
      <c r="G2" s="10" t="s">
        <v>179</v>
      </c>
      <c r="H2" s="31" t="b">
        <v>0</v>
      </c>
      <c r="I2" s="10" t="s">
        <v>15076</v>
      </c>
      <c r="J2" s="31" t="b">
        <v>0</v>
      </c>
      <c r="K2" s="10" t="s">
        <v>15078</v>
      </c>
      <c r="L2" s="10" t="s">
        <v>15075</v>
      </c>
      <c r="M2" s="10"/>
    </row>
    <row r="3">
      <c r="A3" s="10" t="s">
        <v>179</v>
      </c>
      <c r="B3" s="10" t="s">
        <v>15077</v>
      </c>
      <c r="C3" s="10" t="s">
        <v>15077</v>
      </c>
      <c r="D3" s="31" t="b">
        <v>1</v>
      </c>
      <c r="E3" s="10" t="s">
        <v>3668</v>
      </c>
      <c r="F3" s="10" t="s">
        <v>3668</v>
      </c>
      <c r="G3" s="10" t="s">
        <v>3668</v>
      </c>
      <c r="H3" s="31" t="b">
        <v>1</v>
      </c>
      <c r="I3" s="10" t="s">
        <v>15076</v>
      </c>
      <c r="J3" s="31" t="b">
        <v>0</v>
      </c>
      <c r="K3" s="10" t="s">
        <v>15077</v>
      </c>
      <c r="L3" s="10" t="s">
        <v>15077</v>
      </c>
      <c r="M3" s="10"/>
    </row>
    <row r="4">
      <c r="A4" s="10" t="s">
        <v>179</v>
      </c>
      <c r="B4" s="10" t="s">
        <v>15075</v>
      </c>
      <c r="C4" s="10" t="s">
        <v>15077</v>
      </c>
      <c r="D4" s="31" t="b">
        <v>1</v>
      </c>
      <c r="E4" s="10" t="s">
        <v>179</v>
      </c>
      <c r="F4" s="10" t="s">
        <v>13161</v>
      </c>
      <c r="G4" s="10" t="s">
        <v>3668</v>
      </c>
      <c r="H4" s="31" t="b">
        <v>1</v>
      </c>
      <c r="I4" s="10" t="s">
        <v>15076</v>
      </c>
      <c r="J4" s="31" t="b">
        <v>1</v>
      </c>
      <c r="K4" s="10" t="s">
        <v>15078</v>
      </c>
      <c r="L4" s="10" t="s">
        <v>15078</v>
      </c>
      <c r="M4" s="10"/>
    </row>
    <row r="5">
      <c r="A5" s="29" t="s">
        <v>179</v>
      </c>
      <c r="B5" s="10" t="s">
        <v>15075</v>
      </c>
      <c r="C5" s="10" t="s">
        <v>15077</v>
      </c>
      <c r="D5" s="31" t="b">
        <v>1</v>
      </c>
      <c r="E5" s="10" t="s">
        <v>3668</v>
      </c>
      <c r="F5" s="10" t="s">
        <v>13161</v>
      </c>
      <c r="G5" s="10" t="s">
        <v>3668</v>
      </c>
      <c r="H5" s="31" t="b">
        <v>1</v>
      </c>
      <c r="I5" s="10" t="s">
        <v>15075</v>
      </c>
      <c r="J5" s="31" t="b">
        <v>1</v>
      </c>
      <c r="K5" s="10" t="s">
        <v>15077</v>
      </c>
      <c r="L5" s="10" t="s">
        <v>15075</v>
      </c>
      <c r="M5" s="10"/>
    </row>
    <row r="6">
      <c r="A6" s="21" t="s">
        <v>3668</v>
      </c>
      <c r="B6" s="10" t="s">
        <v>15075</v>
      </c>
      <c r="C6" s="10" t="s">
        <v>15075</v>
      </c>
      <c r="D6" s="31" t="b">
        <v>1</v>
      </c>
      <c r="E6" s="10" t="s">
        <v>3668</v>
      </c>
      <c r="F6" s="10" t="s">
        <v>13161</v>
      </c>
      <c r="G6" s="10" t="s">
        <v>3668</v>
      </c>
      <c r="H6" s="31" t="b">
        <v>0</v>
      </c>
      <c r="I6" s="10" t="s">
        <v>15075</v>
      </c>
      <c r="J6" s="31" t="b">
        <v>1</v>
      </c>
      <c r="K6" s="10" t="s">
        <v>15075</v>
      </c>
      <c r="L6" s="10" t="s">
        <v>15075</v>
      </c>
      <c r="M6" s="10"/>
    </row>
    <row r="7">
      <c r="A7" s="31" t="s">
        <v>3668</v>
      </c>
      <c r="B7" s="10" t="s">
        <v>15078</v>
      </c>
      <c r="C7" s="10" t="s">
        <v>15077</v>
      </c>
      <c r="D7" s="31" t="b">
        <v>1</v>
      </c>
      <c r="E7" s="10" t="s">
        <v>3668</v>
      </c>
      <c r="F7" s="10" t="s">
        <v>13161</v>
      </c>
      <c r="G7" s="10" t="s">
        <v>3668</v>
      </c>
      <c r="H7" s="31" t="b">
        <v>1</v>
      </c>
      <c r="I7" s="10" t="s">
        <v>15075</v>
      </c>
      <c r="J7" s="31" t="b">
        <v>1</v>
      </c>
      <c r="K7" s="10" t="s">
        <v>15075</v>
      </c>
      <c r="L7" s="10" t="s">
        <v>15075</v>
      </c>
      <c r="M7" s="10"/>
    </row>
    <row r="8">
      <c r="A8" s="21" t="s">
        <v>3668</v>
      </c>
      <c r="B8" s="10" t="s">
        <v>15075</v>
      </c>
      <c r="C8" s="10" t="s">
        <v>15077</v>
      </c>
      <c r="D8" s="31" t="b">
        <v>1</v>
      </c>
      <c r="E8" s="10" t="s">
        <v>3668</v>
      </c>
      <c r="F8" s="10" t="s">
        <v>13161</v>
      </c>
      <c r="G8" s="10" t="s">
        <v>3668</v>
      </c>
      <c r="H8" s="31" t="b">
        <v>1</v>
      </c>
      <c r="I8" s="10" t="s">
        <v>15076</v>
      </c>
      <c r="J8" s="31" t="b">
        <v>0</v>
      </c>
      <c r="K8" s="10" t="s">
        <v>15078</v>
      </c>
      <c r="L8" s="10" t="s">
        <v>15075</v>
      </c>
      <c r="M8" s="10"/>
    </row>
    <row r="9">
      <c r="A9" s="31" t="s">
        <v>3668</v>
      </c>
      <c r="B9" s="10" t="s">
        <v>15077</v>
      </c>
      <c r="C9" s="10" t="s">
        <v>15077</v>
      </c>
      <c r="D9" s="31" t="b">
        <v>1</v>
      </c>
      <c r="E9" s="10" t="s">
        <v>3668</v>
      </c>
      <c r="F9" s="10" t="s">
        <v>3668</v>
      </c>
      <c r="G9" s="10" t="s">
        <v>3668</v>
      </c>
      <c r="H9" s="31" t="b">
        <v>1</v>
      </c>
      <c r="I9" s="10" t="s">
        <v>15076</v>
      </c>
      <c r="J9" s="31" t="b">
        <v>0</v>
      </c>
      <c r="K9" s="10" t="s">
        <v>15078</v>
      </c>
      <c r="L9" s="10" t="s">
        <v>15078</v>
      </c>
      <c r="M9" s="10"/>
    </row>
    <row r="10">
      <c r="A10" s="21" t="s">
        <v>3668</v>
      </c>
      <c r="B10" s="10" t="s">
        <v>15075</v>
      </c>
      <c r="C10" s="10" t="s">
        <v>15075</v>
      </c>
      <c r="D10" s="31" t="b">
        <v>1</v>
      </c>
      <c r="E10" s="10" t="s">
        <v>3668</v>
      </c>
      <c r="F10" s="10" t="s">
        <v>13161</v>
      </c>
      <c r="G10" s="10" t="s">
        <v>3668</v>
      </c>
      <c r="H10" s="31" t="b">
        <v>1</v>
      </c>
      <c r="I10" s="10" t="s">
        <v>15074</v>
      </c>
      <c r="J10" s="31" t="b">
        <v>1</v>
      </c>
      <c r="K10" s="10" t="s">
        <v>15078</v>
      </c>
      <c r="L10" s="10" t="s">
        <v>15078</v>
      </c>
      <c r="M10" s="10"/>
    </row>
    <row r="11">
      <c r="A11" s="31" t="s">
        <v>3668</v>
      </c>
      <c r="B11" s="10" t="s">
        <v>15077</v>
      </c>
      <c r="C11" s="10" t="s">
        <v>15077</v>
      </c>
      <c r="D11" s="31" t="b">
        <v>1</v>
      </c>
      <c r="E11" s="10" t="s">
        <v>3668</v>
      </c>
      <c r="F11" s="10" t="s">
        <v>3668</v>
      </c>
      <c r="G11" s="10" t="s">
        <v>3668</v>
      </c>
      <c r="H11" s="31" t="b">
        <v>1</v>
      </c>
      <c r="I11" s="10" t="s">
        <v>15076</v>
      </c>
      <c r="J11" s="31" t="b">
        <v>1</v>
      </c>
      <c r="K11" s="10" t="s">
        <v>15077</v>
      </c>
      <c r="L11" s="10" t="s">
        <v>15077</v>
      </c>
      <c r="M11" s="10"/>
    </row>
    <row r="12">
      <c r="A12" s="21" t="s">
        <v>3668</v>
      </c>
      <c r="B12" s="10" t="s">
        <v>15075</v>
      </c>
      <c r="C12" s="10" t="s">
        <v>15075</v>
      </c>
      <c r="D12" s="31" t="b">
        <v>1</v>
      </c>
      <c r="E12" s="10" t="s">
        <v>3668</v>
      </c>
      <c r="F12" s="10" t="s">
        <v>3668</v>
      </c>
      <c r="G12" s="10" t="s">
        <v>3668</v>
      </c>
      <c r="H12" s="31" t="b">
        <v>1</v>
      </c>
      <c r="I12" s="10" t="s">
        <v>15075</v>
      </c>
      <c r="J12" s="31" t="b">
        <v>1</v>
      </c>
      <c r="K12" s="10" t="s">
        <v>15078</v>
      </c>
      <c r="L12" s="10" t="s">
        <v>15078</v>
      </c>
      <c r="M12" s="10"/>
    </row>
    <row r="13">
      <c r="A13" s="31" t="s">
        <v>3668</v>
      </c>
      <c r="B13" s="10" t="s">
        <v>15075</v>
      </c>
      <c r="C13" s="10" t="s">
        <v>15075</v>
      </c>
      <c r="D13" s="31" t="b">
        <v>1</v>
      </c>
      <c r="E13" s="10" t="s">
        <v>3668</v>
      </c>
      <c r="F13" s="10" t="s">
        <v>3668</v>
      </c>
      <c r="G13" s="10" t="s">
        <v>3668</v>
      </c>
      <c r="H13" s="31" t="b">
        <v>1</v>
      </c>
      <c r="I13" s="10" t="s">
        <v>15076</v>
      </c>
      <c r="J13" s="31" t="b">
        <v>1</v>
      </c>
      <c r="K13" s="10" t="s">
        <v>15075</v>
      </c>
      <c r="L13" s="10" t="s">
        <v>15075</v>
      </c>
      <c r="M13" s="10"/>
    </row>
    <row r="14">
      <c r="A14" s="21" t="s">
        <v>3668</v>
      </c>
      <c r="B14" s="10" t="s">
        <v>15075</v>
      </c>
      <c r="C14" s="10" t="s">
        <v>15075</v>
      </c>
      <c r="D14" s="31" t="b">
        <v>1</v>
      </c>
      <c r="E14" s="10" t="s">
        <v>3668</v>
      </c>
      <c r="F14" s="10" t="s">
        <v>3668</v>
      </c>
      <c r="G14" s="10" t="s">
        <v>3668</v>
      </c>
      <c r="H14" s="31" t="b">
        <v>1</v>
      </c>
      <c r="I14" s="10" t="s">
        <v>15076</v>
      </c>
      <c r="J14" s="31" t="b">
        <v>0</v>
      </c>
      <c r="K14" s="10" t="s">
        <v>15075</v>
      </c>
      <c r="L14" s="10" t="s">
        <v>15075</v>
      </c>
      <c r="M14" s="10"/>
    </row>
    <row r="15">
      <c r="A15" s="31" t="s">
        <v>3668</v>
      </c>
      <c r="B15" s="10" t="s">
        <v>15075</v>
      </c>
      <c r="C15" s="10" t="s">
        <v>15075</v>
      </c>
      <c r="D15" s="31" t="b">
        <v>1</v>
      </c>
      <c r="E15" s="10" t="s">
        <v>3668</v>
      </c>
      <c r="F15" s="10" t="s">
        <v>13161</v>
      </c>
      <c r="G15" s="10" t="s">
        <v>3668</v>
      </c>
      <c r="H15" s="31" t="b">
        <v>1</v>
      </c>
      <c r="I15" s="10" t="s">
        <v>15076</v>
      </c>
      <c r="J15" s="31" t="b">
        <v>1</v>
      </c>
      <c r="K15" s="10" t="s">
        <v>15075</v>
      </c>
      <c r="L15" s="10" t="s">
        <v>15075</v>
      </c>
      <c r="M15" s="14"/>
    </row>
    <row r="16">
      <c r="A16" s="21" t="s">
        <v>3668</v>
      </c>
      <c r="B16" s="10" t="s">
        <v>15075</v>
      </c>
      <c r="C16" s="10" t="s">
        <v>15075</v>
      </c>
      <c r="D16" s="31" t="b">
        <v>1</v>
      </c>
      <c r="E16" s="10" t="s">
        <v>3668</v>
      </c>
      <c r="F16" s="10" t="s">
        <v>3668</v>
      </c>
      <c r="G16" s="10" t="s">
        <v>3668</v>
      </c>
      <c r="H16" s="31" t="b">
        <v>1</v>
      </c>
      <c r="I16" s="10" t="s">
        <v>15076</v>
      </c>
      <c r="J16" s="31" t="b">
        <v>1</v>
      </c>
      <c r="K16" s="10" t="s">
        <v>15075</v>
      </c>
      <c r="L16" s="10" t="s">
        <v>15078</v>
      </c>
      <c r="M16" s="10"/>
    </row>
    <row r="17">
      <c r="A17" s="21" t="s">
        <v>3668</v>
      </c>
      <c r="B17" s="10" t="s">
        <v>15077</v>
      </c>
      <c r="C17" s="10" t="s">
        <v>15075</v>
      </c>
      <c r="D17" s="31" t="b">
        <v>1</v>
      </c>
      <c r="E17" s="10" t="s">
        <v>3668</v>
      </c>
      <c r="F17" s="10" t="s">
        <v>3668</v>
      </c>
      <c r="G17" s="10" t="s">
        <v>3668</v>
      </c>
      <c r="H17" s="31" t="b">
        <v>1</v>
      </c>
      <c r="I17" s="10" t="s">
        <v>15075</v>
      </c>
      <c r="J17" s="31" t="b">
        <v>1</v>
      </c>
      <c r="K17" s="10" t="s">
        <v>15075</v>
      </c>
      <c r="L17" s="10" t="s">
        <v>15075</v>
      </c>
      <c r="M17" s="10"/>
    </row>
    <row r="18">
      <c r="A18" s="31" t="s">
        <v>3668</v>
      </c>
      <c r="B18" s="10"/>
      <c r="M18" s="10"/>
    </row>
    <row r="19">
      <c r="A19" s="21" t="s">
        <v>3668</v>
      </c>
      <c r="B19" s="109">
        <f>15/16</f>
        <v>0.9375</v>
      </c>
      <c r="C19" s="110">
        <v>1.0</v>
      </c>
      <c r="D19" s="110">
        <v>1.0</v>
      </c>
      <c r="E19" s="111">
        <f>15/16</f>
        <v>0.9375</v>
      </c>
      <c r="F19" s="110">
        <v>0.5</v>
      </c>
      <c r="G19" s="111">
        <f>15/16</f>
        <v>0.9375</v>
      </c>
      <c r="K19" s="111">
        <f>10/16</f>
        <v>0.625</v>
      </c>
      <c r="M19" s="10"/>
    </row>
    <row r="20">
      <c r="A20" s="31" t="s">
        <v>3668</v>
      </c>
      <c r="B20" s="10"/>
      <c r="M20" s="10"/>
    </row>
    <row r="21">
      <c r="A21" s="21" t="s">
        <v>3668</v>
      </c>
      <c r="B21" s="10"/>
      <c r="M21" s="10"/>
    </row>
    <row r="22">
      <c r="A22" s="31" t="s">
        <v>3668</v>
      </c>
      <c r="B22" s="10"/>
      <c r="M22" s="10"/>
    </row>
    <row r="23">
      <c r="A23" s="21" t="s">
        <v>3668</v>
      </c>
      <c r="B23" s="10"/>
      <c r="M23" s="10"/>
    </row>
    <row r="24">
      <c r="A24" s="31" t="s">
        <v>3668</v>
      </c>
      <c r="B24" s="10"/>
      <c r="M24" s="10"/>
    </row>
    <row r="25">
      <c r="A25" s="21" t="s">
        <v>3668</v>
      </c>
      <c r="B25" s="10"/>
      <c r="M25" s="10"/>
    </row>
    <row r="26">
      <c r="A26" s="31" t="s">
        <v>3668</v>
      </c>
      <c r="B26" s="10"/>
      <c r="M26" s="10"/>
    </row>
    <row r="27">
      <c r="A27" s="21" t="s">
        <v>3668</v>
      </c>
      <c r="B27" s="10"/>
      <c r="M27" s="14"/>
    </row>
    <row r="28">
      <c r="A28" s="31" t="s">
        <v>3668</v>
      </c>
      <c r="B28" s="10"/>
      <c r="M28" s="14"/>
    </row>
    <row r="29">
      <c r="A29" s="21" t="s">
        <v>3668</v>
      </c>
      <c r="B29" s="10"/>
      <c r="M29" s="10"/>
    </row>
    <row r="30">
      <c r="A30" s="10" t="s">
        <v>3668</v>
      </c>
      <c r="B30" s="10"/>
      <c r="M30" s="10" t="s">
        <v>620</v>
      </c>
    </row>
    <row r="31">
      <c r="A31" s="29" t="s">
        <v>3668</v>
      </c>
      <c r="B31" s="10"/>
      <c r="M31" s="10" t="s">
        <v>620</v>
      </c>
    </row>
    <row r="32">
      <c r="A32" s="29" t="s">
        <v>3668</v>
      </c>
      <c r="B32" s="10"/>
      <c r="M32" s="10" t="s">
        <v>13161</v>
      </c>
    </row>
    <row r="33">
      <c r="A33" s="10" t="s">
        <v>3668</v>
      </c>
      <c r="B33" s="10"/>
      <c r="M33" s="10" t="s">
        <v>13461</v>
      </c>
    </row>
    <row r="34">
      <c r="A34" s="29" t="s">
        <v>3668</v>
      </c>
      <c r="B34" s="10"/>
      <c r="M34" s="10" t="s">
        <v>13469</v>
      </c>
    </row>
    <row r="35">
      <c r="A35" s="10" t="s">
        <v>3668</v>
      </c>
      <c r="B35" s="10"/>
      <c r="M35" s="10" t="s">
        <v>620</v>
      </c>
    </row>
    <row r="36">
      <c r="A36" s="29" t="s">
        <v>3668</v>
      </c>
      <c r="B36" s="10"/>
      <c r="M36" s="10" t="s">
        <v>620</v>
      </c>
    </row>
    <row r="37">
      <c r="A37" s="10" t="s">
        <v>3668</v>
      </c>
      <c r="B37" s="10"/>
      <c r="M37" s="10" t="s">
        <v>620</v>
      </c>
    </row>
    <row r="38">
      <c r="A38" s="29" t="s">
        <v>3668</v>
      </c>
      <c r="B38" s="10"/>
      <c r="M38" s="10" t="s">
        <v>13161</v>
      </c>
    </row>
    <row r="39">
      <c r="A39" s="10" t="s">
        <v>3668</v>
      </c>
      <c r="B39" s="10"/>
      <c r="M39" s="10" t="s">
        <v>620</v>
      </c>
    </row>
    <row r="40">
      <c r="A40" s="29" t="s">
        <v>3668</v>
      </c>
      <c r="B40" s="10"/>
      <c r="M40" s="10" t="s">
        <v>620</v>
      </c>
    </row>
    <row r="41">
      <c r="A41" s="10" t="s">
        <v>3668</v>
      </c>
      <c r="B41" s="10"/>
      <c r="M41" s="10" t="s">
        <v>620</v>
      </c>
    </row>
    <row r="42">
      <c r="A42" s="29" t="s">
        <v>3668</v>
      </c>
      <c r="B42" s="10"/>
      <c r="M42" s="10" t="s">
        <v>13461</v>
      </c>
    </row>
    <row r="43">
      <c r="A43" s="29" t="s">
        <v>3668</v>
      </c>
      <c r="B43" s="10"/>
      <c r="M43" s="10" t="s">
        <v>13461</v>
      </c>
    </row>
    <row r="44">
      <c r="A44" s="10" t="s">
        <v>3668</v>
      </c>
      <c r="B44" s="10"/>
      <c r="M44" s="10" t="s">
        <v>620</v>
      </c>
    </row>
    <row r="45">
      <c r="A45" s="29" t="s">
        <v>3668</v>
      </c>
      <c r="B45" s="10"/>
      <c r="M45" s="10" t="s">
        <v>620</v>
      </c>
    </row>
    <row r="46">
      <c r="A46" s="10" t="s">
        <v>3668</v>
      </c>
      <c r="B46" s="10"/>
      <c r="M46" s="10" t="s">
        <v>620</v>
      </c>
    </row>
    <row r="47">
      <c r="A47" s="29" t="s">
        <v>3668</v>
      </c>
      <c r="B47" s="10"/>
      <c r="M47" s="10" t="s">
        <v>13469</v>
      </c>
    </row>
    <row r="48">
      <c r="A48" s="10" t="s">
        <v>3668</v>
      </c>
      <c r="B48" s="10"/>
      <c r="M48" s="10" t="s">
        <v>13161</v>
      </c>
    </row>
    <row r="49">
      <c r="A49" s="29" t="s">
        <v>3668</v>
      </c>
      <c r="B49" s="10"/>
      <c r="M49" s="10" t="s">
        <v>13461</v>
      </c>
    </row>
    <row r="50">
      <c r="A50" s="10" t="s">
        <v>3668</v>
      </c>
      <c r="B50" s="10"/>
      <c r="M50" s="10" t="s">
        <v>13565</v>
      </c>
    </row>
    <row r="51">
      <c r="A51" s="10" t="s">
        <v>3668</v>
      </c>
      <c r="B51" s="10"/>
      <c r="M51" s="10" t="s">
        <v>13461</v>
      </c>
    </row>
    <row r="52">
      <c r="A52" s="29" t="s">
        <v>3668</v>
      </c>
      <c r="B52" s="10"/>
      <c r="M52" s="10" t="s">
        <v>13461</v>
      </c>
    </row>
    <row r="53">
      <c r="A53" s="10" t="s">
        <v>3668</v>
      </c>
      <c r="B53" s="10"/>
      <c r="M53" s="10" t="s">
        <v>13565</v>
      </c>
    </row>
    <row r="54">
      <c r="A54" s="29" t="s">
        <v>3668</v>
      </c>
      <c r="B54" s="10"/>
      <c r="M54" s="10" t="s">
        <v>13161</v>
      </c>
    </row>
    <row r="55">
      <c r="A55" s="10" t="s">
        <v>3668</v>
      </c>
      <c r="B55" s="10"/>
      <c r="M55" s="10" t="s">
        <v>13161</v>
      </c>
    </row>
    <row r="56">
      <c r="A56" s="29" t="s">
        <v>3668</v>
      </c>
      <c r="B56" s="10"/>
      <c r="M56" s="10" t="s">
        <v>13161</v>
      </c>
    </row>
    <row r="57">
      <c r="A57" s="10" t="s">
        <v>3668</v>
      </c>
      <c r="B57" s="10"/>
      <c r="M57" s="10" t="s">
        <v>13565</v>
      </c>
    </row>
    <row r="58">
      <c r="A58" s="29" t="s">
        <v>3668</v>
      </c>
      <c r="B58" s="10"/>
      <c r="M58" s="10" t="s">
        <v>13565</v>
      </c>
    </row>
    <row r="59">
      <c r="A59" s="10" t="s">
        <v>3668</v>
      </c>
      <c r="B59" s="10"/>
      <c r="M59" s="10" t="s">
        <v>13565</v>
      </c>
    </row>
    <row r="60">
      <c r="A60" s="10" t="s">
        <v>3668</v>
      </c>
      <c r="B60" s="10"/>
      <c r="M60" s="10" t="s">
        <v>13469</v>
      </c>
    </row>
    <row r="61">
      <c r="A61" s="10" t="s">
        <v>3668</v>
      </c>
      <c r="B61" s="10"/>
      <c r="M61" s="10" t="s">
        <v>13461</v>
      </c>
    </row>
    <row r="62">
      <c r="A62" s="10" t="s">
        <v>3668</v>
      </c>
      <c r="B62" s="10"/>
      <c r="M62" s="10" t="s">
        <v>13469</v>
      </c>
    </row>
    <row r="63">
      <c r="A63" s="10" t="s">
        <v>3668</v>
      </c>
      <c r="B63" s="10"/>
      <c r="M63" s="10" t="s">
        <v>13461</v>
      </c>
    </row>
    <row r="64">
      <c r="A64" s="10" t="s">
        <v>3668</v>
      </c>
      <c r="B64" s="10"/>
      <c r="M64" s="10" t="s">
        <v>13461</v>
      </c>
    </row>
    <row r="65">
      <c r="A65" s="10" t="s">
        <v>3668</v>
      </c>
      <c r="B65" s="10"/>
      <c r="M65" s="10" t="s">
        <v>13565</v>
      </c>
    </row>
    <row r="66">
      <c r="A66" s="10" t="s">
        <v>3668</v>
      </c>
      <c r="B66" s="10"/>
      <c r="M66" s="10" t="s">
        <v>13161</v>
      </c>
    </row>
    <row r="67">
      <c r="A67" s="10" t="s">
        <v>3668</v>
      </c>
      <c r="B67" s="10"/>
      <c r="M67" s="10" t="s">
        <v>13161</v>
      </c>
    </row>
    <row r="68">
      <c r="A68" s="10" t="s">
        <v>3668</v>
      </c>
      <c r="B68" s="10"/>
      <c r="M68" s="10" t="s">
        <v>13161</v>
      </c>
    </row>
    <row r="69">
      <c r="A69" s="10" t="s">
        <v>3668</v>
      </c>
      <c r="B69" s="10"/>
      <c r="M69" s="10" t="s">
        <v>13565</v>
      </c>
    </row>
    <row r="70">
      <c r="A70" s="10" t="s">
        <v>3668</v>
      </c>
      <c r="B70" s="10"/>
      <c r="M70" s="10" t="s">
        <v>13565</v>
      </c>
    </row>
    <row r="71">
      <c r="B71" s="10"/>
      <c r="M71" s="10" t="s">
        <v>13565</v>
      </c>
    </row>
    <row r="72">
      <c r="B72" s="10"/>
      <c r="M72" s="10" t="s">
        <v>13469</v>
      </c>
    </row>
    <row r="73">
      <c r="B73" s="10"/>
      <c r="M73" s="10" t="s">
        <v>13461</v>
      </c>
    </row>
    <row r="74">
      <c r="B74" s="10"/>
      <c r="M74" s="10" t="s">
        <v>13469</v>
      </c>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13090</v>
      </c>
      <c r="B1" s="112" t="s">
        <v>13131</v>
      </c>
    </row>
    <row r="2">
      <c r="A2" s="11" t="s">
        <v>13138</v>
      </c>
      <c r="B2" s="10"/>
    </row>
    <row r="3">
      <c r="A3" s="11" t="s">
        <v>13138</v>
      </c>
      <c r="B3" s="10"/>
    </row>
    <row r="4" hidden="1">
      <c r="A4" s="10" t="s">
        <v>13157</v>
      </c>
      <c r="B4" s="10"/>
    </row>
    <row r="5">
      <c r="A5" s="11" t="s">
        <v>13138</v>
      </c>
      <c r="B5" s="10"/>
    </row>
    <row r="6" hidden="1">
      <c r="A6" s="10" t="s">
        <v>13157</v>
      </c>
      <c r="B6" s="10"/>
    </row>
    <row r="7">
      <c r="A7" s="11" t="s">
        <v>13138</v>
      </c>
      <c r="B7" s="10"/>
    </row>
    <row r="8">
      <c r="A8" s="11" t="s">
        <v>13138</v>
      </c>
      <c r="B8" s="10"/>
    </row>
    <row r="9">
      <c r="A9" s="11" t="s">
        <v>13138</v>
      </c>
      <c r="B9" s="10"/>
    </row>
    <row r="10">
      <c r="A10" s="11" t="s">
        <v>13138</v>
      </c>
      <c r="B10" s="10"/>
    </row>
    <row r="11" hidden="1">
      <c r="A11" s="10" t="s">
        <v>13157</v>
      </c>
      <c r="B11" s="10"/>
    </row>
    <row r="12">
      <c r="A12" s="11" t="s">
        <v>13138</v>
      </c>
      <c r="B12" s="10"/>
    </row>
    <row r="13" hidden="1">
      <c r="A13" s="10" t="s">
        <v>13157</v>
      </c>
      <c r="B13" s="10"/>
    </row>
    <row r="14">
      <c r="A14" s="15" t="s">
        <v>13138</v>
      </c>
      <c r="B14" s="10"/>
    </row>
    <row r="15">
      <c r="A15" s="15" t="s">
        <v>13138</v>
      </c>
      <c r="B15" s="14"/>
    </row>
    <row r="16" hidden="1">
      <c r="A16" s="16" t="s">
        <v>13157</v>
      </c>
      <c r="B16" s="10"/>
    </row>
    <row r="17" hidden="1">
      <c r="A17" s="16" t="s">
        <v>13157</v>
      </c>
      <c r="B17" s="10"/>
    </row>
    <row r="18">
      <c r="A18" s="15" t="s">
        <v>13138</v>
      </c>
      <c r="B18" s="10"/>
    </row>
    <row r="19" hidden="1">
      <c r="A19" s="16" t="s">
        <v>13157</v>
      </c>
      <c r="B19" s="10"/>
    </row>
    <row r="20">
      <c r="A20" s="15" t="s">
        <v>13138</v>
      </c>
      <c r="B20" s="10"/>
    </row>
    <row r="21">
      <c r="A21" s="15" t="s">
        <v>13138</v>
      </c>
      <c r="B21" s="10"/>
    </row>
    <row r="22">
      <c r="A22" s="15" t="s">
        <v>13138</v>
      </c>
      <c r="B22" s="10"/>
    </row>
    <row r="23">
      <c r="A23" s="15" t="s">
        <v>13138</v>
      </c>
      <c r="B23" s="10"/>
    </row>
    <row r="24" hidden="1">
      <c r="A24" s="16" t="s">
        <v>13157</v>
      </c>
      <c r="B24" s="10"/>
    </row>
    <row r="25">
      <c r="A25" s="15" t="s">
        <v>13138</v>
      </c>
      <c r="B25" s="10"/>
    </row>
    <row r="26">
      <c r="A26" s="15" t="s">
        <v>13138</v>
      </c>
      <c r="B26" s="10"/>
    </row>
    <row r="27">
      <c r="A27" s="15" t="s">
        <v>13138</v>
      </c>
      <c r="B27" s="14"/>
    </row>
    <row r="28">
      <c r="A28" s="15" t="s">
        <v>13138</v>
      </c>
      <c r="B28" s="14"/>
    </row>
    <row r="29" hidden="1">
      <c r="A29" s="16" t="s">
        <v>13157</v>
      </c>
      <c r="B29" s="10"/>
    </row>
    <row r="30" hidden="1">
      <c r="A30" s="16" t="s">
        <v>13157</v>
      </c>
      <c r="B30" s="10" t="s">
        <v>620</v>
      </c>
    </row>
    <row r="31" hidden="1">
      <c r="A31" s="16" t="s">
        <v>13157</v>
      </c>
      <c r="B31" s="10" t="s">
        <v>620</v>
      </c>
    </row>
    <row r="32">
      <c r="A32" s="15" t="s">
        <v>13138</v>
      </c>
      <c r="B32" s="10" t="s">
        <v>13161</v>
      </c>
      <c r="D32" s="113" t="s">
        <v>15145</v>
      </c>
      <c r="E32" s="113">
        <v>9.0</v>
      </c>
      <c r="F32" s="111">
        <f t="shared" ref="F32:F34" si="1">E32/34</f>
        <v>0.2647058824</v>
      </c>
    </row>
    <row r="33">
      <c r="A33" s="15" t="s">
        <v>13138</v>
      </c>
      <c r="B33" s="10" t="s">
        <v>13461</v>
      </c>
      <c r="D33" s="113" t="s">
        <v>15146</v>
      </c>
      <c r="E33" s="113">
        <v>10.0</v>
      </c>
      <c r="F33" s="111">
        <f t="shared" si="1"/>
        <v>0.2941176471</v>
      </c>
    </row>
    <row r="34">
      <c r="A34" s="15" t="s">
        <v>13138</v>
      </c>
      <c r="B34" s="10" t="s">
        <v>13469</v>
      </c>
      <c r="D34" s="113" t="s">
        <v>15147</v>
      </c>
      <c r="E34" s="113">
        <v>6.0</v>
      </c>
      <c r="F34" s="111">
        <f t="shared" si="1"/>
        <v>0.1764705882</v>
      </c>
    </row>
    <row r="35" hidden="1">
      <c r="A35" s="16" t="s">
        <v>13157</v>
      </c>
      <c r="B35" s="10" t="s">
        <v>620</v>
      </c>
    </row>
    <row r="36" hidden="1">
      <c r="A36" s="16" t="s">
        <v>13157</v>
      </c>
      <c r="B36" s="10" t="s">
        <v>620</v>
      </c>
    </row>
    <row r="37" hidden="1">
      <c r="A37" s="16" t="s">
        <v>13157</v>
      </c>
      <c r="B37" s="10" t="s">
        <v>620</v>
      </c>
    </row>
    <row r="38">
      <c r="A38" s="15" t="s">
        <v>13138</v>
      </c>
      <c r="B38" s="10" t="s">
        <v>13161</v>
      </c>
      <c r="D38" s="113" t="s">
        <v>15148</v>
      </c>
      <c r="E38" s="113">
        <v>9.0</v>
      </c>
      <c r="F38" s="111">
        <f>E38/34</f>
        <v>0.2647058824</v>
      </c>
    </row>
    <row r="39" hidden="1">
      <c r="A39" s="16" t="s">
        <v>13157</v>
      </c>
      <c r="B39" s="10" t="s">
        <v>620</v>
      </c>
    </row>
    <row r="40" hidden="1">
      <c r="A40" s="16" t="s">
        <v>13157</v>
      </c>
      <c r="B40" s="10" t="s">
        <v>620</v>
      </c>
    </row>
    <row r="41" hidden="1">
      <c r="A41" s="16" t="s">
        <v>13157</v>
      </c>
      <c r="B41" s="10" t="s">
        <v>620</v>
      </c>
    </row>
    <row r="42">
      <c r="A42" s="15" t="s">
        <v>13138</v>
      </c>
      <c r="B42" s="10" t="s">
        <v>13461</v>
      </c>
    </row>
    <row r="43">
      <c r="A43" s="15" t="s">
        <v>13138</v>
      </c>
      <c r="B43" s="10" t="s">
        <v>13461</v>
      </c>
    </row>
    <row r="44" hidden="1">
      <c r="A44" s="16" t="s">
        <v>13157</v>
      </c>
      <c r="B44" s="10" t="s">
        <v>620</v>
      </c>
    </row>
    <row r="45" hidden="1">
      <c r="A45" s="16" t="s">
        <v>13157</v>
      </c>
      <c r="B45" s="10" t="s">
        <v>620</v>
      </c>
    </row>
    <row r="46" hidden="1">
      <c r="A46" s="16" t="s">
        <v>13157</v>
      </c>
      <c r="B46" s="10" t="s">
        <v>620</v>
      </c>
    </row>
    <row r="47">
      <c r="A47" s="15" t="s">
        <v>13138</v>
      </c>
      <c r="B47" s="10" t="s">
        <v>13469</v>
      </c>
    </row>
    <row r="48">
      <c r="A48" s="15" t="s">
        <v>13138</v>
      </c>
      <c r="B48" s="10" t="s">
        <v>13161</v>
      </c>
    </row>
    <row r="49">
      <c r="A49" s="15" t="s">
        <v>13138</v>
      </c>
      <c r="B49" s="10" t="s">
        <v>13461</v>
      </c>
    </row>
    <row r="50">
      <c r="A50" s="15" t="s">
        <v>13138</v>
      </c>
      <c r="B50" s="10" t="s">
        <v>13565</v>
      </c>
    </row>
    <row r="51">
      <c r="A51" s="15" t="s">
        <v>13138</v>
      </c>
      <c r="B51" s="10" t="s">
        <v>13461</v>
      </c>
    </row>
    <row r="52">
      <c r="A52" s="15" t="s">
        <v>13138</v>
      </c>
      <c r="B52" s="10" t="s">
        <v>13461</v>
      </c>
    </row>
    <row r="53">
      <c r="A53" s="15" t="s">
        <v>13138</v>
      </c>
      <c r="B53" s="10" t="s">
        <v>13565</v>
      </c>
    </row>
    <row r="54">
      <c r="A54" s="15" t="s">
        <v>13138</v>
      </c>
      <c r="B54" s="10" t="s">
        <v>13161</v>
      </c>
    </row>
    <row r="55">
      <c r="A55" s="15" t="s">
        <v>13138</v>
      </c>
      <c r="B55" s="10" t="s">
        <v>13161</v>
      </c>
    </row>
    <row r="56">
      <c r="A56" s="15" t="s">
        <v>13138</v>
      </c>
      <c r="B56" s="10" t="s">
        <v>13161</v>
      </c>
    </row>
    <row r="57">
      <c r="A57" s="15" t="s">
        <v>13138</v>
      </c>
      <c r="B57" s="10" t="s">
        <v>13565</v>
      </c>
    </row>
    <row r="58">
      <c r="A58" s="15" t="s">
        <v>13138</v>
      </c>
      <c r="B58" s="10" t="s">
        <v>13565</v>
      </c>
    </row>
    <row r="59">
      <c r="A59" s="15" t="s">
        <v>13138</v>
      </c>
      <c r="B59" s="10" t="s">
        <v>13565</v>
      </c>
    </row>
    <row r="60">
      <c r="A60" s="15" t="s">
        <v>13138</v>
      </c>
      <c r="B60" s="10" t="s">
        <v>13469</v>
      </c>
    </row>
    <row r="61">
      <c r="A61" s="15" t="s">
        <v>13138</v>
      </c>
      <c r="B61" s="10" t="s">
        <v>13461</v>
      </c>
    </row>
    <row r="62">
      <c r="A62" s="15" t="s">
        <v>13138</v>
      </c>
      <c r="B62" s="10" t="s">
        <v>13469</v>
      </c>
    </row>
    <row r="63">
      <c r="A63" s="11" t="s">
        <v>13138</v>
      </c>
      <c r="B63" s="10" t="s">
        <v>13461</v>
      </c>
    </row>
    <row r="64">
      <c r="A64" s="11" t="s">
        <v>13138</v>
      </c>
      <c r="B64" s="10" t="s">
        <v>13461</v>
      </c>
    </row>
    <row r="65">
      <c r="A65" s="11" t="s">
        <v>13138</v>
      </c>
      <c r="B65" s="10" t="s">
        <v>13565</v>
      </c>
    </row>
    <row r="66">
      <c r="A66" s="11" t="s">
        <v>13138</v>
      </c>
      <c r="B66" s="10" t="s">
        <v>13161</v>
      </c>
    </row>
    <row r="67">
      <c r="A67" s="11" t="s">
        <v>13138</v>
      </c>
      <c r="B67" s="10" t="s">
        <v>13161</v>
      </c>
    </row>
    <row r="68">
      <c r="A68" s="11" t="s">
        <v>13138</v>
      </c>
      <c r="B68" s="10" t="s">
        <v>13161</v>
      </c>
    </row>
    <row r="69">
      <c r="A69" s="11" t="s">
        <v>13138</v>
      </c>
      <c r="B69" s="10" t="s">
        <v>13565</v>
      </c>
    </row>
    <row r="70">
      <c r="A70" s="11" t="s">
        <v>13138</v>
      </c>
      <c r="B70" s="10" t="s">
        <v>13565</v>
      </c>
    </row>
    <row r="71">
      <c r="A71" s="11" t="s">
        <v>13138</v>
      </c>
      <c r="B71" s="10" t="s">
        <v>13565</v>
      </c>
    </row>
    <row r="72">
      <c r="A72" s="11" t="s">
        <v>13138</v>
      </c>
      <c r="B72" s="10" t="s">
        <v>13469</v>
      </c>
    </row>
    <row r="73">
      <c r="A73" s="11" t="s">
        <v>13138</v>
      </c>
      <c r="B73" s="10" t="s">
        <v>13461</v>
      </c>
    </row>
    <row r="74">
      <c r="A74" s="11" t="s">
        <v>13138</v>
      </c>
      <c r="B74" s="10" t="s">
        <v>13469</v>
      </c>
    </row>
  </sheetData>
  <autoFilter ref="$A$1:$B$74">
    <filterColumn colId="0">
      <filters>
        <filter val="Mentee"/>
      </filters>
    </filterColumn>
  </autoFilter>
  <drawing r:id="rId1"/>
</worksheet>
</file>